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_rels/sheet2.xml.rels" ContentType="application/vnd.openxmlformats-package.relationships+xml"/>
  <Override PartName="/xl/worksheets/_rels/sheet4.xml.rels" ContentType="application/vnd.openxmlformats-package.relationships+xml"/>
  <Override PartName="/xl/theme/theme1.xml" ContentType="application/vnd.openxmlformats-officedocument.theme+xml"/>
  <Override PartName="/xl/comments2.xml" ContentType="application/vnd.openxmlformats-officedocument.spreadsheetml.comments+xml"/>
  <Override PartName="/xl/sharedStrings.xml" ContentType="application/vnd.openxmlformats-officedocument.spreadsheetml.sharedStrings+xml"/>
  <Override PartName="/xl/media/image1.png" ContentType="image/png"/>
  <Override PartName="/xl/drawings/drawing1.xml" ContentType="application/vnd.openxmlformats-officedocument.drawing+xml"/>
  <Override PartName="/xl/drawings/vmlDrawing1.vml" ContentType="application/vnd.openxmlformats-officedocument.vmlDrawing"/>
  <Override PartName="/xl/drawings/_rels/drawing1.xml.rels" ContentType="application/vnd.openxmlformats-package.relationships+xml"/>
  <Override PartName="/xl/tables/table1.xml" ContentType="application/vnd.openxmlformats-officedocument.spreadsheetml.table+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1" activeTab="1"/>
  </bookViews>
  <sheets>
    <sheet name="BASE_DE_DATOS" sheetId="1" state="hidden" r:id="rId3"/>
    <sheet name="Solicitud_de_Crédito" sheetId="2" state="visible" r:id="rId4"/>
    <sheet name="Hoja1" sheetId="3" state="hidden" r:id="rId5"/>
    <sheet name="OFICIALES_DE_NEGOCIO" sheetId="4" state="hidden" r:id="rId6"/>
  </sheets>
  <definedNames>
    <definedName function="false" hidden="false" localSheetId="1" name="_xlnm.Print_Area" vbProcedure="false">Solicitud_de_Crédito!$A$1:$AO$274</definedName>
    <definedName function="false" hidden="false" name="Alícuota" vbProcedure="false">"NA()"</definedName>
    <definedName function="false" hidden="false" name="Certificados" vbProcedure="false">"NA()"</definedName>
    <definedName function="false" hidden="false" name="Comisión" vbProcedure="false">"NA()"</definedName>
    <definedName function="false" hidden="false" name="ICC" vbProcedure="false">"NA()"</definedName>
    <definedName function="false" hidden="false" name="otros" vbProcedure="false">"NA()"</definedName>
    <definedName function="false" hidden="false" name="otros_3" vbProcedure="false">"NA()"</definedName>
    <definedName function="false" hidden="false" name="plazo" vbProcedure="false">"NA()"</definedName>
    <definedName function="false" hidden="false" name="plazo_3" vbProcedure="false">"NA()"</definedName>
    <definedName function="false" hidden="false" name="Provisión" vbProcedure="false">"NA()"</definedName>
    <definedName function="false" hidden="false" name="puntaje" vbProcedure="false">"NA()"</definedName>
    <definedName function="false" hidden="false" name="saldo" vbProcedure="false">"NA()"</definedName>
    <definedName function="false" hidden="false" name="saldo_3" vbProcedure="false">"NA()"</definedName>
    <definedName function="false" hidden="false" name="SEGURO" vbProcedure="false">"NA()"</definedName>
    <definedName function="false" hidden="false" name="SHARED_FORMULA_2_13_2_13_1" vbProcedure="false">+!#REF!/!#REF!</definedName>
    <definedName function="false" hidden="false" name="SHARED_FORMULA_2_25_2_25_1" vbProcedure="false">+!#REF!/!#REF!</definedName>
    <definedName function="false" hidden="false" name="SHARED_FORMULA_2_37_2_37_1" vbProcedure="false">+!#REF!/!#REF!</definedName>
    <definedName function="false" hidden="false" name="SHARED_FORMULA_2_49_2_49_1" vbProcedure="false">"#REF!/#REF!"</definedName>
    <definedName function="false" hidden="false" name="SHARED_FORMULA_3_13_3_13_1" vbProcedure="false">+!#REF!*!#REF!</definedName>
    <definedName function="false" hidden="false" name="SHARED_FORMULA_3_25_3_25_1" vbProcedure="false">+!#REF!*!#REF!</definedName>
    <definedName function="false" hidden="false" name="SHARED_FORMULA_3_37_3_37_1" vbProcedure="false">+!#REF!*!#REF!</definedName>
    <definedName function="false" hidden="false" name="SHARED_FORMULA_3_49_3_49_1" vbProcedure="false">"#REF!*#REF!"</definedName>
    <definedName function="false" hidden="false" name="SHARED_FORMULA_7_49_7_49_1" vbProcedure="false">"#REF!/#REF!"</definedName>
    <definedName function="false" hidden="false" name="SHARED_FORMULA_8_49_8_49_1" vbProcedure="false">"#REF!*#REF!"</definedName>
    <definedName function="false" hidden="false" name="SOLCA" vbProcedure="false">"NA()"</definedName>
    <definedName function="false" hidden="false" localSheetId="3" name="SHARED_FORMULA_2_13_2_13_1" vbProcedure="false">+!#REF!/!#REF!</definedName>
    <definedName function="false" hidden="false" localSheetId="3" name="SHARED_FORMULA_2_25_2_25_1" vbProcedure="false">+!#REF!/!#REF!</definedName>
    <definedName function="false" hidden="false" localSheetId="3" name="SHARED_FORMULA_2_37_2_37_1" vbProcedure="false">+!#REF!/!#REF!</definedName>
    <definedName function="false" hidden="false" localSheetId="3" name="SHARED_FORMULA_2_49_2_49_1" vbProcedure="false">"#REF!/#REF!"</definedName>
    <definedName function="false" hidden="false" localSheetId="3" name="SHARED_FORMULA_3_13_3_13_1" vbProcedure="false">+!#REF!*!#REF!</definedName>
    <definedName function="false" hidden="false" localSheetId="3" name="SHARED_FORMULA_3_25_3_25_1" vbProcedure="false">+!#REF!*!#REF!</definedName>
    <definedName function="false" hidden="false" localSheetId="3" name="SHARED_FORMULA_3_37_3_37_1" vbProcedure="false">+!#REF!*!#REF!</definedName>
    <definedName function="false" hidden="false" localSheetId="3" name="SHARED_FORMULA_3_49_3_49_1" vbProcedure="false">"#REF!*#REF!"</definedName>
    <definedName function="false" hidden="false" localSheetId="3" name="SHARED_FORMULA_7_49_7_49_1" vbProcedure="false">"#REF!/#REF!"</definedName>
    <definedName function="false" hidden="false" localSheetId="3" name="SHARED_FORMULA_8_49_8_49_1" vbProcedure="false">"#REF!*#REF!"</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Autoría desconocida</author>
  </authors>
  <commentList>
    <comment ref="A235" authorId="0">
      <text>
        <r>
          <rPr>
            <sz val="10"/>
            <rFont val="Arial"/>
            <family val="2"/>
          </rPr>
          <t xml:space="preserve">Activo Corriente/Pasivo Corriente
</t>
        </r>
        <r>
          <rPr>
            <sz val="9"/>
            <color rgb="FF000000"/>
            <rFont val="Calibri"/>
            <family val="2"/>
            <charset val="1"/>
          </rPr>
          <t xml:space="preserve">- Indica qué proporción de deudas a corto plazo son cubiertas por el activo, cuya conversión en dinero corresponde aproximadamente al vencimiento de las deudas. (Se expresa en %).</t>
        </r>
      </text>
    </comment>
    <comment ref="A237" authorId="0">
      <text>
        <r>
          <rPr>
            <sz val="10"/>
            <rFont val="Arial"/>
            <family val="2"/>
          </rPr>
          <t xml:space="preserve">Activo Corriente- Inventario/Pasivo Corriente
</t>
        </r>
        <r>
          <rPr>
            <sz val="9"/>
            <color rgb="FF000000"/>
            <rFont val="Calibri"/>
            <family val="2"/>
            <charset val="1"/>
          </rPr>
          <t xml:space="preserve">- Se descartan de los activos corrientes, las cuentas que no son realizables de manera fácil. Proporciona una medida más exigente de la capacidad de pago a corto plazo de una empresa. (se expresa en Veces).</t>
        </r>
      </text>
    </comment>
    <comment ref="A239" authorId="0">
      <text>
        <r>
          <rPr>
            <sz val="10"/>
            <rFont val="Arial"/>
            <family val="2"/>
          </rPr>
          <t xml:space="preserve">Activo Corriente-Pasivo Corriente
</t>
        </r>
        <r>
          <rPr>
            <sz val="9"/>
            <color rgb="FF000000"/>
            <rFont val="Calibri"/>
            <family val="2"/>
            <charset val="1"/>
          </rPr>
          <t xml:space="preserve">- Es lo que le queda a la empresa después de saldar sus deudas inmediatas. Es el dinero del que dispone la empresa para poder operar diariamente. (Se expresa en Unidades Monetarias).</t>
        </r>
      </text>
    </comment>
    <comment ref="A241" authorId="0">
      <text>
        <r>
          <rPr>
            <sz val="10"/>
            <rFont val="Arial"/>
            <family val="2"/>
          </rPr>
          <t xml:space="preserve">Cuota Propuesta/Excedente Neto</t>
        </r>
      </text>
    </comment>
    <comment ref="A245" authorId="0">
      <text>
        <r>
          <rPr>
            <sz val="10"/>
            <rFont val="Arial"/>
            <family val="2"/>
          </rPr>
          <t xml:space="preserve">Utilidad neta/Ventas netas
</t>
        </r>
        <r>
          <rPr>
            <sz val="9"/>
            <color rgb="FF000000"/>
            <rFont val="Calibri"/>
            <family val="2"/>
            <charset val="1"/>
          </rPr>
          <t xml:space="preserve">- Indica el porcentaje de utilidad que tiene el negocio, respecto a las ventas realizadas</t>
        </r>
      </text>
    </comment>
    <comment ref="A247" authorId="0">
      <text>
        <r>
          <rPr>
            <sz val="10"/>
            <rFont val="Arial"/>
            <family val="2"/>
          </rPr>
          <t xml:space="preserve">Utilidad neta/Patrimonio
</t>
        </r>
        <r>
          <rPr>
            <sz val="9"/>
            <color rgb="FF000000"/>
            <rFont val="Calibri"/>
            <family val="2"/>
            <charset val="1"/>
          </rPr>
          <t xml:space="preserve">- Refleja el retorno de la empresa en función a los recursos propios.
(ROE)</t>
        </r>
      </text>
    </comment>
    <comment ref="A249" authorId="0">
      <text>
        <r>
          <rPr>
            <sz val="10"/>
            <rFont val="Arial"/>
            <family val="2"/>
          </rPr>
          <t xml:space="preserve">Utilidad Neta/Activos Totales
</t>
        </r>
        <r>
          <rPr>
            <sz val="9"/>
            <color rgb="FF000000"/>
            <rFont val="Calibri"/>
            <family val="2"/>
            <charset val="1"/>
          </rPr>
          <t xml:space="preserve">- Indica cómo la empresa maneja los activos existentes, mientras genera ganancias o utilidad.
(ROA)</t>
        </r>
      </text>
    </comment>
    <comment ref="F172" authorId="0">
      <text>
        <r>
          <rPr>
            <sz val="10"/>
            <rFont val="Arial"/>
            <family val="2"/>
          </rPr>
          <t xml:space="preserve">Especificar caracteristicas principales del bien
</t>
        </r>
        <r>
          <rPr>
            <sz val="9"/>
            <color rgb="FF000000"/>
            <rFont val="Calibri"/>
            <family val="2"/>
            <charset val="1"/>
          </rPr>
          <t xml:space="preserve">Ejm. Casa dos piso color azul
- Obra Negra- Obra Gris</t>
        </r>
      </text>
    </comment>
    <comment ref="U235" authorId="0">
      <text>
        <r>
          <rPr>
            <sz val="10"/>
            <rFont val="Arial"/>
            <family val="2"/>
          </rPr>
          <t xml:space="preserve">Cuentas por Cobrar/(Ventas Anuales/360)
</t>
        </r>
        <r>
          <rPr>
            <sz val="9"/>
            <color rgb="FF000000"/>
            <rFont val="Calibri"/>
            <family val="2"/>
            <charset val="1"/>
          </rPr>
          <t xml:space="preserve">- Representa el número de días, que tarda el negocio en recuperar sus ventas</t>
        </r>
      </text>
    </comment>
    <comment ref="U237" authorId="0">
      <text>
        <r>
          <rPr>
            <sz val="10"/>
            <rFont val="Arial"/>
            <family val="2"/>
          </rPr>
          <t xml:space="preserve">Cuentas Por Pagar/(Compras Anuales/360)
</t>
        </r>
        <r>
          <rPr>
            <sz val="9"/>
            <color rgb="FF000000"/>
            <rFont val="Calibri"/>
            <family val="2"/>
            <charset val="1"/>
          </rPr>
          <t xml:space="preserve">- Representa el tiempo promedio que tarda el negocio en pagar sus compras a crédito</t>
        </r>
      </text>
    </comment>
    <comment ref="U239" authorId="0">
      <text>
        <r>
          <rPr>
            <sz val="10"/>
            <rFont val="Arial"/>
            <family val="2"/>
          </rPr>
          <t xml:space="preserve">Inventarios/(Costo de Ventas Anuales/360)
</t>
        </r>
        <r>
          <rPr>
            <sz val="9"/>
            <color rgb="FF000000"/>
            <rFont val="Calibri"/>
            <family val="2"/>
            <charset val="1"/>
          </rPr>
          <t xml:space="preserve">- Expresa el número promedio de días que tarda el inventario, para hacerse efectivo luego de su venta</t>
        </r>
      </text>
    </comment>
    <comment ref="U241" authorId="0">
      <text>
        <r>
          <rPr>
            <sz val="10"/>
            <rFont val="Arial"/>
            <family val="2"/>
          </rPr>
          <t xml:space="preserve">Ventas/Activos Totales
</t>
        </r>
        <r>
          <rPr>
            <sz val="9"/>
            <color rgb="FF000000"/>
            <rFont val="Calibri"/>
            <family val="2"/>
            <charset val="1"/>
          </rPr>
          <t xml:space="preserve">- Expresa el número de veces que las ventas rotan con relación a los activos totales</t>
        </r>
      </text>
    </comment>
    <comment ref="U245" authorId="0">
      <text>
        <r>
          <rPr>
            <sz val="10"/>
            <rFont val="Arial"/>
            <family val="2"/>
          </rPr>
          <t xml:space="preserve">Pasivo Corriente/Pasivo Total
</t>
        </r>
        <r>
          <rPr>
            <sz val="9"/>
            <color rgb="FF000000"/>
            <rFont val="Calibri"/>
            <family val="2"/>
            <charset val="1"/>
          </rPr>
          <t xml:space="preserve">- Indica el porcentaje de deuda a corto plazo, que se encuentra financiada por terceros, respecto a la deuda total.</t>
        </r>
      </text>
    </comment>
    <comment ref="U247" authorId="0">
      <text>
        <r>
          <rPr>
            <sz val="10"/>
            <rFont val="Arial"/>
            <family val="2"/>
          </rPr>
          <t xml:space="preserve">Pasivo Total/Activo Total
</t>
        </r>
        <r>
          <rPr>
            <sz val="9"/>
            <color rgb="FF000000"/>
            <rFont val="Calibri"/>
            <family val="2"/>
            <charset val="1"/>
          </rPr>
          <t xml:space="preserve">- Indica en qué grado y de qué forma participan los acrredores, dentro del financiamiento de la empresa.</t>
        </r>
      </text>
    </comment>
    <comment ref="U249" authorId="0">
      <text>
        <r>
          <rPr>
            <sz val="10"/>
            <rFont val="Arial"/>
            <family val="2"/>
          </rPr>
          <t xml:space="preserve">Pasivo Total/Patrimonio Total
</t>
        </r>
        <r>
          <rPr>
            <sz val="9"/>
            <color rgb="FF000000"/>
            <rFont val="Calibri"/>
            <family val="2"/>
            <charset val="1"/>
          </rPr>
          <t xml:space="preserve">- Representa el porcentaje calculado de la deuda total sobre el patrimonio, indicando el porcentaje en que se encuentra comprometido.</t>
        </r>
      </text>
    </comment>
  </commentList>
</comments>
</file>

<file path=xl/sharedStrings.xml><?xml version="1.0" encoding="utf-8"?>
<sst xmlns="http://schemas.openxmlformats.org/spreadsheetml/2006/main" count="806" uniqueCount="599">
  <si>
    <t xml:space="preserve">ETNIA</t>
  </si>
  <si>
    <t xml:space="preserve">ESTADO CIVIL</t>
  </si>
  <si>
    <t xml:space="preserve">NIVEL INSTRUCCIÓN</t>
  </si>
  <si>
    <t xml:space="preserve">TIPO VIVIENDA</t>
  </si>
  <si>
    <t xml:space="preserve">CONDICIÓN LOCAL</t>
  </si>
  <si>
    <t xml:space="preserve">Afrodescendiente</t>
  </si>
  <si>
    <t xml:space="preserve">Soltero/a</t>
  </si>
  <si>
    <t xml:space="preserve">Sin Educación</t>
  </si>
  <si>
    <t xml:space="preserve">Propia</t>
  </si>
  <si>
    <t xml:space="preserve">Propio</t>
  </si>
  <si>
    <t xml:space="preserve">Cholo/a</t>
  </si>
  <si>
    <t xml:space="preserve">Casado/a</t>
  </si>
  <si>
    <t xml:space="preserve">Prebásica</t>
  </si>
  <si>
    <t xml:space="preserve">Prestada</t>
  </si>
  <si>
    <t xml:space="preserve">Arrendado</t>
  </si>
  <si>
    <t xml:space="preserve">Indígena</t>
  </si>
  <si>
    <t xml:space="preserve">Viudo/a</t>
  </si>
  <si>
    <t xml:space="preserve">Básico</t>
  </si>
  <si>
    <t xml:space="preserve">Arrendada</t>
  </si>
  <si>
    <t xml:space="preserve">Familiares</t>
  </si>
  <si>
    <t xml:space="preserve">Mulato/a</t>
  </si>
  <si>
    <t xml:space="preserve">Divorciado/a</t>
  </si>
  <si>
    <t xml:space="preserve">Secundario</t>
  </si>
  <si>
    <t xml:space="preserve">Anticresis</t>
  </si>
  <si>
    <t xml:space="preserve">Montubio/a</t>
  </si>
  <si>
    <t xml:space="preserve">Unión Hecho</t>
  </si>
  <si>
    <t xml:space="preserve">Técnico</t>
  </si>
  <si>
    <t xml:space="preserve">No aplica</t>
  </si>
  <si>
    <t xml:space="preserve">Mestizo/a</t>
  </si>
  <si>
    <t xml:space="preserve">Cas. Disol. Cony.</t>
  </si>
  <si>
    <t xml:space="preserve">Superior</t>
  </si>
  <si>
    <t xml:space="preserve">Herederos</t>
  </si>
  <si>
    <t xml:space="preserve">Negro/a</t>
  </si>
  <si>
    <t xml:space="preserve">Postgrado</t>
  </si>
  <si>
    <t xml:space="preserve">Otro/a</t>
  </si>
  <si>
    <t xml:space="preserve">OFICINAS</t>
  </si>
  <si>
    <t xml:space="preserve">FORMA DE PAGO</t>
  </si>
  <si>
    <t xml:space="preserve">DÍAS- FORMA DE PAGO</t>
  </si>
  <si>
    <t xml:space="preserve">GARANTÍA</t>
  </si>
  <si>
    <t xml:space="preserve">ACTIVIDAD ECONÓMICA</t>
  </si>
  <si>
    <t xml:space="preserve">LUGAR DE VENTAS</t>
  </si>
  <si>
    <t xml:space="preserve">TULCAN</t>
  </si>
  <si>
    <t xml:space="preserve">Diario</t>
  </si>
  <si>
    <t xml:space="preserve">Autoliquidable</t>
  </si>
  <si>
    <t xml:space="preserve">Independiente</t>
  </si>
  <si>
    <t xml:space="preserve">Local</t>
  </si>
  <si>
    <t xml:space="preserve">SAN GABRIEL</t>
  </si>
  <si>
    <t xml:space="preserve">Semanal</t>
  </si>
  <si>
    <t xml:space="preserve">Personal</t>
  </si>
  <si>
    <t xml:space="preserve">Dependiente</t>
  </si>
  <si>
    <t xml:space="preserve">Ambulante</t>
  </si>
  <si>
    <t xml:space="preserve">BOLIVAR</t>
  </si>
  <si>
    <t xml:space="preserve">Mensual</t>
  </si>
  <si>
    <t xml:space="preserve">Hipotecaria</t>
  </si>
  <si>
    <t xml:space="preserve">No trabaja</t>
  </si>
  <si>
    <t xml:space="preserve">Puerta a puerta</t>
  </si>
  <si>
    <t xml:space="preserve">MIRA</t>
  </si>
  <si>
    <t xml:space="preserve">Trimestral</t>
  </si>
  <si>
    <t xml:space="preserve">Prendario</t>
  </si>
  <si>
    <t xml:space="preserve">IBARRA</t>
  </si>
  <si>
    <t xml:space="preserve">Semestral</t>
  </si>
  <si>
    <t xml:space="preserve">FOGEPS</t>
  </si>
  <si>
    <t xml:space="preserve">IBARRA MAYORISTA</t>
  </si>
  <si>
    <t xml:space="preserve">Al Vencimiento</t>
  </si>
  <si>
    <t xml:space="preserve">Sin Garante</t>
  </si>
  <si>
    <t xml:space="preserve">IBARRA AMAZONAS</t>
  </si>
  <si>
    <t xml:space="preserve">ATUNTAQUI</t>
  </si>
  <si>
    <t xml:space="preserve">Si</t>
  </si>
  <si>
    <t xml:space="preserve">OTAVALO</t>
  </si>
  <si>
    <t xml:space="preserve">No</t>
  </si>
  <si>
    <t xml:space="preserve">CAYAMBE</t>
  </si>
  <si>
    <t xml:space="preserve">QUITO</t>
  </si>
  <si>
    <t xml:space="preserve">GUAMANI</t>
  </si>
  <si>
    <t xml:space="preserve">TUMBACO</t>
  </si>
  <si>
    <t xml:space="preserve">LAGO AGRIO</t>
  </si>
  <si>
    <t xml:space="preserve">JULIO ANDRADE</t>
  </si>
  <si>
    <t xml:space="preserve">CUENCA</t>
  </si>
  <si>
    <t xml:space="preserve">TIPO</t>
  </si>
  <si>
    <t xml:space="preserve">PRODUCTO</t>
  </si>
  <si>
    <t xml:space="preserve">Productivo</t>
  </si>
  <si>
    <t xml:space="preserve">Mensualidad</t>
  </si>
  <si>
    <t xml:space="preserve">Product. Refinanc.</t>
  </si>
  <si>
    <t xml:space="preserve">Product. Reestruct.</t>
  </si>
  <si>
    <t xml:space="preserve">Ordinario</t>
  </si>
  <si>
    <t xml:space="preserve">Microcrédito</t>
  </si>
  <si>
    <t xml:space="preserve">Ordinario sin garante</t>
  </si>
  <si>
    <t xml:space="preserve">Micro Refinanciado</t>
  </si>
  <si>
    <t xml:space="preserve">Hipotecario</t>
  </si>
  <si>
    <t xml:space="preserve">Micro Reestruct.</t>
  </si>
  <si>
    <t xml:space="preserve">Especial instituciones</t>
  </si>
  <si>
    <t xml:space="preserve">Inmobiliario</t>
  </si>
  <si>
    <t xml:space="preserve">Especial Com. Transporte</t>
  </si>
  <si>
    <t xml:space="preserve">Inmob. Refinanc.</t>
  </si>
  <si>
    <t xml:space="preserve">Vivienda</t>
  </si>
  <si>
    <t xml:space="preserve">Inmob. Reestruct.</t>
  </si>
  <si>
    <t xml:space="preserve">Educativo</t>
  </si>
  <si>
    <t xml:space="preserve">Consumo</t>
  </si>
  <si>
    <t xml:space="preserve">Vehicular</t>
  </si>
  <si>
    <t xml:space="preserve">Consumo Refinanc.</t>
  </si>
  <si>
    <t xml:space="preserve">MIPYME</t>
  </si>
  <si>
    <t xml:space="preserve">Consumo Reestruct.</t>
  </si>
  <si>
    <t xml:space="preserve">MIPYME MUJER</t>
  </si>
  <si>
    <t xml:space="preserve">Finanzas Pop. 1 -10000</t>
  </si>
  <si>
    <t xml:space="preserve">Educativo Refinanc.</t>
  </si>
  <si>
    <t xml:space="preserve">Finanz. Pop. 10001 -20000</t>
  </si>
  <si>
    <t xml:space="preserve">Educativo Reestruct.</t>
  </si>
  <si>
    <t xml:space="preserve">Sin Gar. Fin. Pop. 1- 10000</t>
  </si>
  <si>
    <t xml:space="preserve">Sin Gar. Fin. Pop. 10001-20000</t>
  </si>
  <si>
    <t xml:space="preserve">SOLICITUD DE CRÉDITO Y LEVANTAMIENTO DE INFORMACIÓN</t>
  </si>
  <si>
    <t xml:space="preserve">PP-CL-IN 2.3.3-C</t>
  </si>
  <si>
    <t xml:space="preserve">1. DATOS DEL CRÉDITO</t>
  </si>
  <si>
    <t xml:space="preserve">Solicitante</t>
  </si>
  <si>
    <t xml:space="preserve">x</t>
  </si>
  <si>
    <t xml:space="preserve">Garante</t>
  </si>
  <si>
    <t xml:space="preserve">Oficina</t>
  </si>
  <si>
    <t xml:space="preserve">Fecha</t>
  </si>
  <si>
    <t xml:space="preserve">Oficial de Negocios</t>
  </si>
  <si>
    <t xml:space="preserve">Original</t>
  </si>
  <si>
    <t xml:space="preserve">Novado</t>
  </si>
  <si>
    <t xml:space="preserve">Refinanciado</t>
  </si>
  <si>
    <t xml:space="preserve">Reestructurado</t>
  </si>
  <si>
    <t xml:space="preserve">7-03</t>
  </si>
  <si>
    <t xml:space="preserve">Segmentación</t>
  </si>
  <si>
    <t xml:space="preserve">Tasa de Interés</t>
  </si>
  <si>
    <t xml:space="preserve">Monto</t>
  </si>
  <si>
    <t xml:space="preserve">Plazo meses</t>
  </si>
  <si>
    <t xml:space="preserve">Cuota fija</t>
  </si>
  <si>
    <t xml:space="preserve">Forma Pago</t>
  </si>
  <si>
    <t xml:space="preserve">Garantía</t>
  </si>
  <si>
    <t xml:space="preserve">Destino del Crédito</t>
  </si>
  <si>
    <t xml:space="preserve">COMPRA DE VEHÍCULO DE TRABAJO</t>
  </si>
  <si>
    <t xml:space="preserve">2. DATOS PERSONALES</t>
  </si>
  <si>
    <t xml:space="preserve">Socio</t>
  </si>
  <si>
    <t xml:space="preserve">Apellidos y Nombres</t>
  </si>
  <si>
    <t xml:space="preserve">VILLAPRADO MOREIRA PATRICIA ISABEL</t>
  </si>
  <si>
    <t xml:space="preserve">Cédula</t>
  </si>
  <si>
    <t xml:space="preserve">Nacionalidad</t>
  </si>
  <si>
    <t xml:space="preserve">ECUATORIANA </t>
  </si>
  <si>
    <t xml:space="preserve">Lugar y Fecha de Nacimiento</t>
  </si>
  <si>
    <t xml:space="preserve">SUCUMBIOS / SHUSHUFINDI</t>
  </si>
  <si>
    <t xml:space="preserve">Edad</t>
  </si>
  <si>
    <t xml:space="preserve">Est. Civil</t>
  </si>
  <si>
    <t xml:space="preserve">Género</t>
  </si>
  <si>
    <t xml:space="preserve">M</t>
  </si>
  <si>
    <t xml:space="preserve">Etnia</t>
  </si>
  <si>
    <t xml:space="preserve">Niv. Instrucción</t>
  </si>
  <si>
    <t xml:space="preserve">Profesión</t>
  </si>
  <si>
    <t xml:space="preserve">BACHILLER</t>
  </si>
  <si>
    <t xml:space="preserve">Cargas Familiares</t>
  </si>
  <si>
    <t xml:space="preserve">3. DATOS DOMICILIO</t>
  </si>
  <si>
    <t xml:space="preserve">Provincia</t>
  </si>
  <si>
    <t xml:space="preserve">SUCUMBÌOS </t>
  </si>
  <si>
    <t xml:space="preserve">Cantón</t>
  </si>
  <si>
    <t xml:space="preserve">SHUSHUFINDI</t>
  </si>
  <si>
    <t xml:space="preserve">Parroquia</t>
  </si>
  <si>
    <t xml:space="preserve">Sector o barrio</t>
  </si>
  <si>
    <t xml:space="preserve">LOS BOSQUEZ</t>
  </si>
  <si>
    <t xml:space="preserve">Calle principal</t>
  </si>
  <si>
    <t xml:space="preserve">AV UNIDAD NACIONAL</t>
  </si>
  <si>
    <t xml:space="preserve">Calle secundaria</t>
  </si>
  <si>
    <t xml:space="preserve">6 DE DICIEMBRE</t>
  </si>
  <si>
    <t xml:space="preserve">Ref.</t>
  </si>
  <si>
    <t xml:space="preserve">A 100 MTS DE LA GASOLINERA REPSOL</t>
  </si>
  <si>
    <t xml:space="preserve">Tipo vivienda</t>
  </si>
  <si>
    <t xml:space="preserve">Propietario</t>
  </si>
  <si>
    <t xml:space="preserve">Tfno. Fijo</t>
  </si>
  <si>
    <t xml:space="preserve">Celular</t>
  </si>
  <si>
    <t xml:space="preserve">Años Resid.</t>
  </si>
  <si>
    <t xml:space="preserve"> </t>
  </si>
  <si>
    <t xml:space="preserve">Tfno. Fijo socio</t>
  </si>
  <si>
    <t xml:space="preserve">Celular Socio</t>
  </si>
  <si>
    <t xml:space="preserve">Correo Electrónico</t>
  </si>
  <si>
    <t xml:space="preserve">villaprado28@gmail.com</t>
  </si>
  <si>
    <t xml:space="preserve">4. DATOS CÓNYUGE O CONVIVIENTE</t>
  </si>
  <si>
    <t xml:space="preserve">HARO RODRIGUEZ WILO EDMUNDO</t>
  </si>
  <si>
    <t xml:space="preserve">IMBABURA/COTACACHI 1969/12/03</t>
  </si>
  <si>
    <t xml:space="preserve">5. ACTIVIDAD ECONÓMICA (Situación Laboral)</t>
  </si>
  <si>
    <t xml:space="preserve">Cónyuge</t>
  </si>
  <si>
    <t xml:space="preserve">6. ACTIVIDAD DEPENDIENTE</t>
  </si>
  <si>
    <t xml:space="preserve">Nombre de la empresa</t>
  </si>
  <si>
    <t xml:space="preserve">Provincia/ Cantón/ Ciudad</t>
  </si>
  <si>
    <t xml:space="preserve">Dirección de Trabajo</t>
  </si>
  <si>
    <t xml:space="preserve">Teléfono de trabajo</t>
  </si>
  <si>
    <t xml:space="preserve">Cargo</t>
  </si>
  <si>
    <t xml:space="preserve">Fecha de ingreso empleo</t>
  </si>
  <si>
    <t xml:space="preserve">Ingreso mensual</t>
  </si>
  <si>
    <t xml:space="preserve">Afiliado al IESS</t>
  </si>
  <si>
    <t xml:space="preserve">SI</t>
  </si>
  <si>
    <t xml:space="preserve">NO</t>
  </si>
  <si>
    <t xml:space="preserve">7. ACTIVIDAD INDEPENDIENTE</t>
  </si>
  <si>
    <t xml:space="preserve">Nombre de la Microempresa</t>
  </si>
  <si>
    <t xml:space="preserve">COOPERATIVA DE TRANSPORTE RIO SECOYA / TRANSPORTE WILO HARO</t>
  </si>
  <si>
    <t xml:space="preserve">Actividad Económica</t>
  </si>
  <si>
    <t xml:space="preserve">SERVICIO TRANSPORTE CARGA PESADA</t>
  </si>
  <si>
    <t xml:space="preserve">Antigüedad (años)</t>
  </si>
  <si>
    <t xml:space="preserve">Número empleados</t>
  </si>
  <si>
    <t xml:space="preserve">Dirección Microempresa</t>
  </si>
  <si>
    <t xml:space="preserve">BARRIO LOS TORITOS</t>
  </si>
  <si>
    <t xml:space="preserve">Condición local</t>
  </si>
  <si>
    <t xml:space="preserve">Lugar de Ventas</t>
  </si>
  <si>
    <t xml:space="preserve">LOS TORITOS</t>
  </si>
  <si>
    <t xml:space="preserve">Calle Principal</t>
  </si>
  <si>
    <t xml:space="preserve">ATAHUALPA</t>
  </si>
  <si>
    <t xml:space="preserve">Calle Secundaria</t>
  </si>
  <si>
    <t xml:space="preserve">AGUARICO TRES</t>
  </si>
  <si>
    <t xml:space="preserve">PASANDO CENTRO MEDICO GODOY</t>
  </si>
  <si>
    <t xml:space="preserve">8. REFERENCIAS PERSONALES Y FAMILIARES</t>
  </si>
  <si>
    <t xml:space="preserve">Nombre</t>
  </si>
  <si>
    <t xml:space="preserve">Dirección</t>
  </si>
  <si>
    <t xml:space="preserve">Teléfono</t>
  </si>
  <si>
    <t xml:space="preserve">Parentesco</t>
  </si>
  <si>
    <t xml:space="preserve">MIGUEL VILLAPRADO</t>
  </si>
  <si>
    <t xml:space="preserve">PRECOOPERATIVA DOCH</t>
  </si>
  <si>
    <t xml:space="preserve">HERMANO</t>
  </si>
  <si>
    <t xml:space="preserve">DANIEL MEDRANDA</t>
  </si>
  <si>
    <t xml:space="preserve">B EL REFUGIO</t>
  </si>
  <si>
    <t xml:space="preserve">AMIGO</t>
  </si>
  <si>
    <t xml:space="preserve">CESAR VILLAPRADO</t>
  </si>
  <si>
    <t xml:space="preserve">9. CROQUIS O COORDENADAS DOMICILIO</t>
  </si>
  <si>
    <t xml:space="preserve">10. CROQUIS O COORDENADAS NEGOCIO</t>
  </si>
  <si>
    <t xml:space="preserve">-0.18707342422564505, -76.65491736222887</t>
  </si>
  <si>
    <t xml:space="preserve">Autorizo (amos) expresa e irrevocablemente a la Cooperativa de Ahorro y Crédito Pablo Muñoz Vega Ltda., , para que obtenga cuantas veces lo requiera, y de cualquier fuente de información incluido Buros de crédito, información Histórica crediticia relacionada con el comportamiento de mis cuentas, operaciones, etc, y en general sobre el cumplimiento de las obligaciones e información referente a los activos, pasivos y contingentes. Así mismo declaro que la Cooperativa Pablo Muñoz Vega Ltda., , queda expresamente autorizada para que en cualquier momento pueda utilizar, transferir o entregar aquella información a Autoridades competentes, organismos de control, Burós de Información crediticia u otras entidades autorizadas. Declaro (amos) bajo juramento que toda la información proporcionada en esta solicitud es verdadera y exacta. La cooperativa podrá realizar las verificaciones que estime oportunas sobre información aquí detallada. Autorizo (amos) a la cooperativa Pablo Muñoz Vega Ltda., a debitar de mis (nuestros) ahorros, los valores necesarios para cancelar este préstamo. Declaro (amos) que la firma que hago (hacemos) constar en esta solicitud es la que utilizo (amos) en todos mis (nuestros) actos públicos y privados. Me (nos) comprometo a efectuar un ahorro mensual de acuerdo a las disposiciones de la institución.
Por otra parte, manifiesto y autorizo de manera libre y voluntaria a la Cooperativa de Ahorro y Crédito Pablo Muñoz Vega Ltda., para que realice el tratamiento de mis datos y/o de mi representada de acuerdo a lo que establece la ley orgánica de protección de datos personal del Ecuador. Así mismo manifiesto mi consentimiento y autorizo tratar y mantener mis datos y/o información o los de mi representada, lo que fuera del caso, incluso una vez finalizada cualquier relación contractual y/o de prestación de servicios, en los plazos establecidos por la ley.
</t>
  </si>
  <si>
    <t xml:space="preserve">ESPACIO RESERVADO PARA LA COOPERATIVA</t>
  </si>
  <si>
    <t xml:space="preserve">UAFE</t>
  </si>
  <si>
    <t xml:space="preserve">PEP´S</t>
  </si>
  <si>
    <t xml:space="preserve">SINDICADOS</t>
  </si>
  <si>
    <t xml:space="preserve">FIRMA SOLICITANTE (GARANTE)</t>
  </si>
  <si>
    <t xml:space="preserve">FIRMA CÓNYUGE O CODEUDOR</t>
  </si>
  <si>
    <t xml:space="preserve">Revisado por:</t>
  </si>
  <si>
    <t xml:space="preserve">ANÁLISIS ECONÓMICO</t>
  </si>
  <si>
    <t xml:space="preserve">11. Actividad Independiente</t>
  </si>
  <si>
    <t xml:space="preserve">11.1. Actividades de Comercio</t>
  </si>
  <si>
    <t xml:space="preserve">Producto</t>
  </si>
  <si>
    <t xml:space="preserve">1.Uni. Vend.</t>
  </si>
  <si>
    <t xml:space="preserve">2.Unid. Verif</t>
  </si>
  <si>
    <t xml:space="preserve">3.Cost Unit.</t>
  </si>
  <si>
    <t xml:space="preserve">4.Precio Vent</t>
  </si>
  <si>
    <t xml:space="preserve">5.Ventas (1*4)</t>
  </si>
  <si>
    <t xml:space="preserve">6.Cost (1*3)</t>
  </si>
  <si>
    <t xml:space="preserve">7.Invent (2*3)</t>
  </si>
  <si>
    <t xml:space="preserve">8.Utilidad</t>
  </si>
  <si>
    <t xml:space="preserve">9.% Rentabilidad</t>
  </si>
  <si>
    <t xml:space="preserve">TOTALES</t>
  </si>
  <si>
    <t xml:space="preserve">11.2 Actividad de Servicios</t>
  </si>
  <si>
    <t xml:space="preserve">Ventas Mensuales</t>
  </si>
  <si>
    <t xml:space="preserve">Compras Mensuales</t>
  </si>
  <si>
    <t xml:space="preserve">Tipo de servicio</t>
  </si>
  <si>
    <t xml:space="preserve">Cantidad</t>
  </si>
  <si>
    <t xml:space="preserve">Valor Unit.</t>
  </si>
  <si>
    <t xml:space="preserve">Valor Tot.</t>
  </si>
  <si>
    <t xml:space="preserve">Detalle</t>
  </si>
  <si>
    <t xml:space="preserve">VENTAS TOTALES</t>
  </si>
  <si>
    <t xml:space="preserve">COMPRAS TOTALES</t>
  </si>
  <si>
    <t xml:space="preserve">UTILIDAD BRUTA</t>
  </si>
  <si>
    <t xml:space="preserve">11.3 Actividades de Producción</t>
  </si>
  <si>
    <t xml:space="preserve">Producto 1</t>
  </si>
  <si>
    <t xml:space="preserve">Producto 2</t>
  </si>
  <si>
    <t xml:space="preserve">Insumos</t>
  </si>
  <si>
    <t xml:space="preserve">Cost. Unit.</t>
  </si>
  <si>
    <t xml:space="preserve">Total</t>
  </si>
  <si>
    <t xml:space="preserve">Costo total</t>
  </si>
  <si>
    <t xml:space="preserve">Unidades Producidas</t>
  </si>
  <si>
    <t xml:space="preserve">Unidades vendidas</t>
  </si>
  <si>
    <t xml:space="preserve">Precio</t>
  </si>
  <si>
    <t xml:space="preserve">Ventas</t>
  </si>
  <si>
    <t xml:space="preserve">Costo</t>
  </si>
  <si>
    <t xml:space="preserve">Utilidad</t>
  </si>
  <si>
    <t xml:space="preserve">11.4 Actividades de Transporte</t>
  </si>
  <si>
    <t xml:space="preserve">Tipo</t>
  </si>
  <si>
    <t xml:space="preserve">TRACTO CAMION / UNIDAD DE CARGA Y REMOLQUE</t>
  </si>
  <si>
    <t xml:space="preserve">N° Disco</t>
  </si>
  <si>
    <t xml:space="preserve">Placas</t>
  </si>
  <si>
    <t xml:space="preserve">KAA1677</t>
  </si>
  <si>
    <t xml:space="preserve">Marca</t>
  </si>
  <si>
    <t xml:space="preserve">KENWORTH</t>
  </si>
  <si>
    <t xml:space="preserve">Año</t>
  </si>
  <si>
    <t xml:space="preserve">2019/2019/2020</t>
  </si>
  <si>
    <t xml:space="preserve">Cap. de Pasajeros</t>
  </si>
  <si>
    <t xml:space="preserve">Ruta</t>
  </si>
  <si>
    <t xml:space="preserve">Horario</t>
  </si>
  <si>
    <t xml:space="preserve">Cra. Pasaje. Flete</t>
  </si>
  <si>
    <t xml:space="preserve">Días lab.</t>
  </si>
  <si>
    <t xml:space="preserve">Vtas. Diarias</t>
  </si>
  <si>
    <t xml:space="preserve">Total Ingresos</t>
  </si>
  <si>
    <t xml:space="preserve">Shushufindi – Guayaquil (Pascuales)</t>
  </si>
  <si>
    <t xml:space="preserve">06H00 a 18H00</t>
  </si>
  <si>
    <t xml:space="preserve">Shushufindi – Santa Elena (Libertad)</t>
  </si>
  <si>
    <t xml:space="preserve">Combustible</t>
  </si>
  <si>
    <t xml:space="preserve">Mantenimient</t>
  </si>
  <si>
    <t xml:space="preserve">Prov. Llantas</t>
  </si>
  <si>
    <t xml:space="preserve">Chofer</t>
  </si>
  <si>
    <t xml:space="preserve">Ayudante</t>
  </si>
  <si>
    <t xml:space="preserve">Aportes</t>
  </si>
  <si>
    <t xml:space="preserve">Peajes</t>
  </si>
  <si>
    <t xml:space="preserve">Otros</t>
  </si>
  <si>
    <t xml:space="preserve">Total Gastos</t>
  </si>
  <si>
    <t xml:space="preserve">Utilidad Neta</t>
  </si>
  <si>
    <t xml:space="preserve">12. Para Dependiente e Independiente</t>
  </si>
  <si>
    <t xml:space="preserve">12.1 . AUXILIAR DE ACTIVOS</t>
  </si>
  <si>
    <t xml:space="preserve">Detalle del Bien</t>
  </si>
  <si>
    <t xml:space="preserve"> Dirección</t>
  </si>
  <si>
    <t xml:space="preserve">Valor</t>
  </si>
  <si>
    <t xml:space="preserve">Hipotecado</t>
  </si>
  <si>
    <t xml:space="preserve">Institución</t>
  </si>
  <si>
    <t xml:space="preserve">Vehículo</t>
  </si>
  <si>
    <t xml:space="preserve">TRACTO CAMION KENWORTH</t>
  </si>
  <si>
    <t xml:space="preserve">BARRIO LA ALBORADA</t>
  </si>
  <si>
    <t xml:space="preserve">NA</t>
  </si>
  <si>
    <t xml:space="preserve">Casa</t>
  </si>
  <si>
    <t xml:space="preserve">CASA DE DOS PISOS</t>
  </si>
  <si>
    <t xml:space="preserve">SHUSHUFINDI – B LOS BOSQUEZ</t>
  </si>
  <si>
    <t xml:space="preserve">B INTERNACIONAL</t>
  </si>
  <si>
    <t xml:space="preserve">12.2. AUXILIAR PASIVOS</t>
  </si>
  <si>
    <t xml:space="preserve">Plazo</t>
  </si>
  <si>
    <t xml:space="preserve">Cuota</t>
  </si>
  <si>
    <t xml:space="preserve">Saldo</t>
  </si>
  <si>
    <t xml:space="preserve">Destino</t>
  </si>
  <si>
    <t xml:space="preserve">AUSTRO VISA</t>
  </si>
  <si>
    <t xml:space="preserve">Consumo </t>
  </si>
  <si>
    <t xml:space="preserve">INTERNACIONAL VISA</t>
  </si>
  <si>
    <t xml:space="preserve">INTERNACIONAL</t>
  </si>
  <si>
    <t xml:space="preserve">Pymes</t>
  </si>
  <si>
    <t xml:space="preserve">PRODUBANCO</t>
  </si>
  <si>
    <t xml:space="preserve">BIESS</t>
  </si>
  <si>
    <t xml:space="preserve">RETAIL / ETA FASHION</t>
  </si>
  <si>
    <t xml:space="preserve">13. INFORMACIÓN ECONÓMICA FINANCIERA</t>
  </si>
  <si>
    <t xml:space="preserve">ACTIVOS</t>
  </si>
  <si>
    <t xml:space="preserve">VALOR</t>
  </si>
  <si>
    <t xml:space="preserve">PASIVOS</t>
  </si>
  <si>
    <t xml:space="preserve">Dinero en Efectivo</t>
  </si>
  <si>
    <t xml:space="preserve">Cuentas por Pagar a Corto Plazo</t>
  </si>
  <si>
    <t xml:space="preserve">Depósitos en esta Cooperativa</t>
  </si>
  <si>
    <t xml:space="preserve">Deudas Consumo Menor a un año</t>
  </si>
  <si>
    <t xml:space="preserve">Depósitos en otras Instituciones</t>
  </si>
  <si>
    <t xml:space="preserve">Deudas Micro Menor a un año</t>
  </si>
  <si>
    <t xml:space="preserve">Dinero por cobrar</t>
  </si>
  <si>
    <t xml:space="preserve">Otras Deudas a Corto Plazo</t>
  </si>
  <si>
    <t xml:space="preserve">Inventario de Mercadería</t>
  </si>
  <si>
    <t xml:space="preserve">Total Pasivo a Corto Plazo</t>
  </si>
  <si>
    <t xml:space="preserve">Total Activo Corriente</t>
  </si>
  <si>
    <t xml:space="preserve">Deudas Consumo Mayor a un año</t>
  </si>
  <si>
    <t xml:space="preserve">Inversión en Cultivos</t>
  </si>
  <si>
    <t xml:space="preserve">Deudas Micro Mayor a un año</t>
  </si>
  <si>
    <t xml:space="preserve">Inversión en Ganado</t>
  </si>
  <si>
    <t xml:space="preserve">Deudas por Pagar a largo Plazo</t>
  </si>
  <si>
    <t xml:space="preserve">Muebles y Electrodomésticos</t>
  </si>
  <si>
    <t xml:space="preserve">Total Pasivo a Largo Plazo</t>
  </si>
  <si>
    <t xml:space="preserve">Total Inversiones</t>
  </si>
  <si>
    <t xml:space="preserve">Herramientas y Maquinaria de trabajo</t>
  </si>
  <si>
    <t xml:space="preserve">TOTAL PASIVOS</t>
  </si>
  <si>
    <t xml:space="preserve">Vehículos</t>
  </si>
  <si>
    <t xml:space="preserve">Casa o construcciones</t>
  </si>
  <si>
    <t xml:space="preserve">Terrenos</t>
  </si>
  <si>
    <t xml:space="preserve">PATRIMONIO</t>
  </si>
  <si>
    <t xml:space="preserve">Otros-Detallar activo:</t>
  </si>
  <si>
    <t xml:space="preserve">Total Activo Fijo</t>
  </si>
  <si>
    <t xml:space="preserve">TOTAL ACTIVOS</t>
  </si>
  <si>
    <t xml:space="preserve">TOTAL PASIVOS + PATRIMONIO</t>
  </si>
  <si>
    <t xml:space="preserve">INGRESOS MENSUALES</t>
  </si>
  <si>
    <t xml:space="preserve">GASTOS MENSUALES (PROMEDIO)</t>
  </si>
  <si>
    <t xml:space="preserve">ANÁLISIS FINANCIERO</t>
  </si>
  <si>
    <t xml:space="preserve">Sueldo del socio</t>
  </si>
  <si>
    <t xml:space="preserve">Por alimentación</t>
  </si>
  <si>
    <t xml:space="preserve">(+)Ventas mensuales</t>
  </si>
  <si>
    <t xml:space="preserve">Sueldo del cónyuge</t>
  </si>
  <si>
    <t xml:space="preserve">Por arriendos</t>
  </si>
  <si>
    <t xml:space="preserve">(-) Costos mensuales</t>
  </si>
  <si>
    <t xml:space="preserve">Ganancias por comercio</t>
  </si>
  <si>
    <t xml:space="preserve">Por servicios básicos: agua, luz, etc.</t>
  </si>
  <si>
    <t xml:space="preserve">(=) UTILIDAD BRUTA</t>
  </si>
  <si>
    <t xml:space="preserve">Ganancias de la agricultura</t>
  </si>
  <si>
    <t xml:space="preserve">Por educación</t>
  </si>
  <si>
    <t xml:space="preserve">(-) Pago deudas micro</t>
  </si>
  <si>
    <t xml:space="preserve">Ganancias de la ganadería</t>
  </si>
  <si>
    <t xml:space="preserve">Por salud</t>
  </si>
  <si>
    <t xml:space="preserve">(=) UTILIDAD NETA</t>
  </si>
  <si>
    <t xml:space="preserve">Por arriendos recibidos</t>
  </si>
  <si>
    <t xml:space="preserve">Deudas micro</t>
  </si>
  <si>
    <t xml:space="preserve">(-) Gastos Familiares</t>
  </si>
  <si>
    <t xml:space="preserve">Por alquiler de vehículos</t>
  </si>
  <si>
    <t xml:space="preserve">Por vestuario</t>
  </si>
  <si>
    <t xml:space="preserve">(+) Otros ingresos</t>
  </si>
  <si>
    <t xml:space="preserve">Por pensiones recibidas</t>
  </si>
  <si>
    <t xml:space="preserve">Pago de pensiones</t>
  </si>
  <si>
    <t xml:space="preserve">(=) EXCEDENTE NETO</t>
  </si>
  <si>
    <t xml:space="preserve">Otros ingresos</t>
  </si>
  <si>
    <t xml:space="preserve">Por transporte</t>
  </si>
  <si>
    <t xml:space="preserve">Otros gastos</t>
  </si>
  <si>
    <t xml:space="preserve">CUOTA (CASTIGO 30%)</t>
  </si>
  <si>
    <t xml:space="preserve">TOTAL INGRESOS</t>
  </si>
  <si>
    <t xml:space="preserve">TOTAL GASTOS</t>
  </si>
  <si>
    <t xml:space="preserve">CUOTA (CASTIGO 50%)</t>
  </si>
  <si>
    <t xml:space="preserve">INDICADORES FINANCIEROS</t>
  </si>
  <si>
    <t xml:space="preserve">INDICADORES DE LIQUIDEZ</t>
  </si>
  <si>
    <t xml:space="preserve">INDICADORES DE GESTIÓN- ACTIVIDAD</t>
  </si>
  <si>
    <t xml:space="preserve">Razón Circulante</t>
  </si>
  <si>
    <t xml:space="preserve">Rotación Cuentas por Cobrar</t>
  </si>
  <si>
    <t xml:space="preserve">Prueba Ácida</t>
  </si>
  <si>
    <t xml:space="preserve">Rotación Cuentas por Pagar</t>
  </si>
  <si>
    <t xml:space="preserve">Capital de Trabajo</t>
  </si>
  <si>
    <t xml:space="preserve">Rotación de Inventarios</t>
  </si>
  <si>
    <t xml:space="preserve">Comportamiento Cuota</t>
  </si>
  <si>
    <t xml:space="preserve">Rotación de Activos Totales</t>
  </si>
  <si>
    <t xml:space="preserve">INDICADORES DE RENTABILIDAD</t>
  </si>
  <si>
    <t xml:space="preserve">INDICADORES DE ENDEUDAMIENTO</t>
  </si>
  <si>
    <t xml:space="preserve">Rentabilidad Comercial</t>
  </si>
  <si>
    <t xml:space="preserve">Endeudamiento a Corto plazo</t>
  </si>
  <si>
    <t xml:space="preserve">Rentabilidad sobre Patrimonio</t>
  </si>
  <si>
    <t xml:space="preserve">Razón de Endeudamiento</t>
  </si>
  <si>
    <t xml:space="preserve">Rendimiento Sobre Activos</t>
  </si>
  <si>
    <t xml:space="preserve">Endeudamiento Patrimonial</t>
  </si>
  <si>
    <t xml:space="preserve">Comentarios del Oficial de Negocios:</t>
  </si>
  <si>
    <t xml:space="preserve">La socia cumple con los parámetros del Manual de Crédito, manteniendo capacidad de pago y un nivel de endeudamiento razonable.</t>
  </si>
  <si>
    <t xml:space="preserve">Se recomienda la aprobación en los términos solicitados. </t>
  </si>
  <si>
    <t xml:space="preserve">FIRMA OFICIAL DE NEGOCIOS</t>
  </si>
  <si>
    <t xml:space="preserve">FECHA LEVANTAMIENTO DE INFORMACIÓN</t>
  </si>
  <si>
    <t xml:space="preserve">Nº</t>
  </si>
  <si>
    <t xml:space="preserve">OFICINA</t>
  </si>
  <si>
    <t xml:space="preserve">CÓDIGO</t>
  </si>
  <si>
    <t xml:space="preserve">CÓDIGO OFICIAL DE NEG.</t>
  </si>
  <si>
    <t xml:space="preserve">NOMBRES Y APELLIDOS</t>
  </si>
  <si>
    <t xml:space="preserve">1-01</t>
  </si>
  <si>
    <t xml:space="preserve">CHIRIBOGA VALENCIA SOFIA CAROLINA</t>
  </si>
  <si>
    <t xml:space="preserve">1-02</t>
  </si>
  <si>
    <t xml:space="preserve">GUZMAN TATES JOHANA LICETH</t>
  </si>
  <si>
    <t xml:space="preserve">1-03</t>
  </si>
  <si>
    <t xml:space="preserve">ENRIQUEZ MERA DARWIN JAVIER</t>
  </si>
  <si>
    <t xml:space="preserve">1-04</t>
  </si>
  <si>
    <t xml:space="preserve">FUEL CHINGAL ANA KAREN</t>
  </si>
  <si>
    <t xml:space="preserve">1-05</t>
  </si>
  <si>
    <t xml:space="preserve">ERAZO DEL CASTILLO DIANA MILENA</t>
  </si>
  <si>
    <t xml:space="preserve">1-06</t>
  </si>
  <si>
    <t xml:space="preserve">POZO MORILLO JIMMY FERNANDO</t>
  </si>
  <si>
    <t xml:space="preserve">1-07</t>
  </si>
  <si>
    <t xml:space="preserve">FUENTES BOLAÑOS JENNIFFER JOHANNA</t>
  </si>
  <si>
    <t xml:space="preserve">1-08</t>
  </si>
  <si>
    <t xml:space="preserve">HERNANDEZ HERNANDEZ JIMMY JAIR</t>
  </si>
  <si>
    <t xml:space="preserve">1-09</t>
  </si>
  <si>
    <t xml:space="preserve">MONTENEGRO TOBAR LISSETH ANALIA</t>
  </si>
  <si>
    <t xml:space="preserve">1-10</t>
  </si>
  <si>
    <t xml:space="preserve">DISPONIBLE</t>
  </si>
  <si>
    <t xml:space="preserve">1-11</t>
  </si>
  <si>
    <t xml:space="preserve">1-12</t>
  </si>
  <si>
    <t xml:space="preserve">1-13</t>
  </si>
  <si>
    <t xml:space="preserve">1-14</t>
  </si>
  <si>
    <t xml:space="preserve">DIAZ TUPE MILTON JAVIER</t>
  </si>
  <si>
    <t xml:space="preserve">1-15</t>
  </si>
  <si>
    <t xml:space="preserve">1-16</t>
  </si>
  <si>
    <t xml:space="preserve">2-01</t>
  </si>
  <si>
    <t xml:space="preserve">AGUILAR ROMO JOSE MIGUEL</t>
  </si>
  <si>
    <t xml:space="preserve">2-02</t>
  </si>
  <si>
    <t xml:space="preserve">LUNA CHULDE RODRIGO LEONARDO</t>
  </si>
  <si>
    <t xml:space="preserve">2-03</t>
  </si>
  <si>
    <t xml:space="preserve">PANTOJA RODRIGUEZ EDISON MAURICIO</t>
  </si>
  <si>
    <t xml:space="preserve">2-04</t>
  </si>
  <si>
    <t xml:space="preserve">CHUGA PARRA GERSON ARLEY</t>
  </si>
  <si>
    <t xml:space="preserve">2-05</t>
  </si>
  <si>
    <t xml:space="preserve">MEJIA ROMERO PAULO DAVID</t>
  </si>
  <si>
    <t xml:space="preserve">2-06</t>
  </si>
  <si>
    <t xml:space="preserve">CHAMORRO ARTEAGA LUIS GEOVANNY</t>
  </si>
  <si>
    <t xml:space="preserve">BOLÍVAR</t>
  </si>
  <si>
    <t xml:space="preserve">3-01</t>
  </si>
  <si>
    <t xml:space="preserve">MERA AREVALO EDISON JAVIER</t>
  </si>
  <si>
    <t xml:space="preserve">3-02</t>
  </si>
  <si>
    <t xml:space="preserve">VALENZUELA COBA FERNANDA DE JESUS</t>
  </si>
  <si>
    <t xml:space="preserve">4-01</t>
  </si>
  <si>
    <t xml:space="preserve">4-02</t>
  </si>
  <si>
    <t xml:space="preserve">MUNALA ORTEGA DANIELA PAOLA</t>
  </si>
  <si>
    <t xml:space="preserve">4-03</t>
  </si>
  <si>
    <t xml:space="preserve">PAVON PAVON FERNANDO GREGORIO</t>
  </si>
  <si>
    <t xml:space="preserve">4-04</t>
  </si>
  <si>
    <t xml:space="preserve">REINA BRACHO LIDIA ANGELICA</t>
  </si>
  <si>
    <t xml:space="preserve">4-05</t>
  </si>
  <si>
    <t xml:space="preserve">NAVARRETE ANGULO LIZBETH ALEJANDRA</t>
  </si>
  <si>
    <t xml:space="preserve">5-01</t>
  </si>
  <si>
    <t xml:space="preserve">CUAMACAS POZO LAURA ELIZABETH</t>
  </si>
  <si>
    <t xml:space="preserve">5-02</t>
  </si>
  <si>
    <t xml:space="preserve">CHICAIZA YEPEZ VIVIANA  JAQUELINE</t>
  </si>
  <si>
    <t xml:space="preserve">5-03</t>
  </si>
  <si>
    <t xml:space="preserve">AREVALO TELLO MARIA EUGENIA</t>
  </si>
  <si>
    <t xml:space="preserve">5-04</t>
  </si>
  <si>
    <t xml:space="preserve">MORILLO CARDENAS ANITA ELISABETH</t>
  </si>
  <si>
    <t xml:space="preserve">5-05</t>
  </si>
  <si>
    <t xml:space="preserve">TERAN ARREAGA LUIS ANTONIO</t>
  </si>
  <si>
    <t xml:space="preserve">5-06</t>
  </si>
  <si>
    <t xml:space="preserve">FLORES ORMAZA EVELYN TATIANA</t>
  </si>
  <si>
    <t xml:space="preserve">5-08</t>
  </si>
  <si>
    <t xml:space="preserve">ARAGON VALENCIA CARLOS ALEXANDER</t>
  </si>
  <si>
    <t xml:space="preserve">5-09</t>
  </si>
  <si>
    <t xml:space="preserve">MOLINA BURI ROCIO DE LOS ANGELES</t>
  </si>
  <si>
    <t xml:space="preserve">6-01</t>
  </si>
  <si>
    <t xml:space="preserve">REINOSO EGAS ERIKA PATRICIA</t>
  </si>
  <si>
    <t xml:space="preserve">6-02</t>
  </si>
  <si>
    <t xml:space="preserve">DELGADO APUANGO PAULINA JACQUELINE</t>
  </si>
  <si>
    <t xml:space="preserve">6-03</t>
  </si>
  <si>
    <t xml:space="preserve">HERRERA CAMACHO JANETH KATERINE</t>
  </si>
  <si>
    <t xml:space="preserve">6-04</t>
  </si>
  <si>
    <t xml:space="preserve">MENDOZA NARVAEZ GISELLA GERMANIA</t>
  </si>
  <si>
    <t xml:space="preserve">6-05</t>
  </si>
  <si>
    <t xml:space="preserve">CAIZA CRUZ CHRISTIAN FERNANDO</t>
  </si>
  <si>
    <t xml:space="preserve">6-06</t>
  </si>
  <si>
    <t xml:space="preserve">VARGAS SUAREZ MARIA FERNANDA</t>
  </si>
  <si>
    <t xml:space="preserve">6-07</t>
  </si>
  <si>
    <t xml:space="preserve">PILLAJO LAMIÑA EDITH NOHEMI</t>
  </si>
  <si>
    <t xml:space="preserve">6-08</t>
  </si>
  <si>
    <t xml:space="preserve">6-09</t>
  </si>
  <si>
    <t xml:space="preserve">6-10</t>
  </si>
  <si>
    <t xml:space="preserve">RUANO FLORES ROSA VIRGINIA</t>
  </si>
  <si>
    <t xml:space="preserve">6-11</t>
  </si>
  <si>
    <t xml:space="preserve">7-01</t>
  </si>
  <si>
    <t xml:space="preserve">MOJARRANGO MERA MONICA MIREYA</t>
  </si>
  <si>
    <t xml:space="preserve">7-02</t>
  </si>
  <si>
    <t xml:space="preserve">MENDIETA VELEZ TANYI MARIA</t>
  </si>
  <si>
    <t xml:space="preserve">JARAMILLO JIMENEZ CARLOS ISRAEL</t>
  </si>
  <si>
    <t xml:space="preserve">7-04</t>
  </si>
  <si>
    <t xml:space="preserve">CHANGO CAMACHO MARCIA VERONICA</t>
  </si>
  <si>
    <t xml:space="preserve">8-01</t>
  </si>
  <si>
    <t xml:space="preserve">FIALLOS GRIJALVA BLANCA RUBY</t>
  </si>
  <si>
    <t xml:space="preserve">8-02</t>
  </si>
  <si>
    <t xml:space="preserve">GINES CALDERON LUIS LEONARDO</t>
  </si>
  <si>
    <t xml:space="preserve">8-03</t>
  </si>
  <si>
    <t xml:space="preserve">RODRIGUEZ IBARRA CATALINA LUCIA</t>
  </si>
  <si>
    <t xml:space="preserve">8-04</t>
  </si>
  <si>
    <t xml:space="preserve">MONTENEGRO VALVERDE MICHAEL DAVID</t>
  </si>
  <si>
    <t xml:space="preserve">8-05</t>
  </si>
  <si>
    <t xml:space="preserve">CRIOLLO SANDOVAL LUISA GIOCONDA</t>
  </si>
  <si>
    <t xml:space="preserve">8-06</t>
  </si>
  <si>
    <t xml:space="preserve">TOBAR REINA MARIA BELEN</t>
  </si>
  <si>
    <t xml:space="preserve">8-07</t>
  </si>
  <si>
    <t xml:space="preserve">CAICEDO ALMEIDA GILSON ANDRES</t>
  </si>
  <si>
    <t xml:space="preserve">8-08</t>
  </si>
  <si>
    <t xml:space="preserve">CONDOR TUTILLO MAYRA ALEJANDRA</t>
  </si>
  <si>
    <t xml:space="preserve">9-01</t>
  </si>
  <si>
    <t xml:space="preserve">MORILLO POZO IRENE PATRICIA</t>
  </si>
  <si>
    <t xml:space="preserve">9-02</t>
  </si>
  <si>
    <t xml:space="preserve">BOLAÑOS ITAS ESTEBAN FABRICIO</t>
  </si>
  <si>
    <t xml:space="preserve">10-01</t>
  </si>
  <si>
    <t xml:space="preserve">ARTIEDA CHUMA KARINA GABRIELA</t>
  </si>
  <si>
    <t xml:space="preserve">10-02</t>
  </si>
  <si>
    <t xml:space="preserve">MONTALVO ENDARA MARCO  ANTONIO</t>
  </si>
  <si>
    <t xml:space="preserve">10-03</t>
  </si>
  <si>
    <t xml:space="preserve">MEDINA QUITAMA ANGELA ADAMARI</t>
  </si>
  <si>
    <t xml:space="preserve">10-04</t>
  </si>
  <si>
    <t xml:space="preserve">TERAN POSSO SILVIA VANESSA</t>
  </si>
  <si>
    <t xml:space="preserve">10-05</t>
  </si>
  <si>
    <t xml:space="preserve">IBADANGO SANCHEZ SONIA MARLENE</t>
  </si>
  <si>
    <t xml:space="preserve">11-01</t>
  </si>
  <si>
    <t xml:space="preserve">BENALCAZAR CHULDE EDWIN RENE</t>
  </si>
  <si>
    <t xml:space="preserve">11-02</t>
  </si>
  <si>
    <t xml:space="preserve">PAREDES GRANIZO MARCO PATRICIO</t>
  </si>
  <si>
    <t xml:space="preserve">11-03</t>
  </si>
  <si>
    <t xml:space="preserve">LOPEZ CAMUENDO CRISTINA DEL CARMEN</t>
  </si>
  <si>
    <t xml:space="preserve">11-04</t>
  </si>
  <si>
    <t xml:space="preserve">PAREDES ALMEIDA LUIS ANDRES</t>
  </si>
  <si>
    <t xml:space="preserve">11-05</t>
  </si>
  <si>
    <t xml:space="preserve">FLORES BETANCOURT DIANA CAROLINA</t>
  </si>
  <si>
    <t xml:space="preserve">12-01</t>
  </si>
  <si>
    <t xml:space="preserve">ULCUANGO OBANDO BLADIMIR LENIN</t>
  </si>
  <si>
    <t xml:space="preserve">12-02</t>
  </si>
  <si>
    <t xml:space="preserve">CEVALLOS HERRERA CESAR MAURICIO</t>
  </si>
  <si>
    <t xml:space="preserve">12-03</t>
  </si>
  <si>
    <t xml:space="preserve">CADENA TAMBA EDGAR MARCELO</t>
  </si>
  <si>
    <t xml:space="preserve">12-04</t>
  </si>
  <si>
    <t xml:space="preserve">SANCHEZ CHINCHUÑA SHEYLA YADIRA</t>
  </si>
  <si>
    <t xml:space="preserve">12-05</t>
  </si>
  <si>
    <t xml:space="preserve">CABEZAS NOVOA MILTON FABIAN</t>
  </si>
  <si>
    <t xml:space="preserve">13-01</t>
  </si>
  <si>
    <t xml:space="preserve">PEREZ CAMINO SOFIA JAZMIN</t>
  </si>
  <si>
    <t xml:space="preserve">13-02</t>
  </si>
  <si>
    <t xml:space="preserve">LOPEZ HERNANDEZ DAVID ANDRES</t>
  </si>
  <si>
    <t xml:space="preserve">13-03</t>
  </si>
  <si>
    <t xml:space="preserve">VILLOTA MALDONADO JACKSON ANDRES</t>
  </si>
  <si>
    <t xml:space="preserve">13-04</t>
  </si>
  <si>
    <t xml:space="preserve">SINCHI QUINTE FRANKLIN EDISON</t>
  </si>
  <si>
    <t xml:space="preserve">13-05</t>
  </si>
  <si>
    <t xml:space="preserve">14-01</t>
  </si>
  <si>
    <t xml:space="preserve">14-02</t>
  </si>
  <si>
    <t xml:space="preserve">GUERRERO VELASQUEZ EVELYN KARINA</t>
  </si>
  <si>
    <t xml:space="preserve">14-03</t>
  </si>
  <si>
    <t xml:space="preserve">VALLEJO RUIZ SANDRA ELIZABETH</t>
  </si>
  <si>
    <t xml:space="preserve">14-04</t>
  </si>
  <si>
    <t xml:space="preserve">CARDENAS MOSQUERA MONICA ALEXANDRA</t>
  </si>
  <si>
    <t xml:space="preserve">14-05</t>
  </si>
  <si>
    <t xml:space="preserve">CONTRERAS CONTRERAS LAURO PATRICIO</t>
  </si>
  <si>
    <t xml:space="preserve">14-06</t>
  </si>
  <si>
    <t xml:space="preserve">ORDOÑEZ SANCHEZ KATHERINE ELIZABETH</t>
  </si>
  <si>
    <t xml:space="preserve">14-07</t>
  </si>
  <si>
    <t xml:space="preserve">14-08</t>
  </si>
  <si>
    <t xml:space="preserve">ALMEIDA PIEDRA JOSSELIN FERNANDA</t>
  </si>
  <si>
    <t xml:space="preserve">14-09</t>
  </si>
  <si>
    <t xml:space="preserve">15-01</t>
  </si>
  <si>
    <t xml:space="preserve">QUIÑONEZ MONTERO MARGOTH KATHERINE</t>
  </si>
  <si>
    <t xml:space="preserve">15-02</t>
  </si>
  <si>
    <t xml:space="preserve">QUELAL TABANGO ANALIA DOLORES</t>
  </si>
  <si>
    <t xml:space="preserve">16-01</t>
  </si>
  <si>
    <t xml:space="preserve">CAMPOS PEREZ DAVID MARCELO</t>
  </si>
  <si>
    <t xml:space="preserve">16-02</t>
  </si>
  <si>
    <t xml:space="preserve">MUNZON JIMBO MONICA GABRIELA</t>
  </si>
  <si>
    <t xml:space="preserve">TOTAL OFICIALES</t>
  </si>
</sst>
</file>

<file path=xl/styles.xml><?xml version="1.0" encoding="utf-8"?>
<styleSheet xmlns="http://schemas.openxmlformats.org/spreadsheetml/2006/main">
  <numFmts count="15">
    <numFmt numFmtId="164" formatCode="General"/>
    <numFmt numFmtId="165" formatCode="#,##0.00\ ;\-#,##0.00\ ;\-#\ ;@\ "/>
    <numFmt numFmtId="166" formatCode="0\ %"/>
    <numFmt numFmtId="167" formatCode="0.00\ %"/>
    <numFmt numFmtId="168" formatCode="dd/mm/yyyy"/>
    <numFmt numFmtId="169" formatCode="@"/>
    <numFmt numFmtId="170" formatCode="[$$-300A]#,##0.00"/>
    <numFmt numFmtId="171" formatCode="0000000000"/>
    <numFmt numFmtId="172" formatCode="0"/>
    <numFmt numFmtId="173" formatCode="000000000"/>
    <numFmt numFmtId="174" formatCode="dd/mm/yy"/>
    <numFmt numFmtId="175" formatCode="\$#,##0.00\ ;&quot;$-&quot;#,##0.00\ ;&quot;$-&quot;#\ ;@\ "/>
    <numFmt numFmtId="176" formatCode="[$$-300A]#,##0"/>
    <numFmt numFmtId="177" formatCode="0.00"/>
    <numFmt numFmtId="178" formatCode="[$-300A]dddd&quot;, &quot;mmmm\ dd&quot;, &quot;yyyy"/>
  </numFmts>
  <fonts count="40">
    <font>
      <sz val="11"/>
      <color rgb="FF000000"/>
      <name val="Calibri"/>
      <family val="2"/>
      <charset val="1"/>
    </font>
    <font>
      <sz val="10"/>
      <name val="Arial"/>
      <family val="0"/>
    </font>
    <font>
      <sz val="10"/>
      <name val="Arial"/>
      <family val="0"/>
    </font>
    <font>
      <sz val="10"/>
      <name val="Arial"/>
      <family val="0"/>
    </font>
    <font>
      <b val="true"/>
      <sz val="11"/>
      <color rgb="FFFFFFFF"/>
      <name val="Calibri"/>
      <family val="2"/>
      <charset val="1"/>
    </font>
    <font>
      <b val="true"/>
      <sz val="11"/>
      <color rgb="FF000000"/>
      <name val="Calibri"/>
      <family val="2"/>
      <charset val="1"/>
    </font>
    <font>
      <sz val="11"/>
      <color rgb="FFCC0000"/>
      <name val="Calibri"/>
      <family val="2"/>
      <charset val="1"/>
    </font>
    <font>
      <i val="true"/>
      <sz val="11"/>
      <color rgb="FF808080"/>
      <name val="Calibri"/>
      <family val="2"/>
      <charset val="1"/>
    </font>
    <font>
      <sz val="11"/>
      <color rgb="FF006600"/>
      <name val="Calibri"/>
      <family val="2"/>
      <charset val="1"/>
    </font>
    <font>
      <b val="true"/>
      <sz val="18"/>
      <color rgb="FF000000"/>
      <name val="Calibri"/>
      <family val="2"/>
      <charset val="1"/>
    </font>
    <font>
      <b val="true"/>
      <sz val="24"/>
      <color rgb="FF000000"/>
      <name val="Calibri"/>
      <family val="2"/>
      <charset val="1"/>
    </font>
    <font>
      <b val="true"/>
      <sz val="12"/>
      <color rgb="FF000000"/>
      <name val="Calibri"/>
      <family val="2"/>
      <charset val="1"/>
    </font>
    <font>
      <u val="single"/>
      <sz val="11"/>
      <color rgb="FF0563C1"/>
      <name val="Calibri"/>
      <family val="2"/>
      <charset val="1"/>
    </font>
    <font>
      <u val="single"/>
      <sz val="11"/>
      <color rgb="FF0000EE"/>
      <name val="Calibri"/>
      <family val="2"/>
      <charset val="1"/>
    </font>
    <font>
      <sz val="10"/>
      <color rgb="FF000000"/>
      <name val="Arial"/>
      <family val="2"/>
      <charset val="1"/>
    </font>
    <font>
      <sz val="11"/>
      <color rgb="FF333333"/>
      <name val="Calibri"/>
      <family val="2"/>
      <charset val="1"/>
    </font>
    <font>
      <b val="true"/>
      <i val="true"/>
      <u val="single"/>
      <sz val="11"/>
      <color rgb="FF000000"/>
      <name val="Calibri"/>
      <family val="2"/>
      <charset val="1"/>
    </font>
    <font>
      <sz val="8"/>
      <color rgb="FF000000"/>
      <name val="Arial"/>
      <family val="2"/>
      <charset val="1"/>
    </font>
    <font>
      <b val="true"/>
      <sz val="8"/>
      <color rgb="FF000000"/>
      <name val="Arial"/>
      <family val="2"/>
      <charset val="1"/>
    </font>
    <font>
      <b val="true"/>
      <sz val="12"/>
      <color rgb="FF000000"/>
      <name val="Arial"/>
      <family val="2"/>
      <charset val="1"/>
    </font>
    <font>
      <sz val="7"/>
      <color rgb="FF000000"/>
      <name val="Arial"/>
      <family val="2"/>
      <charset val="1"/>
    </font>
    <font>
      <sz val="8"/>
      <color rgb="FF000000"/>
      <name val="Arial"/>
      <family val="2"/>
    </font>
    <font>
      <sz val="6"/>
      <color rgb="FF000000"/>
      <name val="Arial"/>
      <family val="2"/>
      <charset val="1"/>
    </font>
    <font>
      <sz val="5"/>
      <color rgb="FF000000"/>
      <name val="Arial"/>
      <family val="2"/>
      <charset val="1"/>
    </font>
    <font>
      <b val="true"/>
      <sz val="7"/>
      <color rgb="FF000000"/>
      <name val="Arial"/>
      <family val="2"/>
      <charset val="1"/>
    </font>
    <font>
      <b val="true"/>
      <sz val="5"/>
      <color rgb="FF000000"/>
      <name val="Arial"/>
      <family val="2"/>
      <charset val="1"/>
    </font>
    <font>
      <b val="true"/>
      <sz val="6"/>
      <color rgb="FF000000"/>
      <name val="Arial"/>
      <family val="2"/>
      <charset val="1"/>
    </font>
    <font>
      <sz val="8"/>
      <name val="Arial"/>
      <family val="2"/>
      <charset val="1"/>
    </font>
    <font>
      <sz val="8"/>
      <color rgb="FFE8F2A1"/>
      <name val="Arial"/>
      <family val="2"/>
      <charset val="1"/>
    </font>
    <font>
      <sz val="8"/>
      <color rgb="FF000000"/>
      <name val="Arial"/>
      <family val="0"/>
      <charset val="1"/>
    </font>
    <font>
      <sz val="9"/>
      <color rgb="FF000000"/>
      <name val="Times New Roman"/>
      <family val="1"/>
    </font>
    <font>
      <sz val="10"/>
      <name val="Arial"/>
      <family val="2"/>
    </font>
    <font>
      <sz val="9"/>
      <color rgb="FF000000"/>
      <name val="Calibri"/>
      <family val="2"/>
      <charset val="1"/>
    </font>
    <font>
      <sz val="11"/>
      <color rgb="FF000000"/>
      <name val="Arial"/>
      <family val="2"/>
      <charset val="1"/>
    </font>
    <font>
      <b val="true"/>
      <sz val="11"/>
      <color rgb="FF000000"/>
      <name val="Arial"/>
      <family val="2"/>
      <charset val="1"/>
    </font>
    <font>
      <b val="true"/>
      <sz val="10"/>
      <color rgb="FF000000"/>
      <name val="Arial"/>
      <family val="2"/>
      <charset val="1"/>
    </font>
    <font>
      <sz val="11"/>
      <color rgb="FF800080"/>
      <name val="Calibri"/>
      <family val="2"/>
      <charset val="1"/>
    </font>
    <font>
      <sz val="10"/>
      <color rgb="FF800080"/>
      <name val="Arial"/>
      <family val="2"/>
      <charset val="1"/>
    </font>
    <font>
      <sz val="11"/>
      <name val="Calibri"/>
      <family val="2"/>
      <charset val="1"/>
    </font>
    <font>
      <b val="true"/>
      <sz val="11"/>
      <color rgb="FFFF0000"/>
      <name val="Calibri"/>
      <family val="2"/>
      <charset val="1"/>
    </font>
  </fonts>
  <fills count="13">
    <fill>
      <patternFill patternType="none"/>
    </fill>
    <fill>
      <patternFill patternType="gray125"/>
    </fill>
    <fill>
      <patternFill patternType="solid">
        <fgColor rgb="FF000000"/>
        <bgColor rgb="FF003300"/>
      </patternFill>
    </fill>
    <fill>
      <patternFill patternType="solid">
        <fgColor rgb="FF808080"/>
        <bgColor rgb="FF969696"/>
      </patternFill>
    </fill>
    <fill>
      <patternFill patternType="solid">
        <fgColor rgb="FFDDDDDD"/>
        <bgColor rgb="FFD9D9D9"/>
      </patternFill>
    </fill>
    <fill>
      <patternFill patternType="solid">
        <fgColor rgb="FFFFCCCC"/>
        <bgColor rgb="FFDDDDDD"/>
      </patternFill>
    </fill>
    <fill>
      <patternFill patternType="solid">
        <fgColor rgb="FFCC0000"/>
        <bgColor rgb="FFFF0000"/>
      </patternFill>
    </fill>
    <fill>
      <patternFill patternType="solid">
        <fgColor rgb="FFCCFFCC"/>
        <bgColor rgb="FFCCFFFF"/>
      </patternFill>
    </fill>
    <fill>
      <patternFill patternType="solid">
        <fgColor rgb="FFFFFFCC"/>
        <bgColor rgb="FFFFFFFF"/>
      </patternFill>
    </fill>
    <fill>
      <patternFill patternType="solid">
        <fgColor rgb="FFFFFFFF"/>
        <bgColor rgb="FFFFFFCC"/>
      </patternFill>
    </fill>
    <fill>
      <patternFill patternType="solid">
        <fgColor rgb="FFE2EFDA"/>
        <bgColor rgb="FFDDDDDD"/>
      </patternFill>
    </fill>
    <fill>
      <patternFill patternType="solid">
        <fgColor rgb="FFFFC000"/>
        <bgColor rgb="FFFF9900"/>
      </patternFill>
    </fill>
    <fill>
      <patternFill patternType="solid">
        <fgColor rgb="FFD9D9D9"/>
        <bgColor rgb="FFDDDDDD"/>
      </patternFill>
    </fill>
  </fills>
  <borders count="78">
    <border diagonalUp="false" diagonalDown="false">
      <left/>
      <right/>
      <top/>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thin"/>
      <right/>
      <top/>
      <bottom/>
      <diagonal/>
    </border>
    <border diagonalUp="false" diagonalDown="false">
      <left/>
      <right/>
      <top style="thin"/>
      <bottom/>
      <diagonal/>
    </border>
    <border diagonalUp="false" diagonalDown="false">
      <left/>
      <right/>
      <top/>
      <bottom style="medium">
        <color rgb="FF00B050"/>
      </bottom>
      <diagonal/>
    </border>
    <border diagonalUp="false" diagonalDown="false">
      <left style="medium">
        <color rgb="FF00B050"/>
      </left>
      <right/>
      <top style="medium">
        <color rgb="FF00B050"/>
      </top>
      <bottom/>
      <diagonal/>
    </border>
    <border diagonalUp="false" diagonalDown="false">
      <left/>
      <right/>
      <top style="medium">
        <color rgb="FF00B050"/>
      </top>
      <bottom/>
      <diagonal/>
    </border>
    <border diagonalUp="false" diagonalDown="false">
      <left/>
      <right style="medium">
        <color rgb="FF00B050"/>
      </right>
      <top style="medium">
        <color rgb="FF00B050"/>
      </top>
      <bottom style="thin">
        <color rgb="FF00B050"/>
      </bottom>
      <diagonal/>
    </border>
    <border diagonalUp="false" diagonalDown="false">
      <left style="medium">
        <color rgb="FF00B050"/>
      </left>
      <right style="thin">
        <color rgb="FF00B050"/>
      </right>
      <top/>
      <bottom/>
      <diagonal/>
    </border>
    <border diagonalUp="false" diagonalDown="false">
      <left style="thin">
        <color rgb="FF00B050"/>
      </left>
      <right style="thin">
        <color rgb="FF00B050"/>
      </right>
      <top style="thin">
        <color rgb="FF00B050"/>
      </top>
      <bottom style="thin">
        <color rgb="FF00B050"/>
      </bottom>
      <diagonal/>
    </border>
    <border diagonalUp="false" diagonalDown="false">
      <left style="thin">
        <color rgb="FF00B050"/>
      </left>
      <right style="medium">
        <color rgb="FF00B050"/>
      </right>
      <top style="thin">
        <color rgb="FF00B050"/>
      </top>
      <bottom style="thin">
        <color rgb="FF00B050"/>
      </bottom>
      <diagonal/>
    </border>
    <border diagonalUp="false" diagonalDown="false">
      <left style="medium">
        <color rgb="FF00B050"/>
      </left>
      <right/>
      <top/>
      <bottom/>
      <diagonal/>
    </border>
    <border diagonalUp="false" diagonalDown="false">
      <left/>
      <right style="medium">
        <color rgb="FF00B050"/>
      </right>
      <top/>
      <bottom/>
      <diagonal/>
    </border>
    <border diagonalUp="false" diagonalDown="false">
      <left style="thin">
        <color rgb="FF00B050"/>
      </left>
      <right style="thin">
        <color rgb="FF00B050"/>
      </right>
      <top/>
      <bottom/>
      <diagonal/>
    </border>
    <border diagonalUp="false" diagonalDown="false">
      <left style="medium">
        <color rgb="FF00B050"/>
      </left>
      <right style="thin">
        <color rgb="FF00B050"/>
      </right>
      <top style="thin">
        <color rgb="FF00B050"/>
      </top>
      <bottom style="thin">
        <color rgb="FF00B050"/>
      </bottom>
      <diagonal/>
    </border>
    <border diagonalUp="false" diagonalDown="false">
      <left/>
      <right/>
      <top/>
      <bottom style="thin">
        <color rgb="FF00B050"/>
      </bottom>
      <diagonal/>
    </border>
    <border diagonalUp="false" diagonalDown="false">
      <left style="medium">
        <color rgb="FF00B050"/>
      </left>
      <right/>
      <top/>
      <bottom style="medium">
        <color rgb="FF00B050"/>
      </bottom>
      <diagonal/>
    </border>
    <border diagonalUp="false" diagonalDown="false">
      <left/>
      <right style="medium">
        <color rgb="FF00B050"/>
      </right>
      <top/>
      <bottom style="medium">
        <color rgb="FF00B050"/>
      </bottom>
      <diagonal/>
    </border>
    <border diagonalUp="false" diagonalDown="false">
      <left style="medium">
        <color rgb="FF00B050"/>
      </left>
      <right style="medium">
        <color rgb="FF00B050"/>
      </right>
      <top style="medium">
        <color rgb="FF00B050"/>
      </top>
      <bottom style="medium">
        <color rgb="FF00B050"/>
      </bottom>
      <diagonal/>
    </border>
    <border diagonalUp="false" diagonalDown="false">
      <left/>
      <right style="medium">
        <color rgb="FF00B050"/>
      </right>
      <top style="medium">
        <color rgb="FF00B050"/>
      </top>
      <bottom/>
      <diagonal/>
    </border>
    <border diagonalUp="false" diagonalDown="false">
      <left style="medium">
        <color rgb="FF00B050"/>
      </left>
      <right style="thin">
        <color rgb="FF00B050"/>
      </right>
      <top/>
      <bottom style="medium">
        <color rgb="FF00B050"/>
      </bottom>
      <diagonal/>
    </border>
    <border diagonalUp="false" diagonalDown="false">
      <left style="thin">
        <color rgb="FF00B050"/>
      </left>
      <right style="thin">
        <color rgb="FF00B050"/>
      </right>
      <top style="thin">
        <color rgb="FF00B050"/>
      </top>
      <bottom style="medium">
        <color rgb="FF00B050"/>
      </bottom>
      <diagonal/>
    </border>
    <border diagonalUp="false" diagonalDown="false">
      <left style="thin">
        <color rgb="FF00B050"/>
      </left>
      <right style="thin">
        <color rgb="FF00B050"/>
      </right>
      <top/>
      <bottom style="medium">
        <color rgb="FF00B050"/>
      </bottom>
      <diagonal/>
    </border>
    <border diagonalUp="false" diagonalDown="false">
      <left style="thin">
        <color rgb="FF00B050"/>
      </left>
      <right style="medium">
        <color rgb="FF00B050"/>
      </right>
      <top style="thin">
        <color rgb="FF00B050"/>
      </top>
      <bottom style="medium">
        <color rgb="FF00B050"/>
      </bottom>
      <diagonal/>
    </border>
    <border diagonalUp="false" diagonalDown="false">
      <left/>
      <right style="thin">
        <color rgb="FF00B050"/>
      </right>
      <top/>
      <bottom style="medium">
        <color rgb="FF00B050"/>
      </bottom>
      <diagonal/>
    </border>
    <border diagonalUp="false" diagonalDown="false">
      <left style="medium">
        <color rgb="FF00B050"/>
      </left>
      <right/>
      <top/>
      <bottom style="thin">
        <color rgb="FF92D050"/>
      </bottom>
      <diagonal/>
    </border>
    <border diagonalUp="false" diagonalDown="false">
      <left/>
      <right/>
      <top/>
      <bottom style="thin">
        <color rgb="FF92D050"/>
      </bottom>
      <diagonal/>
    </border>
    <border diagonalUp="false" diagonalDown="false">
      <left/>
      <right style="medium">
        <color rgb="FF00B050"/>
      </right>
      <top/>
      <bottom style="thin">
        <color rgb="FF92D050"/>
      </bottom>
      <diagonal/>
    </border>
    <border diagonalUp="false" diagonalDown="false">
      <left style="medium">
        <color rgb="FF00B050"/>
      </left>
      <right style="thin">
        <color rgb="FF00B050"/>
      </right>
      <top style="medium">
        <color rgb="FF00B050"/>
      </top>
      <bottom/>
      <diagonal/>
    </border>
    <border diagonalUp="false" diagonalDown="false">
      <left style="thin">
        <color rgb="FF00B050"/>
      </left>
      <right style="medium">
        <color rgb="FF00B050"/>
      </right>
      <top style="medium">
        <color rgb="FF00B050"/>
      </top>
      <bottom style="thin">
        <color rgb="FF00B050"/>
      </bottom>
      <diagonal/>
    </border>
    <border diagonalUp="false" diagonalDown="false">
      <left/>
      <right style="medium">
        <color rgb="FF00B050"/>
      </right>
      <top/>
      <bottom style="thin">
        <color rgb="FF00B050"/>
      </bottom>
      <diagonal/>
    </border>
    <border diagonalUp="false" diagonalDown="false">
      <left style="medium">
        <color rgb="FF00B050"/>
      </left>
      <right style="medium">
        <color rgb="FF00B050"/>
      </right>
      <top style="medium">
        <color rgb="FF00B050"/>
      </top>
      <bottom style="thin">
        <color rgb="FF00B050"/>
      </bottom>
      <diagonal/>
    </border>
    <border diagonalUp="false" diagonalDown="false">
      <left style="medium">
        <color rgb="FF00B050"/>
      </left>
      <right style="thin">
        <color rgb="FF00B050"/>
      </right>
      <top style="thin">
        <color rgb="FF00B050"/>
      </top>
      <bottom style="medium">
        <color rgb="FF00B050"/>
      </bottom>
      <diagonal/>
    </border>
    <border diagonalUp="false" diagonalDown="false">
      <left style="medium">
        <color rgb="FF00B050"/>
      </left>
      <right style="thin">
        <color rgb="FF92D050"/>
      </right>
      <top style="medium">
        <color rgb="FF00B050"/>
      </top>
      <bottom style="thin">
        <color rgb="FF92D050"/>
      </bottom>
      <diagonal/>
    </border>
    <border diagonalUp="false" diagonalDown="false">
      <left style="thin">
        <color rgb="FF92D050"/>
      </left>
      <right style="thin">
        <color rgb="FF92D050"/>
      </right>
      <top style="medium">
        <color rgb="FF00B050"/>
      </top>
      <bottom style="thin">
        <color rgb="FF92D050"/>
      </bottom>
      <diagonal/>
    </border>
    <border diagonalUp="false" diagonalDown="false">
      <left style="thin">
        <color rgb="FF92D050"/>
      </left>
      <right style="medium">
        <color rgb="FF00B050"/>
      </right>
      <top style="medium">
        <color rgb="FF00B050"/>
      </top>
      <bottom style="thin">
        <color rgb="FF92D050"/>
      </bottom>
      <diagonal/>
    </border>
    <border diagonalUp="false" diagonalDown="false">
      <left style="medium">
        <color rgb="FF00B050"/>
      </left>
      <right style="thin">
        <color rgb="FF92D050"/>
      </right>
      <top style="thin">
        <color rgb="FF92D050"/>
      </top>
      <bottom style="thin">
        <color rgb="FF92D050"/>
      </bottom>
      <diagonal/>
    </border>
    <border diagonalUp="false" diagonalDown="false">
      <left style="thin">
        <color rgb="FF92D050"/>
      </left>
      <right style="thin">
        <color rgb="FF92D050"/>
      </right>
      <top style="thin">
        <color rgb="FF92D050"/>
      </top>
      <bottom style="thin">
        <color rgb="FF92D050"/>
      </bottom>
      <diagonal/>
    </border>
    <border diagonalUp="false" diagonalDown="false">
      <left style="thin">
        <color rgb="FF92D050"/>
      </left>
      <right style="medium">
        <color rgb="FF00B050"/>
      </right>
      <top style="thin">
        <color rgb="FF92D050"/>
      </top>
      <bottom style="thin">
        <color rgb="FF92D050"/>
      </bottom>
      <diagonal/>
    </border>
    <border diagonalUp="false" diagonalDown="false">
      <left style="thin">
        <color rgb="FF92D050"/>
      </left>
      <right style="medium">
        <color rgb="FF00B050"/>
      </right>
      <top style="thin">
        <color rgb="FF92D050"/>
      </top>
      <bottom/>
      <diagonal/>
    </border>
    <border diagonalUp="false" diagonalDown="false">
      <left style="medium">
        <color rgb="FF00B050"/>
      </left>
      <right style="thin">
        <color rgb="FF92D050"/>
      </right>
      <top style="thin">
        <color rgb="FF92D050"/>
      </top>
      <bottom style="medium">
        <color rgb="FF00B050"/>
      </bottom>
      <diagonal/>
    </border>
    <border diagonalUp="false" diagonalDown="false">
      <left style="thin">
        <color rgb="FF92D050"/>
      </left>
      <right style="thin">
        <color rgb="FF92D050"/>
      </right>
      <top style="thin">
        <color rgb="FF92D050"/>
      </top>
      <bottom style="medium">
        <color rgb="FF00B050"/>
      </bottom>
      <diagonal/>
    </border>
    <border diagonalUp="false" diagonalDown="false">
      <left style="thin">
        <color rgb="FF92D050"/>
      </left>
      <right style="medium">
        <color rgb="FF00B050"/>
      </right>
      <top style="thin">
        <color rgb="FF00B050"/>
      </top>
      <bottom style="medium">
        <color rgb="FF00B050"/>
      </bottom>
      <diagonal/>
    </border>
    <border diagonalUp="false" diagonalDown="false">
      <left style="thin">
        <color rgb="FF92D050"/>
      </left>
      <right style="medium">
        <color rgb="FF00B050"/>
      </right>
      <top style="thin">
        <color rgb="FF92D050"/>
      </top>
      <bottom style="medium">
        <color rgb="FF00B050"/>
      </bottom>
      <diagonal/>
    </border>
    <border diagonalUp="false" diagonalDown="false">
      <left style="medium">
        <color rgb="FF00B050"/>
      </left>
      <right style="medium">
        <color rgb="FF00B050"/>
      </right>
      <top/>
      <bottom style="medium">
        <color rgb="FF00B050"/>
      </bottom>
      <diagonal/>
    </border>
    <border diagonalUp="false" diagonalDown="false">
      <left style="medium">
        <color rgb="FF00B050"/>
      </left>
      <right style="medium">
        <color rgb="FF00B050"/>
      </right>
      <top style="medium">
        <color rgb="FF00B050"/>
      </top>
      <bottom/>
      <diagonal/>
    </border>
    <border diagonalUp="false" diagonalDown="false">
      <left style="medium">
        <color rgb="FF00B050"/>
      </left>
      <right style="medium">
        <color rgb="FF00B050"/>
      </right>
      <top/>
      <bottom/>
      <diagonal/>
    </border>
    <border diagonalUp="false" diagonalDown="false">
      <left/>
      <right/>
      <top style="thin">
        <color rgb="FF00B050"/>
      </top>
      <bottom/>
      <diagonal/>
    </border>
    <border diagonalUp="false" diagonalDown="false">
      <left/>
      <right style="medium">
        <color rgb="FF00B050"/>
      </right>
      <top style="thin">
        <color rgb="FF00B050"/>
      </top>
      <bottom style="medium">
        <color rgb="FF00B050"/>
      </bottom>
      <diagonal/>
    </border>
    <border diagonalUp="false" diagonalDown="false">
      <left style="medium">
        <color rgb="FF00B050"/>
      </left>
      <right style="thin">
        <color rgb="FF00B050"/>
      </right>
      <top style="medium">
        <color rgb="FF00B050"/>
      </top>
      <bottom style="thin">
        <color rgb="FF00B050"/>
      </bottom>
      <diagonal/>
    </border>
    <border diagonalUp="false" diagonalDown="false">
      <left style="thin">
        <color rgb="FF00B050"/>
      </left>
      <right style="thin">
        <color rgb="FF00B050"/>
      </right>
      <top style="medium">
        <color rgb="FF00B050"/>
      </top>
      <bottom style="thin">
        <color rgb="FF00B050"/>
      </bottom>
      <diagonal/>
    </border>
    <border diagonalUp="false" diagonalDown="false">
      <left style="medium">
        <color rgb="FF00B050"/>
      </left>
      <right style="medium">
        <color rgb="FF00B050"/>
      </right>
      <top style="thin">
        <color rgb="FF00B050"/>
      </top>
      <bottom style="thin">
        <color rgb="FF00B050"/>
      </bottom>
      <diagonal/>
    </border>
    <border diagonalUp="false" diagonalDown="false">
      <left style="medium">
        <color rgb="FF00B050"/>
      </left>
      <right style="medium">
        <color rgb="FF00B050"/>
      </right>
      <top style="thin">
        <color rgb="FF00B050"/>
      </top>
      <bottom style="medium">
        <color rgb="FF00B050"/>
      </bottom>
      <diagonal/>
    </border>
    <border diagonalUp="false" diagonalDown="false">
      <left style="medium">
        <color rgb="FF00B050"/>
      </left>
      <right style="thin">
        <color rgb="FF00B050"/>
      </right>
      <top style="medium">
        <color rgb="FF00B050"/>
      </top>
      <bottom style="medium">
        <color rgb="FF00B050"/>
      </bottom>
      <diagonal/>
    </border>
    <border diagonalUp="false" diagonalDown="false">
      <left/>
      <right/>
      <top style="medium">
        <color rgb="FF00B050"/>
      </top>
      <bottom style="thin">
        <color rgb="FF92D050"/>
      </bottom>
      <diagonal/>
    </border>
    <border diagonalUp="false" diagonalDown="false">
      <left style="thin">
        <color rgb="FF00B050"/>
      </left>
      <right style="medium">
        <color rgb="FF00B050"/>
      </right>
      <top style="medium">
        <color rgb="FF00B050"/>
      </top>
      <bottom style="medium">
        <color rgb="FF00B050"/>
      </bottom>
      <diagonal/>
    </border>
    <border diagonalUp="false" diagonalDown="false">
      <left style="thin">
        <color rgb="FF00B050"/>
      </left>
      <right style="thin">
        <color rgb="FF00B050"/>
      </right>
      <top style="medium">
        <color rgb="FF00B050"/>
      </top>
      <bottom style="medium">
        <color rgb="FF00B050"/>
      </bottom>
      <diagonal/>
    </border>
    <border diagonalUp="false" diagonalDown="false">
      <left/>
      <right/>
      <top style="medium">
        <color rgb="FF00B050"/>
      </top>
      <bottom style="medium">
        <color rgb="FF00B050"/>
      </bottom>
      <diagonal/>
    </border>
    <border diagonalUp="false" diagonalDown="false">
      <left style="medium">
        <color rgb="FF00B050"/>
      </left>
      <right style="thin">
        <color rgb="FF00B050"/>
      </right>
      <top/>
      <bottom style="thin">
        <color rgb="FF00B050"/>
      </bottom>
      <diagonal/>
    </border>
    <border diagonalUp="false" diagonalDown="false">
      <left style="thin">
        <color rgb="FF00B050"/>
      </left>
      <right style="thin">
        <color rgb="FF00B050"/>
      </right>
      <top/>
      <bottom style="thin">
        <color rgb="FF00B050"/>
      </bottom>
      <diagonal/>
    </border>
    <border diagonalUp="false" diagonalDown="false">
      <left/>
      <right/>
      <top style="thin">
        <color rgb="FF00B050"/>
      </top>
      <bottom style="thin">
        <color rgb="FF00B050"/>
      </bottom>
      <diagonal/>
    </border>
    <border diagonalUp="false" diagonalDown="false">
      <left/>
      <right style="medium">
        <color rgb="FF00B050"/>
      </right>
      <top style="thin">
        <color rgb="FF00B050"/>
      </top>
      <bottom/>
      <diagonal/>
    </border>
    <border diagonalUp="false" diagonalDown="false">
      <left style="thin">
        <color rgb="FF00B050"/>
      </left>
      <right style="medium">
        <color rgb="FF00B050"/>
      </right>
      <top/>
      <bottom style="medium">
        <color rgb="FF00B050"/>
      </bottom>
      <diagonal/>
    </border>
    <border diagonalUp="false" diagonalDown="false">
      <left style="medium">
        <color rgb="FF00B050"/>
      </left>
      <right style="thin">
        <color rgb="FF92D050"/>
      </right>
      <top style="medium">
        <color rgb="FF00B050"/>
      </top>
      <bottom/>
      <diagonal/>
    </border>
    <border diagonalUp="false" diagonalDown="false">
      <left style="thin">
        <color rgb="FF92D050"/>
      </left>
      <right style="thin">
        <color rgb="FF92D050"/>
      </right>
      <top style="medium">
        <color rgb="FF00B050"/>
      </top>
      <bottom/>
      <diagonal/>
    </border>
    <border diagonalUp="false" diagonalDown="false">
      <left/>
      <right/>
      <top style="thin">
        <color rgb="FF92D050"/>
      </top>
      <bottom style="thin">
        <color rgb="FF00B050"/>
      </bottom>
      <diagonal/>
    </border>
    <border diagonalUp="false" diagonalDown="false">
      <left style="thin">
        <color rgb="FF00B050"/>
      </left>
      <right/>
      <top/>
      <bottom style="medium">
        <color rgb="FF00B050"/>
      </bottom>
      <diagonal/>
    </border>
    <border diagonalUp="false" diagonalDown="false">
      <left/>
      <right style="medium">
        <color rgb="FF00B050"/>
      </right>
      <top style="medium">
        <color rgb="FF00B050"/>
      </top>
      <bottom style="medium">
        <color rgb="FF00B050"/>
      </bottom>
      <diagonal/>
    </border>
    <border diagonalUp="false" diagonalDown="false">
      <left style="thin"/>
      <right style="thin">
        <color rgb="FF92D050"/>
      </right>
      <top style="medium">
        <color rgb="FF00B050"/>
      </top>
      <bottom style="medium">
        <color rgb="FF00B050"/>
      </bottom>
      <diagonal/>
    </border>
    <border diagonalUp="false" diagonalDown="false">
      <left style="medium">
        <color rgb="FF00B050"/>
      </left>
      <right style="thin">
        <color rgb="FF92D050"/>
      </right>
      <top style="thin">
        <color rgb="FF00B050"/>
      </top>
      <bottom style="medium">
        <color rgb="FF00B050"/>
      </bottom>
      <diagonal/>
    </border>
    <border diagonalUp="false" diagonalDown="false">
      <left style="thin">
        <color rgb="FF92D050"/>
      </left>
      <right style="medium">
        <color rgb="FF00B050"/>
      </right>
      <top/>
      <bottom/>
      <diagonal/>
    </border>
    <border diagonalUp="false" diagonalDown="false">
      <left style="medium">
        <color rgb="FF00B050"/>
      </left>
      <right style="thin">
        <color rgb="FF92D050"/>
      </right>
      <top style="medium">
        <color rgb="FF00B050"/>
      </top>
      <bottom style="medium">
        <color rgb="FF00B050"/>
      </bottom>
      <diagonal/>
    </border>
    <border diagonalUp="false" diagonalDown="false">
      <left style="thin"/>
      <right style="medium">
        <color rgb="FF00B050"/>
      </right>
      <top style="medium">
        <color rgb="FF00B050"/>
      </top>
      <bottom style="medium">
        <color rgb="FF00B050"/>
      </bottom>
      <diagonal/>
    </border>
    <border diagonalUp="false" diagonalDown="false">
      <left style="medium">
        <color rgb="FF00B050"/>
      </left>
      <right style="thin">
        <color rgb="FF92D050"/>
      </right>
      <top style="thin">
        <color rgb="FF00B050"/>
      </top>
      <bottom style="thin">
        <color rgb="FF00B050"/>
      </bottom>
      <diagonal/>
    </border>
    <border diagonalUp="false" diagonalDown="false">
      <left style="thin">
        <color rgb="FF92D050"/>
      </left>
      <right style="medium">
        <color rgb="FF00B050"/>
      </right>
      <top style="thin">
        <color rgb="FF00B050"/>
      </top>
      <bottom style="thin">
        <color rgb="FF00B050"/>
      </bottom>
      <diagonal/>
    </border>
    <border diagonalUp="false" diagonalDown="false">
      <left style="thin"/>
      <right style="thin"/>
      <top style="thin"/>
      <bottom/>
      <diagonal/>
    </border>
    <border diagonalUp="false" diagonalDown="false">
      <left style="thin"/>
      <right style="thin"/>
      <top style="thin"/>
      <bottom style="thin"/>
      <diagonal/>
    </border>
    <border diagonalUp="false" diagonalDown="false">
      <left style="thin"/>
      <right style="thin"/>
      <top/>
      <bottom style="thin"/>
      <diagonal/>
    </border>
  </borders>
  <cellStyleXfs count="44">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175" fontId="0" fillId="0" borderId="0" applyFont="true" applyBorder="false" applyAlignment="true" applyProtection="false">
      <alignment horizontal="general" vertical="bottom" textRotation="0" wrapText="false" indent="0" shrinkToFit="false"/>
    </xf>
    <xf numFmtId="42" fontId="1" fillId="0" borderId="0" applyFont="true" applyBorder="false" applyAlignment="false" applyProtection="false"/>
    <xf numFmtId="166" fontId="0" fillId="0"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4" fillId="3" borderId="0" applyFont="true" applyBorder="false" applyAlignment="true" applyProtection="false">
      <alignment horizontal="general" vertical="bottom" textRotation="0" wrapText="false" indent="0" shrinkToFit="false"/>
    </xf>
    <xf numFmtId="164" fontId="5" fillId="4" borderId="0" applyFont="true" applyBorder="false" applyAlignment="true" applyProtection="false">
      <alignment horizontal="general" vertical="bottom" textRotation="0" wrapText="false" indent="0" shrinkToFit="false"/>
    </xf>
    <xf numFmtId="164" fontId="5" fillId="0" borderId="0" applyFont="true" applyBorder="false" applyAlignment="true" applyProtection="false">
      <alignment horizontal="general" vertical="bottom" textRotation="0" wrapText="false" indent="0" shrinkToFit="false"/>
    </xf>
    <xf numFmtId="164" fontId="6" fillId="5" borderId="0" applyFont="true" applyBorder="false" applyAlignment="true" applyProtection="false">
      <alignment horizontal="general" vertical="bottom" textRotation="0" wrapText="false" indent="0" shrinkToFit="false"/>
    </xf>
    <xf numFmtId="164" fontId="4" fillId="6" borderId="0" applyFont="true" applyBorder="false" applyAlignment="true" applyProtection="false">
      <alignment horizontal="general" vertical="bottom" textRotation="0" wrapText="false" indent="0" shrinkToFit="false"/>
    </xf>
    <xf numFmtId="164" fontId="7" fillId="0" borderId="0" applyFont="true" applyBorder="false" applyAlignment="true" applyProtection="false">
      <alignment horizontal="general" vertical="bottom" textRotation="0" wrapText="false" indent="0" shrinkToFit="false"/>
    </xf>
    <xf numFmtId="164" fontId="8" fillId="7" borderId="0" applyFont="true" applyBorder="false" applyAlignment="true" applyProtection="false">
      <alignment horizontal="general" vertical="bottom" textRotation="0" wrapText="false" indent="0" shrinkToFit="false"/>
    </xf>
    <xf numFmtId="164" fontId="9" fillId="0" borderId="0" applyFont="true" applyBorder="false" applyAlignment="true" applyProtection="false">
      <alignment horizontal="general" vertical="bottom" textRotation="0" wrapText="false" indent="0" shrinkToFit="false"/>
    </xf>
    <xf numFmtId="164" fontId="10" fillId="0" borderId="0" applyFont="true" applyBorder="false" applyAlignment="true" applyProtection="false">
      <alignment horizontal="general" vertical="bottom" textRotation="0" wrapText="false" indent="0" shrinkToFit="false"/>
    </xf>
    <xf numFmtId="164" fontId="11" fillId="0" borderId="0" applyFont="true" applyBorder="false" applyAlignment="true" applyProtection="false">
      <alignment horizontal="general" vertical="bottom" textRotation="0" wrapText="false" indent="0" shrinkToFit="false"/>
    </xf>
    <xf numFmtId="164" fontId="12" fillId="0" borderId="0" applyFont="true" applyBorder="false" applyAlignment="true" applyProtection="false">
      <alignment horizontal="general" vertical="bottom" textRotation="0" wrapText="false" indent="0" shrinkToFit="false"/>
    </xf>
    <xf numFmtId="164" fontId="13" fillId="0" borderId="0" applyFont="true" applyBorder="false" applyAlignment="true" applyProtection="false">
      <alignment horizontal="general" vertical="bottom" textRotation="0" wrapText="false" indent="0" shrinkToFit="false"/>
    </xf>
    <xf numFmtId="165" fontId="14" fillId="0" borderId="0" applyFont="true" applyBorder="false" applyAlignment="true" applyProtection="false">
      <alignment horizontal="general" vertical="bottom" textRotation="0" wrapText="false" indent="0" shrinkToFit="false"/>
    </xf>
    <xf numFmtId="165" fontId="14" fillId="0" borderId="0" applyFont="true" applyBorder="false" applyAlignment="true" applyProtection="false">
      <alignment horizontal="general" vertical="bottom" textRotation="0" wrapText="false" indent="0" shrinkToFit="false"/>
    </xf>
    <xf numFmtId="164" fontId="14" fillId="0" borderId="0" applyFont="true" applyBorder="false" applyAlignment="true" applyProtection="false">
      <alignment horizontal="general" vertical="bottom" textRotation="0" wrapText="false" indent="0" shrinkToFit="false"/>
    </xf>
    <xf numFmtId="164" fontId="14" fillId="0" borderId="0" applyFont="true" applyBorder="false" applyAlignment="true" applyProtection="false">
      <alignment horizontal="general" vertical="bottom" textRotation="0" wrapText="false" indent="0" shrinkToFit="false"/>
    </xf>
    <xf numFmtId="164" fontId="15" fillId="8" borderId="1" applyFont="true" applyBorder="true" applyAlignment="true" applyProtection="false">
      <alignment horizontal="general" vertical="bottom" textRotation="0" wrapText="false" indent="0" shrinkToFit="false"/>
    </xf>
    <xf numFmtId="166" fontId="14" fillId="0" borderId="0" applyFont="true" applyBorder="false" applyAlignment="true" applyProtection="false">
      <alignment horizontal="general" vertical="bottom" textRotation="0" wrapText="false" indent="0" shrinkToFit="false"/>
    </xf>
    <xf numFmtId="166" fontId="14" fillId="0" borderId="0" applyFont="true" applyBorder="false" applyAlignment="true" applyProtection="false">
      <alignment horizontal="general" vertical="bottom" textRotation="0" wrapText="false" indent="0" shrinkToFit="false"/>
    </xf>
    <xf numFmtId="164" fontId="16"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6" fillId="0" borderId="0" applyFont="true" applyBorder="false" applyAlignment="true" applyProtection="false">
      <alignment horizontal="general" vertical="bottom" textRotation="0" wrapText="false" indent="0" shrinkToFit="false"/>
    </xf>
  </cellStyleXfs>
  <cellXfs count="30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center" vertical="bottom" textRotation="0" wrapText="false" indent="0" shrinkToFit="false"/>
      <protection locked="true" hidden="false"/>
    </xf>
    <xf numFmtId="167" fontId="17" fillId="0" borderId="0" xfId="0" applyFont="true" applyBorder="false" applyAlignment="true" applyProtection="true">
      <alignment horizontal="general" vertical="bottom" textRotation="0" wrapText="false" indent="0" shrinkToFit="false"/>
      <protection locked="true" hidden="false"/>
    </xf>
    <xf numFmtId="164" fontId="17" fillId="0" borderId="2" xfId="0" applyFont="true" applyBorder="true" applyAlignment="true" applyProtection="true">
      <alignment horizontal="general" vertical="center" textRotation="0" wrapText="false" indent="0" shrinkToFit="false"/>
      <protection locked="true" hidden="false"/>
    </xf>
    <xf numFmtId="164" fontId="17" fillId="0" borderId="0" xfId="0" applyFont="true" applyBorder="false" applyAlignment="true" applyProtection="true">
      <alignment horizontal="general" vertical="center" textRotation="0" wrapText="false" indent="0" shrinkToFit="false"/>
      <protection locked="true" hidden="false"/>
    </xf>
    <xf numFmtId="164" fontId="19" fillId="0" borderId="0" xfId="0" applyFont="true" applyBorder="true" applyAlignment="true" applyProtection="true">
      <alignment horizontal="center"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false" indent="0" shrinkToFit="false"/>
      <protection locked="true" hidden="false"/>
    </xf>
    <xf numFmtId="164" fontId="17" fillId="0" borderId="0" xfId="0" applyFont="true" applyBorder="false" applyAlignment="true" applyProtection="true">
      <alignment horizontal="center" vertical="center" textRotation="0" wrapText="false" indent="0" shrinkToFit="false"/>
      <protection locked="true" hidden="false"/>
    </xf>
    <xf numFmtId="164" fontId="17" fillId="0" borderId="3" xfId="0" applyFont="true" applyBorder="true" applyAlignment="true" applyProtection="true">
      <alignment horizontal="general" vertical="center" textRotation="0" wrapText="false" indent="0" shrinkToFit="false"/>
      <protection locked="true" hidden="false"/>
    </xf>
    <xf numFmtId="164" fontId="17" fillId="0" borderId="3" xfId="0" applyFont="true" applyBorder="true" applyAlignment="true" applyProtection="true">
      <alignment horizontal="general" vertical="bottom" textRotation="0" wrapText="false" indent="0" shrinkToFit="false"/>
      <protection locked="true" hidden="false"/>
    </xf>
    <xf numFmtId="164" fontId="17" fillId="0" borderId="0" xfId="0" applyFont="true" applyBorder="true" applyAlignment="true" applyProtection="true">
      <alignment horizontal="center" vertical="center" textRotation="0" wrapText="false" indent="0" shrinkToFit="false"/>
      <protection locked="true" hidden="false"/>
    </xf>
    <xf numFmtId="164" fontId="18" fillId="0" borderId="4" xfId="0" applyFont="true" applyBorder="true" applyAlignment="true" applyProtection="true">
      <alignment horizontal="left" vertical="center" textRotation="0" wrapText="false" indent="0" shrinkToFit="false"/>
      <protection locked="true" hidden="false"/>
    </xf>
    <xf numFmtId="164" fontId="18" fillId="0" borderId="5" xfId="0" applyFont="true" applyBorder="true" applyAlignment="true" applyProtection="true">
      <alignment horizontal="left" vertical="center" textRotation="0" wrapText="false" indent="0" shrinkToFit="false"/>
      <protection locked="true" hidden="false"/>
    </xf>
    <xf numFmtId="164" fontId="18" fillId="0" borderId="6" xfId="0" applyFont="true" applyBorder="true" applyAlignment="true" applyProtection="true">
      <alignment horizontal="left" vertical="center" textRotation="0" wrapText="false" indent="0" shrinkToFit="false"/>
      <protection locked="true" hidden="false"/>
    </xf>
    <xf numFmtId="164" fontId="18" fillId="0" borderId="7" xfId="0" applyFont="true" applyBorder="true" applyAlignment="true" applyProtection="true">
      <alignment horizontal="left" vertical="center" textRotation="0" wrapText="false" indent="0" shrinkToFit="false"/>
      <protection locked="true" hidden="false"/>
    </xf>
    <xf numFmtId="164" fontId="18" fillId="0" borderId="8" xfId="0" applyFont="true" applyBorder="true" applyAlignment="true" applyProtection="true">
      <alignment horizontal="left" vertical="center" textRotation="0" wrapText="false" indent="0" shrinkToFit="false"/>
      <protection locked="true" hidden="false"/>
    </xf>
    <xf numFmtId="164" fontId="17" fillId="0" borderId="9" xfId="0" applyFont="true" applyBorder="true" applyAlignment="true" applyProtection="true">
      <alignment horizontal="center" vertical="center" textRotation="0" wrapText="false" indent="0" shrinkToFit="false"/>
      <protection locked="false" hidden="false"/>
    </xf>
    <xf numFmtId="164" fontId="18" fillId="0" borderId="0" xfId="0" applyFont="true" applyBorder="false" applyAlignment="true" applyProtection="true">
      <alignment horizontal="general" vertical="center" textRotation="0" wrapText="false" indent="0" shrinkToFit="false"/>
      <protection locked="true" hidden="false"/>
    </xf>
    <xf numFmtId="164" fontId="18" fillId="0" borderId="0" xfId="0" applyFont="true" applyBorder="true" applyAlignment="true" applyProtection="true">
      <alignment horizontal="center" vertical="center" textRotation="0" wrapText="false" indent="0" shrinkToFit="false"/>
      <protection locked="true" hidden="false"/>
    </xf>
    <xf numFmtId="164" fontId="18" fillId="0" borderId="9" xfId="0" applyFont="true" applyBorder="true" applyAlignment="true" applyProtection="true">
      <alignment horizontal="general" vertical="center" textRotation="0" wrapText="false" indent="0" shrinkToFit="false"/>
      <protection locked="false" hidden="false"/>
    </xf>
    <xf numFmtId="168" fontId="17" fillId="0" borderId="10" xfId="0" applyFont="true" applyBorder="true" applyAlignment="true" applyProtection="true">
      <alignment horizontal="center" vertical="center" textRotation="0" wrapText="false" indent="0" shrinkToFit="false"/>
      <protection locked="false" hidden="false"/>
    </xf>
    <xf numFmtId="164" fontId="18" fillId="0" borderId="11" xfId="0" applyFont="true" applyBorder="true" applyAlignment="true" applyProtection="true">
      <alignment horizontal="right" vertical="center" textRotation="0" wrapText="false" indent="0" shrinkToFit="false"/>
      <protection locked="true" hidden="false"/>
    </xf>
    <xf numFmtId="164" fontId="18" fillId="0" borderId="0" xfId="0" applyFont="true" applyBorder="false" applyAlignment="true" applyProtection="true">
      <alignment horizontal="right" vertical="center" textRotation="0" wrapText="false" indent="0" shrinkToFit="false"/>
      <protection locked="true" hidden="false"/>
    </xf>
    <xf numFmtId="164" fontId="18" fillId="0" borderId="0" xfId="0" applyFont="true" applyBorder="false" applyAlignment="true" applyProtection="true">
      <alignment horizontal="center" vertical="center" textRotation="0" wrapText="false" indent="0" shrinkToFit="false"/>
      <protection locked="true" hidden="false"/>
    </xf>
    <xf numFmtId="164" fontId="17" fillId="0" borderId="0" xfId="0" applyFont="true" applyBorder="false" applyAlignment="true" applyProtection="true">
      <alignment horizontal="left" vertical="center" textRotation="0" wrapText="false" indent="0" shrinkToFit="false"/>
      <protection locked="true" hidden="false"/>
    </xf>
    <xf numFmtId="164" fontId="17" fillId="0" borderId="12" xfId="0" applyFont="true" applyBorder="true" applyAlignment="true" applyProtection="true">
      <alignment horizontal="center" vertical="center" textRotation="0" wrapText="false" indent="0" shrinkToFit="false"/>
      <protection locked="true" hidden="false"/>
    </xf>
    <xf numFmtId="164" fontId="18" fillId="0" borderId="11" xfId="0" applyFont="true" applyBorder="true" applyAlignment="true" applyProtection="true">
      <alignment horizontal="left" vertical="center" textRotation="0" wrapText="false" indent="0" shrinkToFit="false"/>
      <protection locked="true" hidden="false"/>
    </xf>
    <xf numFmtId="164" fontId="18" fillId="0" borderId="13" xfId="0" applyFont="true" applyBorder="true" applyAlignment="true" applyProtection="true">
      <alignment horizontal="center" vertical="center" textRotation="0" wrapText="false" indent="0" shrinkToFit="false"/>
      <protection locked="true" hidden="false"/>
    </xf>
    <xf numFmtId="164" fontId="18" fillId="0" borderId="9" xfId="0" applyFont="true" applyBorder="true" applyAlignment="true" applyProtection="true">
      <alignment horizontal="center" vertical="center" textRotation="0" wrapText="false" indent="0" shrinkToFit="false"/>
      <protection locked="false" hidden="false"/>
    </xf>
    <xf numFmtId="164" fontId="18" fillId="0" borderId="12" xfId="0" applyFont="true" applyBorder="true" applyAlignment="true" applyProtection="true">
      <alignment horizontal="center" vertical="center" textRotation="0" wrapText="false" indent="0" shrinkToFit="false"/>
      <protection locked="true" hidden="false"/>
    </xf>
    <xf numFmtId="164" fontId="17" fillId="0" borderId="11" xfId="0" applyFont="true" applyBorder="true" applyAlignment="true" applyProtection="true">
      <alignment horizontal="center" vertical="center" textRotation="0" wrapText="false" indent="0" shrinkToFit="false"/>
      <protection locked="true" hidden="false"/>
    </xf>
    <xf numFmtId="169" fontId="17" fillId="0" borderId="14" xfId="0" applyFont="true" applyBorder="true" applyAlignment="true" applyProtection="true">
      <alignment horizontal="center" vertical="center" textRotation="0" wrapText="false" indent="0" shrinkToFit="false"/>
      <protection locked="false" hidden="false"/>
    </xf>
    <xf numFmtId="164" fontId="17" fillId="0" borderId="9" xfId="0" applyFont="true" applyBorder="true" applyAlignment="true" applyProtection="true">
      <alignment horizontal="center" vertical="center" textRotation="0" wrapText="false" indent="0" shrinkToFit="false"/>
      <protection locked="true" hidden="false"/>
    </xf>
    <xf numFmtId="164" fontId="17" fillId="0" borderId="9" xfId="0" applyFont="true" applyBorder="true" applyAlignment="true" applyProtection="true">
      <alignment horizontal="general" vertical="center" textRotation="0" wrapText="false" indent="0" shrinkToFit="false"/>
      <protection locked="false" hidden="false"/>
    </xf>
    <xf numFmtId="167" fontId="17" fillId="0" borderId="10" xfId="0" applyFont="true" applyBorder="true" applyAlignment="true" applyProtection="true">
      <alignment horizontal="center" vertical="center" textRotation="0" wrapText="false" indent="0" shrinkToFit="false"/>
      <protection locked="false" hidden="false"/>
    </xf>
    <xf numFmtId="164" fontId="17" fillId="0" borderId="11" xfId="0" applyFont="true" applyBorder="true" applyAlignment="true" applyProtection="true">
      <alignment horizontal="general" vertical="center" textRotation="0" wrapText="false" indent="0" shrinkToFit="false"/>
      <protection locked="true" hidden="false"/>
    </xf>
    <xf numFmtId="164" fontId="17" fillId="0" borderId="15" xfId="0" applyFont="true" applyBorder="true" applyAlignment="true" applyProtection="true">
      <alignment horizontal="general" vertical="center" textRotation="0" wrapText="false" indent="0" shrinkToFit="false"/>
      <protection locked="true" hidden="false"/>
    </xf>
    <xf numFmtId="164" fontId="17" fillId="0" borderId="12" xfId="0" applyFont="true" applyBorder="true" applyAlignment="true" applyProtection="true">
      <alignment horizontal="general" vertical="center" textRotation="0" wrapText="false" indent="0" shrinkToFit="false"/>
      <protection locked="true" hidden="false"/>
    </xf>
    <xf numFmtId="170" fontId="17" fillId="0" borderId="9" xfId="0" applyFont="true" applyBorder="true" applyAlignment="true" applyProtection="true">
      <alignment horizontal="center" vertical="center" textRotation="0" wrapText="false" indent="0" shrinkToFit="false"/>
      <protection locked="false" hidden="false"/>
    </xf>
    <xf numFmtId="170" fontId="17" fillId="0" borderId="9" xfId="0" applyFont="true" applyBorder="true" applyAlignment="true" applyProtection="true">
      <alignment horizontal="center" vertical="center" textRotation="0" wrapText="false" indent="0" shrinkToFit="false"/>
      <protection locked="true" hidden="false"/>
    </xf>
    <xf numFmtId="164" fontId="17" fillId="0" borderId="10" xfId="0" applyFont="true" applyBorder="true" applyAlignment="true" applyProtection="true">
      <alignment horizontal="center" vertical="center" textRotation="0" wrapText="false" indent="0" shrinkToFit="false"/>
      <protection locked="false" hidden="false"/>
    </xf>
    <xf numFmtId="164" fontId="20" fillId="0" borderId="10" xfId="0" applyFont="true" applyBorder="true" applyAlignment="true" applyProtection="true">
      <alignment horizontal="general" vertical="bottom" textRotation="0" wrapText="false" indent="0" shrinkToFit="false"/>
      <protection locked="false" hidden="false"/>
    </xf>
    <xf numFmtId="164" fontId="17" fillId="0" borderId="16" xfId="0" applyFont="true" applyBorder="true" applyAlignment="true" applyProtection="true">
      <alignment horizontal="general" vertical="center" textRotation="0" wrapText="false" indent="0" shrinkToFit="false"/>
      <protection locked="true" hidden="false"/>
    </xf>
    <xf numFmtId="164" fontId="17" fillId="0" borderId="4" xfId="0" applyFont="true" applyBorder="true" applyAlignment="true" applyProtection="true">
      <alignment horizontal="general" vertical="center" textRotation="0" wrapText="false" indent="0" shrinkToFit="false"/>
      <protection locked="true" hidden="false"/>
    </xf>
    <xf numFmtId="164" fontId="17" fillId="0" borderId="17" xfId="0" applyFont="true" applyBorder="true" applyAlignment="true" applyProtection="true">
      <alignment horizontal="general" vertical="center" textRotation="0" wrapText="false" indent="0" shrinkToFit="false"/>
      <protection locked="true" hidden="false"/>
    </xf>
    <xf numFmtId="164" fontId="18" fillId="0" borderId="18" xfId="0" applyFont="true" applyBorder="true" applyAlignment="true" applyProtection="true">
      <alignment horizontal="left" vertical="center" textRotation="0" wrapText="false" indent="0" shrinkToFit="false"/>
      <protection locked="true" hidden="false"/>
    </xf>
    <xf numFmtId="164" fontId="18" fillId="0" borderId="19" xfId="0" applyFont="true" applyBorder="true" applyAlignment="true" applyProtection="true">
      <alignment horizontal="left" vertical="center" textRotation="0" wrapText="false" indent="0" shrinkToFit="false"/>
      <protection locked="true" hidden="false"/>
    </xf>
    <xf numFmtId="164" fontId="17" fillId="0" borderId="9" xfId="0" applyFont="true" applyBorder="true" applyAlignment="true" applyProtection="true">
      <alignment horizontal="general" vertical="bottom" textRotation="0" wrapText="false" indent="0" shrinkToFit="false"/>
      <protection locked="false" hidden="false"/>
    </xf>
    <xf numFmtId="164" fontId="18" fillId="0" borderId="13" xfId="0" applyFont="true" applyBorder="true" applyAlignment="true" applyProtection="true">
      <alignment horizontal="right" vertical="center" textRotation="0" wrapText="false" indent="0" shrinkToFit="false"/>
      <protection locked="true" hidden="false"/>
    </xf>
    <xf numFmtId="164" fontId="18" fillId="0" borderId="0" xfId="0" applyFont="true" applyBorder="true" applyAlignment="true" applyProtection="true">
      <alignment horizontal="right" vertical="center" textRotation="0" wrapText="false" indent="0" shrinkToFit="false"/>
      <protection locked="true" hidden="false"/>
    </xf>
    <xf numFmtId="171" fontId="17" fillId="0" borderId="10" xfId="0" applyFont="true" applyBorder="true" applyAlignment="true" applyProtection="true">
      <alignment horizontal="general" vertical="bottom" textRotation="0" wrapText="false" indent="0" shrinkToFit="false"/>
      <protection locked="false" hidden="false"/>
    </xf>
    <xf numFmtId="168" fontId="17" fillId="0" borderId="9" xfId="0" applyFont="true" applyBorder="true" applyAlignment="true" applyProtection="true">
      <alignment horizontal="general" vertical="bottom" textRotation="0" wrapText="false" indent="0" shrinkToFit="false"/>
      <protection locked="false" hidden="false"/>
    </xf>
    <xf numFmtId="172" fontId="17" fillId="0" borderId="9" xfId="0" applyFont="true" applyBorder="true" applyAlignment="true" applyProtection="true">
      <alignment horizontal="center" vertical="center" textRotation="0" wrapText="false" indent="0" shrinkToFit="false"/>
      <protection locked="false" hidden="false"/>
    </xf>
    <xf numFmtId="172" fontId="17" fillId="0" borderId="12" xfId="0" applyFont="true" applyBorder="true" applyAlignment="true" applyProtection="true">
      <alignment horizontal="center" vertical="center" textRotation="0" wrapText="false" indent="0" shrinkToFit="false"/>
      <protection locked="true" hidden="false"/>
    </xf>
    <xf numFmtId="164" fontId="17" fillId="0" borderId="10" xfId="0" applyFont="true" applyBorder="true" applyAlignment="true" applyProtection="true">
      <alignment horizontal="general" vertical="bottom" textRotation="0" wrapText="false" indent="0" shrinkToFit="false"/>
      <protection locked="false" hidden="false"/>
    </xf>
    <xf numFmtId="164" fontId="18" fillId="0" borderId="8" xfId="0" applyFont="true" applyBorder="true" applyAlignment="true" applyProtection="true">
      <alignment horizontal="general" vertical="center" textRotation="0" wrapText="false" indent="0" shrinkToFit="false"/>
      <protection locked="true" hidden="false"/>
    </xf>
    <xf numFmtId="173" fontId="17" fillId="0" borderId="9" xfId="0" applyFont="true" applyBorder="true" applyAlignment="true" applyProtection="true">
      <alignment horizontal="general" vertical="bottom" textRotation="0" wrapText="false" indent="0" shrinkToFit="false"/>
      <protection locked="false" hidden="false"/>
    </xf>
    <xf numFmtId="171" fontId="17" fillId="0" borderId="9" xfId="0" applyFont="true" applyBorder="true" applyAlignment="true" applyProtection="true">
      <alignment horizontal="general" vertical="bottom" textRotation="0" wrapText="false" indent="0" shrinkToFit="false"/>
      <protection locked="false" hidden="false"/>
    </xf>
    <xf numFmtId="164" fontId="18" fillId="0" borderId="20" xfId="0" applyFont="true" applyBorder="true" applyAlignment="true" applyProtection="true">
      <alignment horizontal="left" vertical="center" textRotation="0" wrapText="false" indent="0" shrinkToFit="false"/>
      <protection locked="true" hidden="false"/>
    </xf>
    <xf numFmtId="173" fontId="17" fillId="0" borderId="21" xfId="0" applyFont="true" applyBorder="true" applyAlignment="true" applyProtection="true">
      <alignment horizontal="general" vertical="bottom" textRotation="0" wrapText="false" indent="0" shrinkToFit="false"/>
      <protection locked="false" hidden="false"/>
    </xf>
    <xf numFmtId="164" fontId="18" fillId="0" borderId="22" xfId="31" applyFont="true" applyBorder="true" applyAlignment="true" applyProtection="true">
      <alignment horizontal="right" vertical="center" textRotation="0" wrapText="false" indent="0" shrinkToFit="false"/>
      <protection locked="true" hidden="false"/>
    </xf>
    <xf numFmtId="171" fontId="21" fillId="0" borderId="21" xfId="0" applyFont="true" applyBorder="true" applyAlignment="true" applyProtection="true">
      <alignment horizontal="general" vertical="bottom" textRotation="0" wrapText="false" indent="0" shrinkToFit="false"/>
      <protection locked="false" hidden="false"/>
    </xf>
    <xf numFmtId="164" fontId="17" fillId="0" borderId="23" xfId="0" applyFont="true" applyBorder="true" applyAlignment="true" applyProtection="true">
      <alignment horizontal="general" vertical="bottom" textRotation="0" wrapText="false" indent="0" shrinkToFit="false"/>
      <protection locked="false" hidden="false"/>
    </xf>
    <xf numFmtId="164" fontId="22" fillId="0" borderId="9" xfId="0" applyFont="true" applyBorder="true" applyAlignment="true" applyProtection="true">
      <alignment horizontal="general" vertical="bottom" textRotation="0" wrapText="false" indent="0" shrinkToFit="false"/>
      <protection locked="false" hidden="false"/>
    </xf>
    <xf numFmtId="164" fontId="17" fillId="0" borderId="21" xfId="0" applyFont="true" applyBorder="true" applyAlignment="true" applyProtection="true">
      <alignment horizontal="center" vertical="center" textRotation="0" wrapText="false" indent="0" shrinkToFit="false"/>
      <protection locked="false" hidden="false"/>
    </xf>
    <xf numFmtId="164" fontId="18" fillId="0" borderId="24" xfId="0" applyFont="true" applyBorder="true" applyAlignment="true" applyProtection="true">
      <alignment horizontal="right" vertical="center" textRotation="0" wrapText="false" indent="0" shrinkToFit="false"/>
      <protection locked="true" hidden="false"/>
    </xf>
    <xf numFmtId="171" fontId="17" fillId="0" borderId="21" xfId="0" applyFont="true" applyBorder="true" applyAlignment="true" applyProtection="true">
      <alignment horizontal="general" vertical="bottom" textRotation="0" wrapText="false" indent="0" shrinkToFit="false"/>
      <protection locked="false" hidden="false"/>
    </xf>
    <xf numFmtId="164" fontId="17" fillId="0" borderId="25" xfId="0" applyFont="true" applyBorder="true" applyAlignment="true" applyProtection="true">
      <alignment horizontal="general" vertical="center" textRotation="0" wrapText="false" indent="0" shrinkToFit="false"/>
      <protection locked="true" hidden="false"/>
    </xf>
    <xf numFmtId="164" fontId="17" fillId="0" borderId="26" xfId="0" applyFont="true" applyBorder="true" applyAlignment="true" applyProtection="true">
      <alignment horizontal="general" vertical="center" textRotation="0" wrapText="false" indent="0" shrinkToFit="false"/>
      <protection locked="true" hidden="false"/>
    </xf>
    <xf numFmtId="164" fontId="17" fillId="0" borderId="27" xfId="0" applyFont="true" applyBorder="true" applyAlignment="true" applyProtection="true">
      <alignment horizontal="general" vertical="center" textRotation="0" wrapText="false" indent="0" shrinkToFit="false"/>
      <protection locked="true" hidden="false"/>
    </xf>
    <xf numFmtId="164" fontId="18" fillId="0" borderId="18" xfId="0" applyFont="true" applyBorder="true" applyAlignment="true" applyProtection="true">
      <alignment horizontal="center" vertical="center" textRotation="0" wrapText="false" indent="0" shrinkToFit="false"/>
      <protection locked="true" hidden="false"/>
    </xf>
    <xf numFmtId="164" fontId="17" fillId="0" borderId="5" xfId="0" applyFont="true" applyBorder="true" applyAlignment="true" applyProtection="true">
      <alignment horizontal="general" vertical="center" textRotation="0" wrapText="false" indent="0" shrinkToFit="false"/>
      <protection locked="true" hidden="false"/>
    </xf>
    <xf numFmtId="164" fontId="17" fillId="0" borderId="6" xfId="0" applyFont="true" applyBorder="true" applyAlignment="true" applyProtection="true">
      <alignment horizontal="general" vertical="center" textRotation="0" wrapText="false" indent="0" shrinkToFit="false"/>
      <protection locked="true" hidden="false"/>
    </xf>
    <xf numFmtId="164" fontId="17" fillId="0" borderId="19" xfId="0" applyFont="true" applyBorder="true" applyAlignment="true" applyProtection="true">
      <alignment horizontal="general" vertical="center" textRotation="0" wrapText="false" indent="0" shrinkToFit="false"/>
      <protection locked="true" hidden="false"/>
    </xf>
    <xf numFmtId="164" fontId="0" fillId="0" borderId="14" xfId="0" applyFont="false" applyBorder="true" applyAlignment="true" applyProtection="true">
      <alignment horizontal="general" vertical="bottom" textRotation="0" wrapText="false" indent="0" shrinkToFit="false"/>
      <protection locked="true" hidden="false"/>
    </xf>
    <xf numFmtId="164" fontId="18" fillId="0" borderId="9" xfId="0" applyFont="true" applyBorder="true" applyAlignment="true" applyProtection="true">
      <alignment horizontal="center" vertical="center" textRotation="0" wrapText="false" indent="0" shrinkToFit="false"/>
      <protection locked="true" hidden="false"/>
    </xf>
    <xf numFmtId="164" fontId="18" fillId="0" borderId="10" xfId="0" applyFont="true" applyBorder="true" applyAlignment="true" applyProtection="true">
      <alignment horizontal="center" vertical="center" textRotation="0" wrapText="false" indent="0" shrinkToFit="false"/>
      <protection locked="true" hidden="false"/>
    </xf>
    <xf numFmtId="164" fontId="18" fillId="0" borderId="14" xfId="0" applyFont="true" applyBorder="true" applyAlignment="true" applyProtection="true">
      <alignment horizontal="left" vertical="center" textRotation="0" wrapText="false" indent="0" shrinkToFit="false"/>
      <protection locked="true" hidden="false"/>
    </xf>
    <xf numFmtId="164" fontId="17" fillId="0" borderId="10" xfId="0" applyFont="true" applyBorder="true" applyAlignment="true" applyProtection="true">
      <alignment horizontal="left" vertical="bottom" textRotation="0" wrapText="false" indent="0" shrinkToFit="false"/>
      <protection locked="false" hidden="false"/>
    </xf>
    <xf numFmtId="174" fontId="17" fillId="0" borderId="10" xfId="0" applyFont="true" applyBorder="true" applyAlignment="true" applyProtection="true">
      <alignment horizontal="left" vertical="bottom" textRotation="0" wrapText="false" indent="0" shrinkToFit="false"/>
      <protection locked="false" hidden="false"/>
    </xf>
    <xf numFmtId="164" fontId="18" fillId="0" borderId="0" xfId="0" applyFont="true" applyBorder="false" applyAlignment="true" applyProtection="true">
      <alignment horizontal="left" vertical="center" textRotation="0" wrapText="false" indent="0" shrinkToFit="false"/>
      <protection locked="true" hidden="false"/>
    </xf>
    <xf numFmtId="170" fontId="17" fillId="0" borderId="0" xfId="0" applyFont="true" applyBorder="false" applyAlignment="true" applyProtection="true">
      <alignment horizontal="center" vertical="center" textRotation="0" wrapText="false" indent="0" shrinkToFit="false"/>
      <protection locked="true" hidden="false"/>
    </xf>
    <xf numFmtId="170" fontId="17" fillId="0" borderId="12" xfId="0" applyFont="true" applyBorder="true" applyAlignment="true" applyProtection="true">
      <alignment horizontal="center" vertical="center" textRotation="0" wrapText="false" indent="0" shrinkToFit="false"/>
      <protection locked="true" hidden="false"/>
    </xf>
    <xf numFmtId="164" fontId="17" fillId="0" borderId="9" xfId="0" applyFont="true" applyBorder="true" applyAlignment="true" applyProtection="true">
      <alignment horizontal="center" vertical="bottom" textRotation="0" wrapText="false" indent="0" shrinkToFit="false"/>
      <protection locked="false" hidden="false"/>
    </xf>
    <xf numFmtId="164" fontId="18" fillId="0" borderId="28" xfId="0" applyFont="true" applyBorder="true" applyAlignment="true" applyProtection="true">
      <alignment horizontal="left" vertical="center" textRotation="0" wrapText="false" indent="0" shrinkToFit="false"/>
      <protection locked="true" hidden="false"/>
    </xf>
    <xf numFmtId="164" fontId="17" fillId="0" borderId="29" xfId="0" applyFont="true" applyBorder="true" applyAlignment="true" applyProtection="true">
      <alignment horizontal="center" vertical="center" textRotation="0" wrapText="false" indent="0" shrinkToFit="false"/>
      <protection locked="fals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12" xfId="0" applyFont="false" applyBorder="true" applyAlignment="true" applyProtection="true">
      <alignment horizontal="general" vertical="center" textRotation="0" wrapText="false" indent="0" shrinkToFit="false"/>
      <protection locked="true" hidden="false"/>
    </xf>
    <xf numFmtId="164" fontId="17" fillId="0" borderId="30" xfId="0" applyFont="true" applyBorder="true" applyAlignment="true" applyProtection="true">
      <alignment horizontal="general" vertical="center" textRotation="0" wrapText="false" indent="0" shrinkToFit="false"/>
      <protection locked="true" hidden="false"/>
    </xf>
    <xf numFmtId="164" fontId="17" fillId="0" borderId="21" xfId="0" applyFont="true" applyBorder="true" applyAlignment="true" applyProtection="true">
      <alignment horizontal="general" vertical="bottom" textRotation="0" wrapText="false" indent="0" shrinkToFit="false"/>
      <protection locked="false" hidden="false"/>
    </xf>
    <xf numFmtId="164" fontId="18" fillId="0" borderId="22" xfId="0" applyFont="true" applyBorder="true" applyAlignment="true" applyProtection="true">
      <alignment horizontal="right" vertical="center" textRotation="0" wrapText="false" indent="0" shrinkToFit="false"/>
      <protection locked="true" hidden="false"/>
    </xf>
    <xf numFmtId="164" fontId="17" fillId="0" borderId="0" xfId="31" applyFont="true" applyBorder="true" applyAlignment="true" applyProtection="true">
      <alignment horizontal="center" vertical="center" textRotation="0" wrapText="false" indent="0" shrinkToFit="false"/>
      <protection locked="true" hidden="false"/>
    </xf>
    <xf numFmtId="164" fontId="17" fillId="0" borderId="12" xfId="31" applyFont="true" applyBorder="true" applyAlignment="true" applyProtection="true">
      <alignment horizontal="center" vertical="center" textRotation="0" wrapText="false" indent="0" shrinkToFit="false"/>
      <protection locked="true" hidden="false"/>
    </xf>
    <xf numFmtId="164" fontId="18" fillId="0" borderId="31" xfId="0" applyFont="true" applyBorder="true" applyAlignment="true" applyProtection="true">
      <alignment horizontal="left" vertical="center" textRotation="0" wrapText="false" indent="0" shrinkToFit="false"/>
      <protection locked="true" hidden="false"/>
    </xf>
    <xf numFmtId="164" fontId="18" fillId="0" borderId="14" xfId="0" applyFont="true" applyBorder="true" applyAlignment="true" applyProtection="true">
      <alignment horizontal="center" vertical="center" textRotation="0" wrapText="false" indent="0" shrinkToFit="false"/>
      <protection locked="true" hidden="false"/>
    </xf>
    <xf numFmtId="164" fontId="17" fillId="0" borderId="14" xfId="0" applyFont="true" applyBorder="true" applyAlignment="true" applyProtection="true">
      <alignment horizontal="general" vertical="bottom" textRotation="0" wrapText="false" indent="0" shrinkToFit="false"/>
      <protection locked="false" hidden="false"/>
    </xf>
    <xf numFmtId="164" fontId="21" fillId="0" borderId="10" xfId="0" applyFont="true" applyBorder="true" applyAlignment="true" applyProtection="true">
      <alignment horizontal="general" vertical="bottom" textRotation="0" wrapText="false" indent="0" shrinkToFit="false"/>
      <protection locked="false" hidden="false"/>
    </xf>
    <xf numFmtId="164" fontId="17" fillId="0" borderId="32" xfId="0" applyFont="true" applyBorder="true" applyAlignment="true" applyProtection="true">
      <alignment horizontal="general" vertical="bottom" textRotation="0" wrapText="false" indent="0" shrinkToFit="false"/>
      <protection locked="false" hidden="false"/>
    </xf>
    <xf numFmtId="164" fontId="21" fillId="0" borderId="23" xfId="0" applyFont="true" applyBorder="true" applyAlignment="true" applyProtection="true">
      <alignment horizontal="general" vertical="bottom" textRotation="0" wrapText="false" indent="0" shrinkToFit="false"/>
      <protection locked="false" hidden="false"/>
    </xf>
    <xf numFmtId="164" fontId="17" fillId="0" borderId="33" xfId="0" applyFont="true" applyBorder="true" applyAlignment="true" applyProtection="true">
      <alignment horizontal="general" vertical="center" textRotation="0" wrapText="false" indent="0" shrinkToFit="false"/>
      <protection locked="false" hidden="false"/>
    </xf>
    <xf numFmtId="164" fontId="17" fillId="0" borderId="34" xfId="0" applyFont="true" applyBorder="true" applyAlignment="true" applyProtection="true">
      <alignment horizontal="general" vertical="center" textRotation="0" wrapText="false" indent="0" shrinkToFit="false"/>
      <protection locked="false" hidden="false"/>
    </xf>
    <xf numFmtId="164" fontId="17" fillId="0" borderId="35" xfId="0" applyFont="true" applyBorder="true" applyAlignment="true" applyProtection="true">
      <alignment horizontal="general" vertical="center" textRotation="0" wrapText="false" indent="0" shrinkToFit="false"/>
      <protection locked="false" hidden="false"/>
    </xf>
    <xf numFmtId="164" fontId="17" fillId="0" borderId="36" xfId="0" applyFont="true" applyBorder="true" applyAlignment="true" applyProtection="true">
      <alignment horizontal="general" vertical="center" textRotation="0" wrapText="false" indent="0" shrinkToFit="false"/>
      <protection locked="false" hidden="false"/>
    </xf>
    <xf numFmtId="164" fontId="17" fillId="0" borderId="37" xfId="0" applyFont="true" applyBorder="true" applyAlignment="true" applyProtection="true">
      <alignment horizontal="general" vertical="center" textRotation="0" wrapText="false" indent="0" shrinkToFit="false"/>
      <protection locked="false" hidden="false"/>
    </xf>
    <xf numFmtId="164" fontId="17" fillId="0" borderId="38" xfId="0" applyFont="true" applyBorder="true" applyAlignment="true" applyProtection="true">
      <alignment horizontal="general" vertical="center" textRotation="0" wrapText="false" indent="0" shrinkToFit="false"/>
      <protection locked="false" hidden="false"/>
    </xf>
    <xf numFmtId="164" fontId="17" fillId="0" borderId="39" xfId="0" applyFont="true" applyBorder="true" applyAlignment="true" applyProtection="true">
      <alignment horizontal="general" vertical="center" textRotation="0" wrapText="false" indent="0" shrinkToFit="false"/>
      <protection locked="false" hidden="false"/>
    </xf>
    <xf numFmtId="164" fontId="17" fillId="0" borderId="40" xfId="0" applyFont="true" applyBorder="true" applyAlignment="true" applyProtection="true">
      <alignment horizontal="general" vertical="center" textRotation="0" wrapText="false" indent="0" shrinkToFit="false"/>
      <protection locked="false" hidden="false"/>
    </xf>
    <xf numFmtId="164" fontId="17" fillId="0" borderId="41" xfId="0" applyFont="true" applyBorder="true" applyAlignment="true" applyProtection="true">
      <alignment horizontal="general" vertical="center" textRotation="0" wrapText="false" indent="0" shrinkToFit="false"/>
      <protection locked="false" hidden="false"/>
    </xf>
    <xf numFmtId="164" fontId="17" fillId="0" borderId="42" xfId="0" applyFont="true" applyBorder="true" applyAlignment="true" applyProtection="true">
      <alignment horizontal="general" vertical="center" textRotation="0" wrapText="false" indent="0" shrinkToFit="false"/>
      <protection locked="false" hidden="false"/>
    </xf>
    <xf numFmtId="164" fontId="17" fillId="0" borderId="43" xfId="0" applyFont="true" applyBorder="true" applyAlignment="true" applyProtection="true">
      <alignment horizontal="general" vertical="center" textRotation="0" wrapText="false" indent="0" shrinkToFit="false"/>
      <protection locked="false" hidden="false"/>
    </xf>
    <xf numFmtId="164" fontId="23" fillId="0" borderId="44" xfId="0" applyFont="true" applyBorder="true" applyAlignment="true" applyProtection="true">
      <alignment horizontal="left" vertical="center" textRotation="0" wrapText="true" indent="0" shrinkToFit="false"/>
      <protection locked="true" hidden="false"/>
    </xf>
    <xf numFmtId="164" fontId="24" fillId="0" borderId="45" xfId="0" applyFont="true" applyBorder="true" applyAlignment="true" applyProtection="true">
      <alignment horizontal="center" vertical="center" textRotation="0" wrapText="true" indent="0" shrinkToFit="false"/>
      <protection locked="true" hidden="false"/>
    </xf>
    <xf numFmtId="164" fontId="20" fillId="0" borderId="11" xfId="0" applyFont="true" applyBorder="true" applyAlignment="true" applyProtection="true">
      <alignment horizontal="center" vertical="center" textRotation="0" wrapText="false" indent="0" shrinkToFit="false"/>
      <protection locked="true" hidden="false"/>
    </xf>
    <xf numFmtId="164" fontId="20" fillId="0" borderId="0" xfId="0" applyFont="true" applyBorder="false" applyAlignment="true" applyProtection="true">
      <alignment horizontal="center" vertical="center" textRotation="0" wrapText="false" indent="0" shrinkToFit="false"/>
      <protection locked="true" hidden="false"/>
    </xf>
    <xf numFmtId="164" fontId="20" fillId="0" borderId="12" xfId="0" applyFont="true" applyBorder="true" applyAlignment="true" applyProtection="true">
      <alignment horizontal="center" vertical="center" textRotation="0" wrapText="false" indent="0" shrinkToFit="false"/>
      <protection locked="true" hidden="false"/>
    </xf>
    <xf numFmtId="164" fontId="25" fillId="9" borderId="46" xfId="0" applyFont="true" applyBorder="true" applyAlignment="true" applyProtection="true">
      <alignment horizontal="right" vertical="center" textRotation="0" wrapText="true" indent="0" shrinkToFit="false"/>
      <protection locked="true" hidden="false"/>
    </xf>
    <xf numFmtId="164" fontId="17" fillId="0" borderId="18" xfId="0" applyFont="true" applyBorder="true" applyAlignment="true" applyProtection="true">
      <alignment horizontal="general" vertical="center" textRotation="0" wrapText="false" indent="0" shrinkToFit="false"/>
      <protection locked="false" hidden="false"/>
    </xf>
    <xf numFmtId="164" fontId="25" fillId="9" borderId="12" xfId="0" applyFont="true" applyBorder="true" applyAlignment="true" applyProtection="true">
      <alignment horizontal="right" vertical="center" textRotation="0" wrapText="true" indent="0" shrinkToFit="false"/>
      <protection locked="true" hidden="false"/>
    </xf>
    <xf numFmtId="164" fontId="18" fillId="9" borderId="18" xfId="0" applyFont="true" applyBorder="true" applyAlignment="true" applyProtection="true">
      <alignment horizontal="left" vertical="center" textRotation="0" wrapText="false" indent="0" shrinkToFit="false"/>
      <protection locked="false" hidden="false"/>
    </xf>
    <xf numFmtId="164" fontId="0" fillId="9" borderId="11" xfId="0" applyFont="false" applyBorder="true" applyAlignment="true" applyProtection="true">
      <alignment horizontal="general" vertical="center" textRotation="0" wrapText="false" indent="0" shrinkToFit="false"/>
      <protection locked="true" hidden="false"/>
    </xf>
    <xf numFmtId="164" fontId="0" fillId="9" borderId="12" xfId="0" applyFont="false" applyBorder="true" applyAlignment="true" applyProtection="true">
      <alignment horizontal="general" vertical="center" textRotation="0" wrapText="false" indent="0" shrinkToFit="false"/>
      <protection locked="true" hidden="false"/>
    </xf>
    <xf numFmtId="164" fontId="18" fillId="9" borderId="0" xfId="0" applyFont="true" applyBorder="false" applyAlignment="true" applyProtection="true">
      <alignment horizontal="general" vertical="center" textRotation="0" wrapText="false" indent="0" shrinkToFit="false"/>
      <protection locked="true" hidden="false"/>
    </xf>
    <xf numFmtId="164" fontId="18" fillId="0" borderId="47" xfId="0" applyFont="true" applyBorder="true" applyAlignment="true" applyProtection="true">
      <alignment horizontal="center" vertical="center" textRotation="0" wrapText="false" indent="0" shrinkToFit="false"/>
      <protection locked="true" hidden="false"/>
    </xf>
    <xf numFmtId="164" fontId="18" fillId="0" borderId="12" xfId="0" applyFont="true" applyBorder="true" applyAlignment="true" applyProtection="true">
      <alignment horizontal="general" vertical="center" textRotation="0" wrapText="false" indent="0" shrinkToFit="false"/>
      <protection locked="true" hidden="false"/>
    </xf>
    <xf numFmtId="164" fontId="18" fillId="0" borderId="16" xfId="0" applyFont="true" applyBorder="true" applyAlignment="true" applyProtection="true">
      <alignment horizontal="center" vertical="center" textRotation="0" wrapText="false" indent="0" shrinkToFit="false"/>
      <protection locked="true" hidden="false"/>
    </xf>
    <xf numFmtId="164" fontId="18" fillId="0" borderId="4" xfId="0" applyFont="true" applyBorder="true" applyAlignment="true" applyProtection="true">
      <alignment horizontal="center" vertical="center" textRotation="0" wrapText="false" indent="0" shrinkToFit="false"/>
      <protection locked="true" hidden="false"/>
    </xf>
    <xf numFmtId="164" fontId="18" fillId="9" borderId="16" xfId="0" applyFont="true" applyBorder="true" applyAlignment="true" applyProtection="true">
      <alignment horizontal="general" vertical="center" textRotation="0" wrapText="false" indent="0" shrinkToFit="false"/>
      <protection locked="true" hidden="false"/>
    </xf>
    <xf numFmtId="164" fontId="18" fillId="9" borderId="4" xfId="0" applyFont="true" applyBorder="true" applyAlignment="true" applyProtection="true">
      <alignment horizontal="general" vertical="center" textRotation="0" wrapText="false" indent="0" shrinkToFit="false"/>
      <protection locked="true" hidden="false"/>
    </xf>
    <xf numFmtId="164" fontId="18" fillId="9" borderId="48" xfId="0" applyFont="true" applyBorder="true" applyAlignment="true" applyProtection="true">
      <alignment horizontal="center" vertical="center" textRotation="0" wrapText="false" indent="0" shrinkToFit="false"/>
      <protection locked="true" hidden="false"/>
    </xf>
    <xf numFmtId="164" fontId="18" fillId="0" borderId="45" xfId="0" applyFont="true" applyBorder="true" applyAlignment="true" applyProtection="true">
      <alignment horizontal="left" vertical="center" textRotation="0" wrapText="false" indent="0" shrinkToFit="false"/>
      <protection locked="true" hidden="false"/>
    </xf>
    <xf numFmtId="164" fontId="18" fillId="0" borderId="16" xfId="0" applyFont="true" applyBorder="true" applyAlignment="true" applyProtection="true">
      <alignment horizontal="left" vertical="center" textRotation="0" wrapText="false" indent="0" shrinkToFit="false"/>
      <protection locked="true" hidden="false"/>
    </xf>
    <xf numFmtId="164" fontId="18" fillId="0" borderId="49" xfId="0" applyFont="true" applyBorder="true" applyAlignment="true" applyProtection="true">
      <alignment horizontal="center" vertical="center" textRotation="0" wrapText="false" indent="0" shrinkToFit="false"/>
      <protection locked="true" hidden="false"/>
    </xf>
    <xf numFmtId="164" fontId="26" fillId="0" borderId="50" xfId="0" applyFont="true" applyBorder="true" applyAlignment="true" applyProtection="true">
      <alignment horizontal="center" vertical="center" textRotation="0" wrapText="false" indent="0" shrinkToFit="false"/>
      <protection locked="true" hidden="false"/>
    </xf>
    <xf numFmtId="164" fontId="26" fillId="0" borderId="29" xfId="0" applyFont="true" applyBorder="true" applyAlignment="true" applyProtection="true">
      <alignment horizontal="center" vertical="center" textRotation="0" wrapText="false" indent="0" shrinkToFit="false"/>
      <protection locked="true" hidden="false"/>
    </xf>
    <xf numFmtId="164" fontId="26" fillId="0" borderId="31" xfId="0" applyFont="true" applyBorder="true" applyAlignment="true" applyProtection="true">
      <alignment horizontal="center" vertical="center" textRotation="0" wrapText="false" indent="0" shrinkToFit="false"/>
      <protection locked="true" hidden="false"/>
    </xf>
    <xf numFmtId="164" fontId="17" fillId="0" borderId="9" xfId="0" applyFont="true" applyBorder="true" applyAlignment="true" applyProtection="true">
      <alignment horizontal="left" vertical="bottom" textRotation="0" wrapText="false" indent="0" shrinkToFit="false"/>
      <protection locked="false" hidden="false"/>
    </xf>
    <xf numFmtId="175" fontId="17" fillId="0" borderId="9" xfId="17" applyFont="true" applyBorder="true" applyAlignment="true" applyProtection="true">
      <alignment horizontal="center" vertical="center" textRotation="0" wrapText="false" indent="0" shrinkToFit="true"/>
      <protection locked="true" hidden="false"/>
    </xf>
    <xf numFmtId="175" fontId="17" fillId="0" borderId="10" xfId="17" applyFont="true" applyBorder="true" applyAlignment="true" applyProtection="true">
      <alignment horizontal="center" vertical="center" textRotation="0" wrapText="false" indent="0" shrinkToFit="true"/>
      <protection locked="true" hidden="false"/>
    </xf>
    <xf numFmtId="166" fontId="17" fillId="0" borderId="51" xfId="19" applyFont="true" applyBorder="true" applyAlignment="true" applyProtection="true">
      <alignment horizontal="center" vertical="center" textRotation="0" wrapText="false" indent="0" shrinkToFit="false"/>
      <protection locked="true" hidden="false"/>
    </xf>
    <xf numFmtId="175" fontId="17" fillId="0" borderId="21" xfId="17" applyFont="true" applyBorder="true" applyAlignment="true" applyProtection="true">
      <alignment horizontal="center" vertical="center" textRotation="0" wrapText="false" indent="0" shrinkToFit="true"/>
      <protection locked="true" hidden="false"/>
    </xf>
    <xf numFmtId="175" fontId="17" fillId="0" borderId="23" xfId="17" applyFont="true" applyBorder="true" applyAlignment="true" applyProtection="true">
      <alignment horizontal="center" vertical="center" textRotation="0" wrapText="false" indent="0" shrinkToFit="true"/>
      <protection locked="true" hidden="false"/>
    </xf>
    <xf numFmtId="164" fontId="18" fillId="0" borderId="52" xfId="0" applyFont="true" applyBorder="true" applyAlignment="true" applyProtection="true">
      <alignment horizontal="center" vertical="center" textRotation="0" wrapText="false" indent="0" shrinkToFit="false"/>
      <protection locked="true" hidden="false"/>
    </xf>
    <xf numFmtId="175" fontId="18" fillId="0" borderId="18" xfId="17" applyFont="true" applyBorder="true" applyAlignment="true" applyProtection="true">
      <alignment horizontal="center" vertical="center" textRotation="0" wrapText="false" indent="0" shrinkToFit="true"/>
      <protection locked="true" hidden="false"/>
    </xf>
    <xf numFmtId="166" fontId="18" fillId="0" borderId="18" xfId="19" applyFont="true" applyBorder="true" applyAlignment="true" applyProtection="true">
      <alignment horizontal="center" vertical="center" textRotation="0" wrapText="false" indent="0" shrinkToFit="false"/>
      <protection locked="true" hidden="false"/>
    </xf>
    <xf numFmtId="164" fontId="18" fillId="0" borderId="11" xfId="0" applyFont="true" applyBorder="true" applyAlignment="true" applyProtection="true">
      <alignment horizontal="center" vertical="center" textRotation="0" wrapText="false" indent="0" shrinkToFit="false"/>
      <protection locked="true" hidden="false"/>
    </xf>
    <xf numFmtId="167" fontId="18" fillId="0" borderId="4" xfId="0" applyFont="true" applyBorder="true" applyAlignment="true" applyProtection="true">
      <alignment horizontal="center" vertical="center" textRotation="0" wrapText="false" indent="0" shrinkToFit="false"/>
      <protection locked="true" hidden="false"/>
    </xf>
    <xf numFmtId="167" fontId="18" fillId="0" borderId="17" xfId="0" applyFont="true" applyBorder="true" applyAlignment="true" applyProtection="true">
      <alignment horizontal="center" vertical="center" textRotation="0" wrapText="false" indent="0" shrinkToFit="false"/>
      <protection locked="true" hidden="false"/>
    </xf>
    <xf numFmtId="164" fontId="18" fillId="0" borderId="53" xfId="0" applyFont="true" applyBorder="true" applyAlignment="true" applyProtection="true">
      <alignment horizontal="center" vertical="center" textRotation="0" wrapText="false" indent="0" shrinkToFit="false"/>
      <protection locked="true" hidden="false"/>
    </xf>
    <xf numFmtId="164" fontId="0" fillId="0" borderId="54" xfId="0" applyFont="false" applyBorder="true" applyAlignment="true" applyProtection="true">
      <alignment horizontal="general" vertical="bottom" textRotation="0" wrapText="false" indent="0" shrinkToFit="false"/>
      <protection locked="true" hidden="false"/>
    </xf>
    <xf numFmtId="164" fontId="18" fillId="0" borderId="55" xfId="0" applyFont="true" applyBorder="true" applyAlignment="true" applyProtection="true">
      <alignment horizontal="center" vertical="center" textRotation="0" wrapText="false" indent="0" shrinkToFit="false"/>
      <protection locked="true" hidden="false"/>
    </xf>
    <xf numFmtId="164" fontId="18" fillId="0" borderId="56" xfId="0" applyFont="true" applyBorder="true" applyAlignment="true" applyProtection="true">
      <alignment horizontal="center" vertical="center" textRotation="0" wrapText="false" indent="0" shrinkToFit="false"/>
      <protection locked="true" hidden="false"/>
    </xf>
    <xf numFmtId="164" fontId="17" fillId="0" borderId="49" xfId="0" applyFont="true" applyBorder="true" applyAlignment="true" applyProtection="true">
      <alignment horizontal="left" vertical="center" textRotation="0" wrapText="false" indent="0" shrinkToFit="false"/>
      <protection locked="false" hidden="false"/>
    </xf>
    <xf numFmtId="164" fontId="17" fillId="0" borderId="50" xfId="0" applyFont="true" applyBorder="true" applyAlignment="true" applyProtection="true">
      <alignment horizontal="general" vertical="center" textRotation="0" wrapText="false" indent="0" shrinkToFit="true"/>
      <protection locked="false" hidden="false"/>
    </xf>
    <xf numFmtId="175" fontId="17" fillId="0" borderId="50" xfId="0" applyFont="true" applyBorder="true" applyAlignment="true" applyProtection="true">
      <alignment horizontal="general" vertical="center" textRotation="0" wrapText="false" indent="0" shrinkToFit="true"/>
      <protection locked="false" hidden="false"/>
    </xf>
    <xf numFmtId="175" fontId="17" fillId="0" borderId="50" xfId="0" applyFont="true" applyBorder="true" applyAlignment="true" applyProtection="true">
      <alignment horizontal="center" vertical="center" textRotation="0" wrapText="false" indent="0" shrinkToFit="true"/>
      <protection locked="true" hidden="false"/>
    </xf>
    <xf numFmtId="164" fontId="17" fillId="0" borderId="50" xfId="0" applyFont="true" applyBorder="true" applyAlignment="true" applyProtection="true">
      <alignment horizontal="left" vertical="center" textRotation="0" wrapText="false" indent="0" shrinkToFit="false"/>
      <protection locked="false" hidden="false"/>
    </xf>
    <xf numFmtId="164" fontId="17" fillId="0" borderId="50" xfId="0" applyFont="true" applyBorder="true" applyAlignment="true" applyProtection="true">
      <alignment horizontal="center" vertical="center" textRotation="0" wrapText="false" indent="0" shrinkToFit="true"/>
      <protection locked="false" hidden="false"/>
    </xf>
    <xf numFmtId="175" fontId="17" fillId="0" borderId="50" xfId="0" applyFont="true" applyBorder="true" applyAlignment="true" applyProtection="true">
      <alignment horizontal="center" vertical="center" textRotation="0" wrapText="false" indent="0" shrinkToFit="true"/>
      <protection locked="false" hidden="false"/>
    </xf>
    <xf numFmtId="175" fontId="17" fillId="0" borderId="29" xfId="17" applyFont="true" applyBorder="true" applyAlignment="true" applyProtection="true">
      <alignment horizontal="center" vertical="center" textRotation="0" wrapText="false" indent="0" shrinkToFit="true"/>
      <protection locked="true" hidden="false"/>
    </xf>
    <xf numFmtId="164" fontId="17" fillId="0" borderId="14" xfId="0" applyFont="true" applyBorder="true" applyAlignment="true" applyProtection="true">
      <alignment horizontal="left" vertical="center" textRotation="0" wrapText="false" indent="0" shrinkToFit="false"/>
      <protection locked="false" hidden="false"/>
    </xf>
    <xf numFmtId="164" fontId="17" fillId="0" borderId="9" xfId="0" applyFont="true" applyBorder="true" applyAlignment="true" applyProtection="true">
      <alignment horizontal="general" vertical="center" textRotation="0" wrapText="false" indent="0" shrinkToFit="true"/>
      <protection locked="false" hidden="false"/>
    </xf>
    <xf numFmtId="175" fontId="17" fillId="0" borderId="9" xfId="0" applyFont="true" applyBorder="true" applyAlignment="true" applyProtection="true">
      <alignment horizontal="general" vertical="center" textRotation="0" wrapText="false" indent="0" shrinkToFit="true"/>
      <protection locked="false" hidden="false"/>
    </xf>
    <xf numFmtId="175" fontId="17" fillId="0" borderId="9" xfId="0" applyFont="true" applyBorder="true" applyAlignment="true" applyProtection="true">
      <alignment horizontal="center" vertical="center" textRotation="0" wrapText="false" indent="0" shrinkToFit="true"/>
      <protection locked="true" hidden="false"/>
    </xf>
    <xf numFmtId="164" fontId="17" fillId="0" borderId="9" xfId="0" applyFont="true" applyBorder="true" applyAlignment="true" applyProtection="true">
      <alignment horizontal="left" vertical="center" textRotation="0" wrapText="false" indent="0" shrinkToFit="false"/>
      <protection locked="false" hidden="false"/>
    </xf>
    <xf numFmtId="164" fontId="17" fillId="0" borderId="9" xfId="0" applyFont="true" applyBorder="true" applyAlignment="true" applyProtection="true">
      <alignment horizontal="center" vertical="center" textRotation="0" wrapText="false" indent="0" shrinkToFit="true"/>
      <protection locked="false" hidden="false"/>
    </xf>
    <xf numFmtId="175" fontId="17" fillId="0" borderId="9" xfId="0" applyFont="true" applyBorder="true" applyAlignment="true" applyProtection="true">
      <alignment horizontal="center" vertical="center" textRotation="0" wrapText="false" indent="0" shrinkToFit="true"/>
      <protection locked="false" hidden="false"/>
    </xf>
    <xf numFmtId="164" fontId="17" fillId="0" borderId="32" xfId="0" applyFont="true" applyBorder="true" applyAlignment="true" applyProtection="true">
      <alignment horizontal="left" vertical="center" textRotation="0" wrapText="false" indent="0" shrinkToFit="false"/>
      <protection locked="false" hidden="false"/>
    </xf>
    <xf numFmtId="164" fontId="17" fillId="0" borderId="21" xfId="0" applyFont="true" applyBorder="true" applyAlignment="true" applyProtection="true">
      <alignment horizontal="general" vertical="center" textRotation="0" wrapText="false" indent="0" shrinkToFit="true"/>
      <protection locked="false" hidden="false"/>
    </xf>
    <xf numFmtId="175" fontId="17" fillId="0" borderId="21" xfId="0" applyFont="true" applyBorder="true" applyAlignment="true" applyProtection="true">
      <alignment horizontal="general" vertical="center" textRotation="0" wrapText="false" indent="0" shrinkToFit="true"/>
      <protection locked="false" hidden="false"/>
    </xf>
    <xf numFmtId="175" fontId="17" fillId="0" borderId="21" xfId="0" applyFont="true" applyBorder="true" applyAlignment="true" applyProtection="true">
      <alignment horizontal="center" vertical="center" textRotation="0" wrapText="false" indent="0" shrinkToFit="true"/>
      <protection locked="true" hidden="false"/>
    </xf>
    <xf numFmtId="164" fontId="17" fillId="0" borderId="21" xfId="0" applyFont="true" applyBorder="true" applyAlignment="true" applyProtection="true">
      <alignment horizontal="general" vertical="center" textRotation="0" wrapText="false" indent="0" shrinkToFit="false"/>
      <protection locked="false" hidden="false"/>
    </xf>
    <xf numFmtId="164" fontId="17" fillId="0" borderId="21" xfId="0" applyFont="true" applyBorder="true" applyAlignment="true" applyProtection="true">
      <alignment horizontal="center" vertical="center" textRotation="0" wrapText="false" indent="0" shrinkToFit="true"/>
      <protection locked="false" hidden="false"/>
    </xf>
    <xf numFmtId="175" fontId="17" fillId="0" borderId="21" xfId="0" applyFont="true" applyBorder="true" applyAlignment="true" applyProtection="true">
      <alignment horizontal="center" vertical="center" textRotation="0" wrapText="false" indent="0" shrinkToFit="true"/>
      <protection locked="false" hidden="false"/>
    </xf>
    <xf numFmtId="170" fontId="18" fillId="0" borderId="18" xfId="0" applyFont="true" applyBorder="true" applyAlignment="true" applyProtection="true">
      <alignment horizontal="center" vertical="center" textRotation="0" wrapText="false" indent="0" shrinkToFit="true"/>
      <protection locked="true" hidden="false"/>
    </xf>
    <xf numFmtId="164" fontId="18" fillId="0" borderId="17" xfId="0" applyFont="true" applyBorder="true" applyAlignment="true" applyProtection="true">
      <alignment horizontal="center" vertical="center" textRotation="0" wrapText="false" indent="0" shrinkToFit="false"/>
      <protection locked="true" hidden="false"/>
    </xf>
    <xf numFmtId="170" fontId="18" fillId="0" borderId="18" xfId="0" applyFont="true" applyBorder="true" applyAlignment="true" applyProtection="true">
      <alignment horizontal="center" vertical="center" textRotation="0" wrapText="false" indent="0" shrinkToFit="false"/>
      <protection locked="true" hidden="false"/>
    </xf>
    <xf numFmtId="170" fontId="18" fillId="0" borderId="4" xfId="0" applyFont="true" applyBorder="true" applyAlignment="true" applyProtection="true">
      <alignment horizontal="center" vertical="center" textRotation="0" wrapText="false" indent="0" shrinkToFit="false"/>
      <protection locked="true" hidden="false"/>
    </xf>
    <xf numFmtId="164" fontId="17" fillId="0" borderId="49" xfId="0" applyFont="true" applyBorder="true" applyAlignment="true" applyProtection="true">
      <alignment horizontal="center" vertical="bottom" textRotation="0" wrapText="false" indent="0" shrinkToFit="false"/>
      <protection locked="false" hidden="false"/>
    </xf>
    <xf numFmtId="164" fontId="0" fillId="0" borderId="57" xfId="0" applyFont="false" applyBorder="true" applyAlignment="true" applyProtection="true">
      <alignment horizontal="general" vertical="bottom" textRotation="0" wrapText="false" indent="0" shrinkToFit="false"/>
      <protection locked="true" hidden="false"/>
    </xf>
    <xf numFmtId="164" fontId="17" fillId="0" borderId="31" xfId="0" applyFont="true" applyBorder="true" applyAlignment="true" applyProtection="true">
      <alignment horizontal="center" vertical="center" textRotation="0" wrapText="false" indent="0" shrinkToFit="false"/>
      <protection locked="false" hidden="false"/>
    </xf>
    <xf numFmtId="164" fontId="18" fillId="0" borderId="58" xfId="0" applyFont="true" applyBorder="true" applyAlignment="true" applyProtection="true">
      <alignment horizontal="center" vertical="center" textRotation="0" wrapText="false" indent="0" shrinkToFit="false"/>
      <protection locked="true" hidden="false"/>
    </xf>
    <xf numFmtId="164" fontId="18" fillId="0" borderId="59" xfId="0" applyFont="true" applyBorder="true" applyAlignment="true" applyProtection="true">
      <alignment horizontal="center" vertical="center" textRotation="0" wrapText="false" indent="0" shrinkToFit="false"/>
      <protection locked="true" hidden="false"/>
    </xf>
    <xf numFmtId="175" fontId="17" fillId="0" borderId="10" xfId="17" applyFont="true" applyBorder="true" applyAlignment="true" applyProtection="true">
      <alignment horizontal="center" vertical="center" textRotation="0" wrapText="false" indent="0" shrinkToFit="false"/>
      <protection locked="false" hidden="false"/>
    </xf>
    <xf numFmtId="175" fontId="17" fillId="0" borderId="51" xfId="17" applyFont="true" applyBorder="true" applyAlignment="true" applyProtection="true">
      <alignment horizontal="center" vertical="center" textRotation="0" wrapText="false" indent="0" shrinkToFit="true"/>
      <protection locked="true" hidden="false"/>
    </xf>
    <xf numFmtId="175" fontId="17" fillId="0" borderId="52" xfId="17" applyFont="true" applyBorder="true" applyAlignment="true" applyProtection="true">
      <alignment horizontal="center" vertical="center" textRotation="0" wrapText="false" indent="0" shrinkToFit="true"/>
      <protection locked="true" hidden="false"/>
    </xf>
    <xf numFmtId="164" fontId="18" fillId="0" borderId="51" xfId="0" applyFont="true" applyBorder="true" applyAlignment="true" applyProtection="true">
      <alignment horizontal="right" vertical="center" textRotation="0" wrapText="false" indent="0" shrinkToFit="false"/>
      <protection locked="true" hidden="false"/>
    </xf>
    <xf numFmtId="170" fontId="17" fillId="0" borderId="31" xfId="0" applyFont="true" applyBorder="true" applyAlignment="true" applyProtection="true">
      <alignment horizontal="center" vertical="center" textRotation="0" wrapText="false" indent="0" shrinkToFit="true"/>
      <protection locked="true" hidden="false"/>
    </xf>
    <xf numFmtId="164" fontId="18" fillId="0" borderId="10" xfId="0" applyFont="true" applyBorder="true" applyAlignment="true" applyProtection="true">
      <alignment horizontal="right" vertical="center" textRotation="0" wrapText="false" indent="0" shrinkToFit="false"/>
      <protection locked="true" hidden="false"/>
    </xf>
    <xf numFmtId="164" fontId="17" fillId="10" borderId="9" xfId="0" applyFont="true" applyBorder="true" applyAlignment="true" applyProtection="true">
      <alignment horizontal="center" vertical="center" textRotation="0" wrapText="false" indent="0" shrinkToFit="true"/>
      <protection locked="false" hidden="false"/>
    </xf>
    <xf numFmtId="170" fontId="17" fillId="0" borderId="51" xfId="0" applyFont="true" applyBorder="true" applyAlignment="true" applyProtection="true">
      <alignment horizontal="center" vertical="center" textRotation="0" wrapText="false" indent="0" shrinkToFit="tru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70" fontId="17" fillId="10" borderId="51" xfId="0" applyFont="true" applyBorder="true" applyAlignment="true" applyProtection="true">
      <alignment horizontal="center" vertical="center" textRotation="0" wrapText="false" indent="0" shrinkToFit="false"/>
      <protection locked="false" hidden="false"/>
    </xf>
    <xf numFmtId="170" fontId="17" fillId="10" borderId="51" xfId="0" applyFont="true" applyBorder="true" applyAlignment="true" applyProtection="true">
      <alignment horizontal="center" vertical="center" textRotation="0" wrapText="false" indent="0" shrinkToFit="true"/>
      <protection locked="false" hidden="false"/>
    </xf>
    <xf numFmtId="164" fontId="17" fillId="0" borderId="60" xfId="0" applyFont="true" applyBorder="true" applyAlignment="true" applyProtection="true">
      <alignment horizontal="center" vertical="center" textRotation="0" wrapText="false" indent="0" shrinkToFit="false"/>
      <protection locked="true" hidden="false"/>
    </xf>
    <xf numFmtId="164" fontId="17" fillId="0" borderId="47" xfId="0" applyFont="true" applyBorder="true" applyAlignment="true" applyProtection="true">
      <alignment horizontal="center" vertical="center" textRotation="0" wrapText="false" indent="0" shrinkToFit="false"/>
      <protection locked="true" hidden="false"/>
    </xf>
    <xf numFmtId="164" fontId="17" fillId="0" borderId="61" xfId="0" applyFont="true" applyBorder="true" applyAlignment="true" applyProtection="true">
      <alignment horizontal="center" vertical="center" textRotation="0" wrapText="false" indent="0" shrinkToFit="false"/>
      <protection locked="true" hidden="false"/>
    </xf>
    <xf numFmtId="164" fontId="0" fillId="0" borderId="51" xfId="0" applyFont="false" applyBorder="true" applyAlignment="true" applyProtection="true">
      <alignment horizontal="general" vertical="bottom" textRotation="0" wrapText="false" indent="0" shrinkToFit="false"/>
      <protection locked="true" hidden="false"/>
    </xf>
    <xf numFmtId="164" fontId="17" fillId="0" borderId="16" xfId="0" applyFont="true" applyBorder="true" applyAlignment="true" applyProtection="true">
      <alignment horizontal="center" vertical="center" textRotation="0" wrapText="false" indent="0" shrinkToFit="false"/>
      <protection locked="true" hidden="false"/>
    </xf>
    <xf numFmtId="164" fontId="18" fillId="0" borderId="24" xfId="0" applyFont="true" applyBorder="true" applyAlignment="true" applyProtection="true">
      <alignment horizontal="center" vertical="center" textRotation="0" wrapText="false" indent="0" shrinkToFit="false"/>
      <protection locked="true" hidden="false"/>
    </xf>
    <xf numFmtId="176" fontId="17" fillId="0" borderId="21" xfId="0" applyFont="true" applyBorder="true" applyAlignment="true" applyProtection="true">
      <alignment horizontal="center" vertical="center" textRotation="0" wrapText="false" indent="0" shrinkToFit="true"/>
      <protection locked="true" hidden="false"/>
    </xf>
    <xf numFmtId="164" fontId="18" fillId="0" borderId="22" xfId="0" applyFont="true" applyBorder="true" applyAlignment="true" applyProtection="true">
      <alignment horizontal="center" vertical="center" textRotation="0" wrapText="false" indent="0" shrinkToFit="false"/>
      <protection locked="true" hidden="false"/>
    </xf>
    <xf numFmtId="164" fontId="18" fillId="0" borderId="62" xfId="0" applyFont="true" applyBorder="true" applyAlignment="true" applyProtection="true">
      <alignment horizontal="center" vertical="center" textRotation="0" wrapText="false" indent="0" shrinkToFit="false"/>
      <protection locked="true" hidden="false"/>
    </xf>
    <xf numFmtId="176" fontId="17" fillId="0" borderId="52" xfId="0" applyFont="true" applyBorder="true" applyAlignment="true" applyProtection="true">
      <alignment horizontal="center" vertical="center" textRotation="0" wrapText="false" indent="0" shrinkToFit="true"/>
      <protection locked="true" hidden="false"/>
    </xf>
    <xf numFmtId="164" fontId="17" fillId="0" borderId="4" xfId="0" applyFont="true" applyBorder="true" applyAlignment="true" applyProtection="true">
      <alignment horizontal="center" vertical="center" textRotation="0" wrapText="false" indent="0" shrinkToFit="false"/>
      <protection locked="true" hidden="false"/>
    </xf>
    <xf numFmtId="176" fontId="17" fillId="0" borderId="4" xfId="0" applyFont="true" applyBorder="true" applyAlignment="true" applyProtection="true">
      <alignment horizontal="center" vertical="center" textRotation="0" wrapText="false" indent="0" shrinkToFit="false"/>
      <protection locked="true" hidden="false"/>
    </xf>
    <xf numFmtId="164" fontId="17" fillId="0" borderId="17" xfId="0" applyFont="true" applyBorder="true" applyAlignment="true" applyProtection="true">
      <alignment horizontal="center" vertical="center" textRotation="0" wrapText="false" indent="0" shrinkToFit="false"/>
      <protection locked="true" hidden="false"/>
    </xf>
    <xf numFmtId="164" fontId="18" fillId="0" borderId="63" xfId="0" applyFont="true" applyBorder="true" applyAlignment="true" applyProtection="true">
      <alignment horizontal="left" vertical="center" textRotation="0" wrapText="false" indent="0" shrinkToFit="false"/>
      <protection locked="true" hidden="false"/>
    </xf>
    <xf numFmtId="164" fontId="22" fillId="0" borderId="34" xfId="0" applyFont="true" applyBorder="true" applyAlignment="true" applyProtection="true">
      <alignment horizontal="left" vertical="center" textRotation="0" wrapText="false" indent="0" shrinkToFit="false"/>
      <protection locked="false" hidden="false"/>
    </xf>
    <xf numFmtId="164" fontId="18" fillId="0" borderId="64" xfId="0" applyFont="true" applyBorder="true" applyAlignment="true" applyProtection="true">
      <alignment horizontal="center" vertical="center" textRotation="0" wrapText="false" indent="0" shrinkToFit="false"/>
      <protection locked="true" hidden="false"/>
    </xf>
    <xf numFmtId="164" fontId="17" fillId="0" borderId="34" xfId="0" applyFont="true" applyBorder="true" applyAlignment="true" applyProtection="true">
      <alignment horizontal="center" vertical="center" textRotation="0" wrapText="false" indent="0" shrinkToFit="false"/>
      <protection locked="false" hidden="false"/>
    </xf>
    <xf numFmtId="164" fontId="17" fillId="0" borderId="35" xfId="0" applyFont="true" applyBorder="true" applyAlignment="true" applyProtection="true">
      <alignment horizontal="center" vertical="center" textRotation="0" wrapText="false" indent="0" shrinkToFit="false"/>
      <protection locked="false" hidden="false"/>
    </xf>
    <xf numFmtId="164" fontId="0" fillId="0" borderId="45" xfId="0" applyFont="false" applyBorder="true" applyAlignment="true" applyProtection="true">
      <alignment horizontal="general" vertical="bottom" textRotation="0" wrapText="false" indent="0" shrinkToFit="false"/>
      <protection locked="true" hidden="false"/>
    </xf>
    <xf numFmtId="164" fontId="17" fillId="0" borderId="65" xfId="0" applyFont="true" applyBorder="true" applyAlignment="true" applyProtection="true">
      <alignment horizontal="general" vertical="center" textRotation="0" wrapText="false" indent="0" shrinkToFit="false"/>
      <protection locked="true" hidden="false"/>
    </xf>
    <xf numFmtId="164" fontId="27" fillId="0" borderId="14" xfId="0" applyFont="true" applyBorder="true" applyAlignment="true" applyProtection="true">
      <alignment horizontal="left" vertical="center" textRotation="0" wrapText="false" indent="0" shrinkToFit="false"/>
      <protection locked="false" hidden="false"/>
    </xf>
    <xf numFmtId="164" fontId="17" fillId="0" borderId="14" xfId="0" applyFont="true" applyBorder="true" applyAlignment="true" applyProtection="true">
      <alignment horizontal="center" vertical="center" textRotation="0" wrapText="false" indent="0" shrinkToFit="false"/>
      <protection locked="false" hidden="false"/>
    </xf>
    <xf numFmtId="164" fontId="17" fillId="0" borderId="32" xfId="0" applyFont="true" applyBorder="true" applyAlignment="true" applyProtection="true">
      <alignment horizontal="center" vertical="center" textRotation="0" wrapText="false" indent="0" shrinkToFit="false"/>
      <protection locked="false" hidden="false"/>
    </xf>
    <xf numFmtId="164" fontId="18" fillId="0" borderId="50" xfId="0" applyFont="true" applyBorder="true" applyAlignment="true" applyProtection="true">
      <alignment horizontal="center" vertical="center" textRotation="0" wrapText="false" indent="0" shrinkToFit="false"/>
      <protection locked="true" hidden="false"/>
    </xf>
    <xf numFmtId="164" fontId="18" fillId="0" borderId="29" xfId="0" applyFont="true" applyBorder="true" applyAlignment="true" applyProtection="true">
      <alignment horizontal="center" vertical="center" textRotation="0" wrapText="false" indent="0" shrinkToFit="false"/>
      <protection locked="true" hidden="false"/>
    </xf>
    <xf numFmtId="175" fontId="17" fillId="0" borderId="14" xfId="0" applyFont="true" applyBorder="true" applyAlignment="true" applyProtection="true">
      <alignment horizontal="center" vertical="center" textRotation="0" wrapText="false" indent="0" shrinkToFit="false"/>
      <protection locked="false" hidden="false"/>
    </xf>
    <xf numFmtId="175" fontId="17" fillId="0" borderId="9" xfId="0" applyFont="true" applyBorder="true" applyAlignment="true" applyProtection="true">
      <alignment horizontal="center" vertical="center" textRotation="0" wrapText="false" indent="0" shrinkToFit="false"/>
      <protection locked="false" hidden="false"/>
    </xf>
    <xf numFmtId="164" fontId="18" fillId="0" borderId="20" xfId="0" applyFont="true" applyBorder="true" applyAlignment="true" applyProtection="true">
      <alignment horizontal="right" vertical="center" textRotation="0" wrapText="false" indent="0" shrinkToFit="false"/>
      <protection locked="true" hidden="false"/>
    </xf>
    <xf numFmtId="175" fontId="18" fillId="0" borderId="21" xfId="17" applyFont="true" applyBorder="true" applyAlignment="true" applyProtection="true">
      <alignment horizontal="center" vertical="center" textRotation="0" wrapText="false" indent="0" shrinkToFit="true"/>
      <protection locked="true" hidden="false"/>
    </xf>
    <xf numFmtId="164" fontId="0" fillId="0" borderId="66" xfId="0" applyFont="false" applyBorder="true" applyAlignment="true" applyProtection="true">
      <alignment horizontal="general" vertical="bottom" textRotation="0" wrapText="false" indent="0" shrinkToFit="false"/>
      <protection locked="true" hidden="false"/>
    </xf>
    <xf numFmtId="175" fontId="18" fillId="0" borderId="23" xfId="17" applyFont="true" applyBorder="true" applyAlignment="true" applyProtection="true">
      <alignment horizontal="center" vertical="center" textRotation="0" wrapText="false" indent="0" shrinkToFit="true"/>
      <protection locked="true" hidden="false"/>
    </xf>
    <xf numFmtId="164" fontId="0" fillId="0" borderId="18" xfId="0" applyFont="false" applyBorder="true" applyAlignment="true" applyProtection="true">
      <alignment horizontal="general" vertical="bottom" textRotation="0" wrapText="false" indent="0" shrinkToFit="false"/>
      <protection locked="true" hidden="false"/>
    </xf>
    <xf numFmtId="164" fontId="17" fillId="0" borderId="10" xfId="0" applyFont="true" applyBorder="true" applyAlignment="true" applyProtection="true">
      <alignment horizontal="left" vertical="center" textRotation="0" wrapText="false" indent="0" shrinkToFit="false"/>
      <protection locked="false" hidden="false"/>
    </xf>
    <xf numFmtId="164" fontId="21" fillId="0" borderId="9" xfId="0" applyFont="true" applyBorder="true" applyAlignment="true" applyProtection="true">
      <alignment horizontal="left" vertical="center" textRotation="0" wrapText="false" indent="0" shrinkToFit="false"/>
      <protection locked="false" hidden="false"/>
    </xf>
    <xf numFmtId="164" fontId="17" fillId="0" borderId="14" xfId="0" applyFont="true" applyBorder="true" applyAlignment="true" applyProtection="true">
      <alignment horizontal="center" vertical="bottom" textRotation="0" wrapText="false" indent="0" shrinkToFit="false"/>
      <protection locked="false" hidden="false"/>
    </xf>
    <xf numFmtId="164" fontId="0" fillId="0" borderId="9" xfId="0" applyFont="true" applyBorder="true" applyAlignment="true" applyProtection="true">
      <alignment horizontal="center" vertical="bottom" textRotation="0" wrapText="false" indent="0" shrinkToFit="false"/>
      <protection locked="false" hidden="false"/>
    </xf>
    <xf numFmtId="164" fontId="17" fillId="0" borderId="32" xfId="0" applyFont="true" applyBorder="true" applyAlignment="true" applyProtection="true">
      <alignment horizontal="center" vertical="bottom" textRotation="0" wrapText="false" indent="0" shrinkToFit="false"/>
      <protection locked="false" hidden="false"/>
    </xf>
    <xf numFmtId="164" fontId="17" fillId="0" borderId="21" xfId="0" applyFont="true" applyBorder="true" applyAlignment="true" applyProtection="true">
      <alignment horizontal="left" vertical="center" textRotation="0" wrapText="false" indent="0" shrinkToFit="false"/>
      <protection locked="false" hidden="false"/>
    </xf>
    <xf numFmtId="164" fontId="0" fillId="0" borderId="21" xfId="0" applyFont="true" applyBorder="true" applyAlignment="true" applyProtection="true">
      <alignment horizontal="center" vertical="bottom" textRotation="0" wrapText="false" indent="0" shrinkToFit="false"/>
      <protection locked="false" hidden="false"/>
    </xf>
    <xf numFmtId="164" fontId="17" fillId="0" borderId="23" xfId="0" applyFont="true" applyBorder="true" applyAlignment="true" applyProtection="true">
      <alignment horizontal="left" vertical="center" textRotation="0" wrapText="false" indent="0" shrinkToFit="false"/>
      <protection locked="false" hidden="false"/>
    </xf>
    <xf numFmtId="164" fontId="21" fillId="0" borderId="32" xfId="0" applyFont="true" applyBorder="true" applyAlignment="true" applyProtection="true">
      <alignment horizontal="left" vertical="center" textRotation="0" wrapText="false" indent="0" shrinkToFit="false"/>
      <protection locked="false" hidden="false"/>
    </xf>
    <xf numFmtId="175" fontId="17" fillId="0" borderId="21" xfId="0" applyFont="true" applyBorder="true" applyAlignment="true" applyProtection="true">
      <alignment horizontal="center" vertical="center" textRotation="0" wrapText="false" indent="0" shrinkToFit="false"/>
      <protection locked="false" hidden="false"/>
    </xf>
    <xf numFmtId="164" fontId="17" fillId="0" borderId="67" xfId="0" applyFont="true" applyBorder="true" applyAlignment="true" applyProtection="true">
      <alignment horizontal="general" vertical="center" textRotation="0" wrapText="false" indent="0" shrinkToFit="false"/>
      <protection locked="true" hidden="false"/>
    </xf>
    <xf numFmtId="164" fontId="0" fillId="0" borderId="68" xfId="0" applyFont="false" applyBorder="true" applyAlignment="true" applyProtection="true">
      <alignment horizontal="general" vertical="bottom" textRotation="0" wrapText="false" indent="0" shrinkToFit="false"/>
      <protection locked="true" hidden="false"/>
    </xf>
    <xf numFmtId="175" fontId="17" fillId="0" borderId="10" xfId="0" applyFont="true" applyBorder="true" applyAlignment="true" applyProtection="true">
      <alignment horizontal="center" vertical="center" textRotation="0" wrapText="false" indent="0" shrinkToFit="true"/>
      <protection locked="false" hidden="false"/>
    </xf>
    <xf numFmtId="164" fontId="18" fillId="0" borderId="32" xfId="0" applyFont="true" applyBorder="true" applyAlignment="true" applyProtection="true">
      <alignment horizontal="right" vertical="center" textRotation="0" wrapText="false" indent="0" shrinkToFit="false"/>
      <protection locked="true" hidden="false"/>
    </xf>
    <xf numFmtId="175" fontId="18" fillId="0" borderId="23" xfId="17" applyFont="true" applyBorder="true" applyAlignment="true" applyProtection="true">
      <alignment horizontal="right" vertical="center" textRotation="0" wrapText="false" indent="0" shrinkToFit="true"/>
      <protection locked="true" hidden="false"/>
    </xf>
    <xf numFmtId="164" fontId="18" fillId="0" borderId="49" xfId="0" applyFont="true" applyBorder="true" applyAlignment="true" applyProtection="true">
      <alignment horizontal="left" vertical="center" textRotation="0" wrapText="false" indent="0" shrinkToFit="false"/>
      <protection locked="true" hidden="false"/>
    </xf>
    <xf numFmtId="175" fontId="17" fillId="0" borderId="29" xfId="0" applyFont="true" applyBorder="true" applyAlignment="true" applyProtection="true">
      <alignment horizontal="center" vertical="center" textRotation="0" wrapText="false" indent="0" shrinkToFit="true"/>
      <protection locked="false" hidden="false"/>
    </xf>
    <xf numFmtId="164" fontId="18" fillId="0" borderId="69" xfId="0" applyFont="true" applyBorder="true" applyAlignment="true" applyProtection="true">
      <alignment horizontal="right" vertical="center" textRotation="0" wrapText="false" indent="0" shrinkToFit="false"/>
      <protection locked="true" hidden="false"/>
    </xf>
    <xf numFmtId="175" fontId="18" fillId="0" borderId="42" xfId="17" applyFont="true" applyBorder="true" applyAlignment="true" applyProtection="true">
      <alignment horizontal="right" vertical="center" textRotation="0" wrapText="false" indent="0" shrinkToFit="true"/>
      <protection locked="true" hidden="false"/>
    </xf>
    <xf numFmtId="164" fontId="0" fillId="0" borderId="70" xfId="0" applyFont="false" applyBorder="true" applyAlignment="true" applyProtection="true">
      <alignment horizontal="general" vertical="bottom" textRotation="0" wrapText="false" indent="0" shrinkToFit="false"/>
      <protection locked="true" hidden="false"/>
    </xf>
    <xf numFmtId="175" fontId="18" fillId="0" borderId="55" xfId="17" applyFont="true" applyBorder="true" applyAlignment="true" applyProtection="true">
      <alignment horizontal="center" vertical="center" textRotation="0" wrapText="false" indent="0" shrinkToFit="true"/>
      <protection locked="true" hidden="false"/>
    </xf>
    <xf numFmtId="164" fontId="0" fillId="0" borderId="46" xfId="0" applyFont="false" applyBorder="true" applyAlignment="true" applyProtection="true">
      <alignment horizontal="general" vertical="bottom" textRotation="0" wrapText="false" indent="0" shrinkToFit="false"/>
      <protection locked="true" hidden="false"/>
    </xf>
    <xf numFmtId="164" fontId="0" fillId="0" borderId="71" xfId="0" applyFont="false" applyBorder="true" applyAlignment="true" applyProtection="true">
      <alignment horizontal="general" vertical="bottom" textRotation="0" wrapText="false" indent="0" shrinkToFit="true"/>
      <protection locked="true" hidden="false"/>
    </xf>
    <xf numFmtId="164" fontId="18" fillId="0" borderId="66" xfId="0" applyFont="true" applyBorder="true" applyAlignment="true" applyProtection="true">
      <alignment horizontal="center" vertical="center" textRotation="0" wrapText="false" indent="0" shrinkToFit="false"/>
      <protection locked="true" hidden="false"/>
    </xf>
    <xf numFmtId="164" fontId="0" fillId="0" borderId="72" xfId="0" applyFont="false" applyBorder="true" applyAlignment="true" applyProtection="true">
      <alignment horizontal="general" vertical="bottom" textRotation="0" wrapText="false" indent="0" shrinkToFit="false"/>
      <protection locked="true" hidden="false"/>
    </xf>
    <xf numFmtId="164" fontId="18" fillId="0" borderId="31" xfId="0" applyFont="true" applyBorder="true" applyAlignment="true" applyProtection="true">
      <alignment horizontal="center" vertical="center" textRotation="0" wrapText="false" indent="0" shrinkToFit="false"/>
      <protection locked="true" hidden="false"/>
    </xf>
    <xf numFmtId="164" fontId="17" fillId="0" borderId="14" xfId="0" applyFont="true" applyBorder="true" applyAlignment="true" applyProtection="true">
      <alignment horizontal="left" vertical="center" textRotation="0" wrapText="false" indent="0" shrinkToFit="false"/>
      <protection locked="true" hidden="false"/>
    </xf>
    <xf numFmtId="175" fontId="17" fillId="10" borderId="10" xfId="0" applyFont="true" applyBorder="true" applyAlignment="true" applyProtection="true">
      <alignment horizontal="center" vertical="center" textRotation="0" wrapText="false" indent="0" shrinkToFit="true"/>
      <protection locked="false" hidden="false"/>
    </xf>
    <xf numFmtId="175" fontId="17" fillId="0" borderId="10" xfId="17" applyFont="true" applyBorder="true" applyAlignment="true" applyProtection="true">
      <alignment horizontal="center" vertical="center" textRotation="0" wrapText="false" indent="0" shrinkToFit="true"/>
      <protection locked="false" hidden="false"/>
    </xf>
    <xf numFmtId="175" fontId="28" fillId="10" borderId="10" xfId="0" applyFont="true" applyBorder="true" applyAlignment="true" applyProtection="true">
      <alignment horizontal="center" vertical="center" textRotation="0" wrapText="false" indent="0" shrinkToFit="true"/>
      <protection locked="false" hidden="false"/>
    </xf>
    <xf numFmtId="175" fontId="18" fillId="0" borderId="10" xfId="17" applyFont="true" applyBorder="true" applyAlignment="true" applyProtection="true">
      <alignment horizontal="center" vertical="center" textRotation="0" wrapText="false" indent="0" shrinkToFit="true"/>
      <protection locked="true" hidden="false"/>
    </xf>
    <xf numFmtId="164" fontId="17" fillId="0" borderId="14" xfId="0" applyFont="true" applyBorder="true" applyAlignment="true" applyProtection="true">
      <alignment horizontal="center" vertical="center" textRotation="0" wrapText="false" indent="0" shrinkToFit="false"/>
      <protection locked="true" hidden="false"/>
    </xf>
    <xf numFmtId="175" fontId="17" fillId="10" borderId="9" xfId="0" applyFont="true" applyBorder="true" applyAlignment="true" applyProtection="true">
      <alignment horizontal="general" vertical="bottom" textRotation="0" wrapText="false" indent="0" shrinkToFit="true"/>
      <protection locked="false" hidden="false"/>
    </xf>
    <xf numFmtId="164" fontId="0" fillId="0" borderId="73" xfId="0" applyFont="false" applyBorder="true" applyAlignment="true" applyProtection="true">
      <alignment horizontal="general" vertical="bottom" textRotation="0" wrapText="false" indent="0" shrinkToFit="false"/>
      <protection locked="true" hidden="false"/>
    </xf>
    <xf numFmtId="175" fontId="17" fillId="0" borderId="74" xfId="0" applyFont="true" applyBorder="true" applyAlignment="true" applyProtection="true">
      <alignment horizontal="center" vertical="center" textRotation="0" wrapText="false" indent="0" shrinkToFit="true"/>
      <protection locked="false" hidden="false"/>
    </xf>
    <xf numFmtId="164" fontId="18" fillId="0" borderId="32" xfId="0" applyFont="true" applyBorder="true" applyAlignment="true" applyProtection="true">
      <alignment horizontal="center" vertical="center" textRotation="0" wrapText="false" indent="0" shrinkToFit="false"/>
      <protection locked="true" hidden="false"/>
    </xf>
    <xf numFmtId="164" fontId="17" fillId="0" borderId="32" xfId="0" applyFont="true" applyBorder="true" applyAlignment="true" applyProtection="true">
      <alignment horizontal="left" vertical="center" textRotation="0" wrapText="false" indent="0" shrinkToFit="false"/>
      <protection locked="true" hidden="false"/>
    </xf>
    <xf numFmtId="167" fontId="17" fillId="0" borderId="9" xfId="19" applyFont="true" applyBorder="true" applyAlignment="true" applyProtection="true">
      <alignment horizontal="center" vertical="center" textRotation="0" wrapText="false" indent="0" shrinkToFit="false"/>
      <protection locked="true" hidden="false"/>
    </xf>
    <xf numFmtId="164" fontId="17" fillId="0" borderId="9" xfId="0" applyFont="true" applyBorder="true" applyAlignment="true" applyProtection="true">
      <alignment horizontal="left" vertical="center" textRotation="0" wrapText="false" indent="0" shrinkToFit="false"/>
      <protection locked="true" hidden="false"/>
    </xf>
    <xf numFmtId="177" fontId="17" fillId="0" borderId="9" xfId="19" applyFont="true" applyBorder="true" applyAlignment="true" applyProtection="true">
      <alignment horizontal="center" vertical="center" textRotation="0" wrapText="false" indent="0" shrinkToFit="false"/>
      <protection locked="true" hidden="false"/>
    </xf>
    <xf numFmtId="164" fontId="18" fillId="0" borderId="0" xfId="0" applyFont="true" applyBorder="true" applyAlignment="true" applyProtection="true">
      <alignment horizontal="left" vertical="center" textRotation="0" wrapText="false" indent="0" shrinkToFit="false"/>
      <protection locked="true" hidden="false"/>
    </xf>
    <xf numFmtId="164" fontId="29" fillId="0" borderId="15" xfId="0" applyFont="true" applyBorder="true" applyAlignment="true" applyProtection="true">
      <alignment horizontal="general" vertical="center" textRotation="0" wrapText="false" indent="0" shrinkToFit="false"/>
      <protection locked="false" hidden="false"/>
    </xf>
    <xf numFmtId="164" fontId="17" fillId="0" borderId="15" xfId="0" applyFont="true" applyBorder="true" applyAlignment="true" applyProtection="true">
      <alignment horizontal="general" vertical="center" textRotation="0" wrapText="false" indent="0" shrinkToFit="false"/>
      <protection locked="false" hidden="false"/>
    </xf>
    <xf numFmtId="164" fontId="17" fillId="0" borderId="0" xfId="0" applyFont="true" applyBorder="false" applyAlignment="true" applyProtection="true">
      <alignment horizontal="general" vertical="center" textRotation="0" wrapText="false" indent="0" shrinkToFit="false"/>
      <protection locked="false" hidden="false"/>
    </xf>
    <xf numFmtId="164" fontId="30" fillId="0" borderId="15" xfId="0" applyFont="true" applyBorder="true" applyAlignment="true" applyProtection="true">
      <alignment horizontal="general" vertical="center" textRotation="0" wrapText="false" indent="0" shrinkToFit="false"/>
      <protection locked="false" hidden="false"/>
    </xf>
    <xf numFmtId="164" fontId="0" fillId="0" borderId="15" xfId="0" applyFont="false" applyBorder="true" applyAlignment="true" applyProtection="true">
      <alignment horizontal="general" vertical="center" textRotation="0" wrapText="false" indent="0" shrinkToFit="false"/>
      <protection locked="true" hidden="false"/>
    </xf>
    <xf numFmtId="178" fontId="17" fillId="0" borderId="15" xfId="0" applyFont="true" applyBorder="true" applyAlignment="true" applyProtection="true">
      <alignment horizontal="center" vertical="center" textRotation="0" wrapText="false" indent="0" shrinkToFit="false"/>
      <protection locked="true" hidden="false"/>
    </xf>
    <xf numFmtId="164" fontId="17" fillId="0" borderId="47" xfId="0" applyFont="true" applyBorder="true" applyAlignment="true" applyProtection="true">
      <alignment horizontal="general" vertical="center" textRotation="0" wrapText="false" indent="0" shrinkToFit="false"/>
      <protection locked="true" hidden="false"/>
    </xf>
    <xf numFmtId="164" fontId="33" fillId="0" borderId="0" xfId="36" applyFont="true" applyBorder="true" applyAlignment="true" applyProtection="true">
      <alignment horizontal="general" vertical="bottom" textRotation="0" wrapText="false" indent="0" shrinkToFit="false"/>
      <protection locked="true" hidden="false"/>
    </xf>
    <xf numFmtId="164" fontId="14" fillId="0" borderId="0" xfId="36" applyFont="true" applyBorder="true" applyAlignment="true" applyProtection="true">
      <alignment horizontal="general" vertical="bottom" textRotation="0" wrapText="false" indent="0" shrinkToFit="false"/>
      <protection locked="true" hidden="false"/>
    </xf>
    <xf numFmtId="164" fontId="34" fillId="11" borderId="75" xfId="36" applyFont="true" applyBorder="true" applyAlignment="true" applyProtection="true">
      <alignment horizontal="center" vertical="bottom" textRotation="0" wrapText="false" indent="0" shrinkToFit="false"/>
      <protection locked="true" hidden="false"/>
    </xf>
    <xf numFmtId="164" fontId="33" fillId="11" borderId="75" xfId="36" applyFont="true" applyBorder="true" applyAlignment="true" applyProtection="true">
      <alignment horizontal="center" vertical="bottom" textRotation="0" wrapText="false" indent="0" shrinkToFit="false"/>
      <protection locked="true" hidden="false"/>
    </xf>
    <xf numFmtId="169" fontId="33" fillId="11" borderId="75" xfId="36" applyFont="true" applyBorder="true" applyAlignment="true" applyProtection="true">
      <alignment horizontal="center" vertical="bottom" textRotation="0" wrapText="false" indent="0" shrinkToFit="false"/>
      <protection locked="true" hidden="false"/>
    </xf>
    <xf numFmtId="164" fontId="33" fillId="0" borderId="76" xfId="0" applyFont="true" applyBorder="true" applyAlignment="true" applyProtection="true">
      <alignment horizontal="general" vertical="bottom" textRotation="0" wrapText="false" indent="0" shrinkToFit="false"/>
      <protection locked="true" hidden="false"/>
    </xf>
    <xf numFmtId="169" fontId="33" fillId="0" borderId="76" xfId="0" applyFont="true" applyBorder="true" applyAlignment="true" applyProtection="true">
      <alignment horizontal="general" vertical="center" textRotation="0" wrapText="false" indent="0" shrinkToFit="false"/>
      <protection locked="true" hidden="false"/>
    </xf>
    <xf numFmtId="164" fontId="14" fillId="0" borderId="76" xfId="0" applyFont="true" applyBorder="true" applyAlignment="true" applyProtection="true">
      <alignment horizontal="general" vertical="center" textRotation="0" wrapText="false" indent="0" shrinkToFit="false"/>
      <protection locked="true" hidden="false"/>
    </xf>
    <xf numFmtId="169" fontId="14" fillId="0" borderId="76" xfId="0" applyFont="true" applyBorder="true" applyAlignment="true" applyProtection="true">
      <alignment horizontal="general" vertical="center" textRotation="0" wrapText="false" indent="0" shrinkToFit="false"/>
      <protection locked="true" hidden="false"/>
    </xf>
    <xf numFmtId="164" fontId="14" fillId="0" borderId="77" xfId="0" applyFont="true" applyBorder="true" applyAlignment="true" applyProtection="true">
      <alignment horizontal="general" vertical="center" textRotation="0" wrapText="false" indent="0" shrinkToFit="false"/>
      <protection locked="true" hidden="false"/>
    </xf>
    <xf numFmtId="169" fontId="14" fillId="0" borderId="77" xfId="0" applyFont="true" applyBorder="true" applyAlignment="true" applyProtection="true">
      <alignment horizontal="general" vertical="center" textRotation="0" wrapText="false" indent="0" shrinkToFit="false"/>
      <protection locked="true" hidden="false"/>
    </xf>
    <xf numFmtId="164" fontId="0" fillId="0" borderId="76" xfId="0" applyFont="true" applyBorder="true" applyAlignment="true" applyProtection="true">
      <alignment horizontal="general" vertical="bottom" textRotation="0" wrapText="false" indent="0" shrinkToFit="false"/>
      <protection locked="true" hidden="false"/>
    </xf>
    <xf numFmtId="169" fontId="5" fillId="0" borderId="76" xfId="0" applyFont="true" applyBorder="true" applyAlignment="true" applyProtection="true">
      <alignment horizontal="general" vertical="bottom" textRotation="0" wrapText="false" indent="0" shrinkToFit="false"/>
      <protection locked="true" hidden="false"/>
    </xf>
    <xf numFmtId="169" fontId="0" fillId="0" borderId="76" xfId="0" applyFont="true" applyBorder="true" applyAlignment="true" applyProtection="true">
      <alignment horizontal="general" vertical="bottom" textRotation="0" wrapText="false" indent="0" shrinkToFit="false"/>
      <protection locked="true" hidden="false"/>
    </xf>
    <xf numFmtId="164" fontId="35" fillId="0" borderId="76" xfId="0" applyFont="true" applyBorder="true" applyAlignment="true" applyProtection="true">
      <alignment horizontal="general" vertical="center" textRotation="0" wrapText="false" indent="0" shrinkToFit="false"/>
      <protection locked="true" hidden="false"/>
    </xf>
    <xf numFmtId="164" fontId="0" fillId="0" borderId="76" xfId="0" applyFont="true" applyBorder="true" applyAlignment="true" applyProtection="true">
      <alignment horizontal="general" vertical="center" textRotation="0" wrapText="false" indent="0" shrinkToFit="false"/>
      <protection locked="true" hidden="false"/>
    </xf>
    <xf numFmtId="169" fontId="14" fillId="0" borderId="76" xfId="0" applyFont="true" applyBorder="true" applyAlignment="true" applyProtection="true">
      <alignment horizontal="right" vertical="center" textRotation="0" wrapText="false" indent="0" shrinkToFit="false"/>
      <protection locked="true" hidden="false"/>
    </xf>
    <xf numFmtId="169" fontId="14" fillId="0" borderId="0" xfId="36" applyFont="true" applyBorder="true" applyAlignment="true" applyProtection="true">
      <alignment horizontal="general" vertical="center" textRotation="0" wrapText="false" indent="0" shrinkToFit="false"/>
      <protection locked="true" hidden="false"/>
    </xf>
    <xf numFmtId="164" fontId="14" fillId="0" borderId="0" xfId="36" applyFont="true" applyBorder="true" applyAlignment="true" applyProtection="true">
      <alignment horizontal="general" vertical="center" textRotation="0" wrapText="false" indent="0" shrinkToFit="false"/>
      <protection locked="true" hidden="false"/>
    </xf>
    <xf numFmtId="164" fontId="36" fillId="0" borderId="0" xfId="36" applyFont="true" applyBorder="true" applyAlignment="true" applyProtection="true">
      <alignment horizontal="general" vertical="bottom" textRotation="0" wrapText="false" indent="0" shrinkToFit="false"/>
      <protection locked="true" hidden="false"/>
    </xf>
    <xf numFmtId="169" fontId="37" fillId="0" borderId="0" xfId="36" applyFont="true" applyBorder="true" applyAlignment="true" applyProtection="true">
      <alignment horizontal="general" vertical="center" textRotation="0" wrapText="false" indent="0" shrinkToFit="false"/>
      <protection locked="true" hidden="false"/>
    </xf>
    <xf numFmtId="164" fontId="37" fillId="0" borderId="0" xfId="36" applyFont="true" applyBorder="true" applyAlignment="true" applyProtection="true">
      <alignment horizontal="general" vertical="center" textRotation="0" wrapText="false" indent="0" shrinkToFit="false"/>
      <protection locked="true" hidden="false"/>
    </xf>
    <xf numFmtId="164" fontId="38" fillId="0" borderId="76" xfId="0" applyFont="true" applyBorder="true" applyAlignment="true" applyProtection="true">
      <alignment horizontal="general" vertical="bottom" textRotation="0" wrapText="false" indent="0" shrinkToFit="false"/>
      <protection locked="true" hidden="false"/>
    </xf>
    <xf numFmtId="164" fontId="39" fillId="12" borderId="76" xfId="0" applyFont="true" applyBorder="true" applyAlignment="true" applyProtection="true">
      <alignment horizontal="general" vertical="bottom" textRotation="0" wrapText="false" indent="0" shrinkToFit="false"/>
      <protection locked="true" hidden="false"/>
    </xf>
    <xf numFmtId="164" fontId="33" fillId="0" borderId="75" xfId="0" applyFont="true" applyBorder="true" applyAlignment="true" applyProtection="true">
      <alignment horizontal="general" vertical="bottom" textRotation="0" wrapText="false" indent="0" shrinkToFit="false"/>
      <protection locked="true" hidden="false"/>
    </xf>
    <xf numFmtId="164" fontId="0" fillId="0" borderId="75" xfId="0" applyFont="false" applyBorder="true" applyAlignment="true" applyProtection="true">
      <alignment horizontal="general" vertical="bottom" textRotation="0" wrapText="false" indent="0" shrinkToFit="false"/>
      <protection locked="true" hidden="false"/>
    </xf>
    <xf numFmtId="169" fontId="14" fillId="0" borderId="75" xfId="0" applyFont="true" applyBorder="true" applyAlignment="true" applyProtection="true">
      <alignment horizontal="general" vertical="center" textRotation="0" wrapText="false" indent="0" shrinkToFit="false"/>
      <protection locked="true" hidden="false"/>
    </xf>
    <xf numFmtId="164" fontId="5" fillId="0" borderId="76" xfId="0" applyFont="true" applyBorder="true" applyAlignment="true" applyProtection="true">
      <alignment horizontal="general" vertical="bottom" textRotation="0" wrapText="false" indent="0" shrinkToFit="false"/>
      <protection locked="true" hidden="false"/>
    </xf>
    <xf numFmtId="164" fontId="33" fillId="0" borderId="0" xfId="0" applyFont="true" applyBorder="false" applyAlignment="true" applyProtection="true">
      <alignment horizontal="general" vertical="bottom" textRotation="0" wrapText="false" indent="0" shrinkToFit="false"/>
      <protection locked="true" hidden="false"/>
    </xf>
    <xf numFmtId="169" fontId="14" fillId="0" borderId="0" xfId="0" applyFont="true" applyBorder="false" applyAlignment="true" applyProtection="true">
      <alignment horizontal="general" vertical="center"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34" fillId="0" borderId="76" xfId="36" applyFont="true" applyBorder="true" applyAlignment="true" applyProtection="true">
      <alignment horizontal="general" vertical="bottom" textRotation="0" wrapText="false" indent="0" shrinkToFit="false"/>
      <protection locked="true" hidden="false"/>
    </xf>
  </cellXfs>
  <cellStyles count="30">
    <cellStyle name="Normal" xfId="0" builtinId="0"/>
    <cellStyle name="Comma" xfId="15" builtinId="3"/>
    <cellStyle name="Comma [0]" xfId="16" builtinId="6"/>
    <cellStyle name="Currency" xfId="17" builtinId="4"/>
    <cellStyle name="Currency [0]" xfId="18" builtinId="7"/>
    <cellStyle name="Percent" xfId="19" builtinId="5"/>
    <cellStyle name="Accent 1 5" xfId="20"/>
    <cellStyle name="Accent 2 6" xfId="21"/>
    <cellStyle name="Accent 3 7" xfId="22"/>
    <cellStyle name="Accent 4" xfId="23"/>
    <cellStyle name="Bad 8" xfId="24"/>
    <cellStyle name="Error 9" xfId="25"/>
    <cellStyle name="Footnote 10" xfId="26"/>
    <cellStyle name="Good 11" xfId="27"/>
    <cellStyle name="Heading 1 13" xfId="28"/>
    <cellStyle name="Heading 12" xfId="29"/>
    <cellStyle name="Heading 2 14" xfId="30"/>
    <cellStyle name="Hipervínculo" xfId="31"/>
    <cellStyle name="Hyperlink 15" xfId="32"/>
    <cellStyle name="Millares 2" xfId="33"/>
    <cellStyle name="Millares 3" xfId="34"/>
    <cellStyle name="Normal 2" xfId="35"/>
    <cellStyle name="Normal 3" xfId="36"/>
    <cellStyle name="Note 16" xfId="37"/>
    <cellStyle name="Porcentaje 2" xfId="38"/>
    <cellStyle name="Porcentaje 3" xfId="39"/>
    <cellStyle name="Result 17" xfId="40"/>
    <cellStyle name="Status 18" xfId="41"/>
    <cellStyle name="Text 19" xfId="42"/>
    <cellStyle name="Warning 20" xfId="43"/>
  </cellStyles>
  <dxfs count="5">
    <dxf>
      <fill>
        <patternFill patternType="solid">
          <fgColor rgb="FFFFC000"/>
          <bgColor rgb="FF000000"/>
        </patternFill>
      </fill>
    </dxf>
    <dxf>
      <fill>
        <patternFill patternType="solid">
          <bgColor rgb="FF000000"/>
        </patternFill>
      </fill>
    </dxf>
    <dxf>
      <fill>
        <patternFill patternType="solid">
          <fgColor rgb="FF000000"/>
          <bgColor rgb="FF000000"/>
        </patternFill>
      </fill>
    </dxf>
    <dxf>
      <fill>
        <patternFill patternType="solid">
          <fgColor rgb="FFD9D9D9"/>
          <bgColor rgb="FF000000"/>
        </patternFill>
      </fill>
    </dxf>
    <dxf>
      <fill>
        <patternFill patternType="solid">
          <fgColor rgb="FFFF0000"/>
          <bgColor rgb="FF000000"/>
        </patternFill>
      </fill>
    </dxf>
  </dxfs>
  <colors>
    <indexedColors>
      <rgbColor rgb="FF000000"/>
      <rgbColor rgb="FFFFFFFF"/>
      <rgbColor rgb="FFFF0000"/>
      <rgbColor rgb="FF00FF00"/>
      <rgbColor rgb="FF0000EE"/>
      <rgbColor rgb="FFFFFF00"/>
      <rgbColor rgb="FFFF00FF"/>
      <rgbColor rgb="FF00FFFF"/>
      <rgbColor rgb="FFCC0000"/>
      <rgbColor rgb="FF006600"/>
      <rgbColor rgb="FF000080"/>
      <rgbColor rgb="FF808000"/>
      <rgbColor rgb="FF800080"/>
      <rgbColor rgb="FF008080"/>
      <rgbColor rgb="FFDDDDDD"/>
      <rgbColor rgb="FF808080"/>
      <rgbColor rgb="FF9999FF"/>
      <rgbColor rgb="FF993366"/>
      <rgbColor rgb="FFFFFFCC"/>
      <rgbColor rgb="FFE2EFDA"/>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E8F2A1"/>
      <rgbColor rgb="FF99CCFF"/>
      <rgbColor rgb="FFFF99CC"/>
      <rgbColor rgb="FFCC99FF"/>
      <rgbColor rgb="FFFFCCCC"/>
      <rgbColor rgb="FF3366FF"/>
      <rgbColor rgb="FF33CCCC"/>
      <rgbColor rgb="FF92D050"/>
      <rgbColor rgb="FFFFC000"/>
      <rgbColor rgb="FFFF9900"/>
      <rgbColor rgb="FFFF6600"/>
      <rgbColor rgb="FF666699"/>
      <rgbColor rgb="FF969696"/>
      <rgbColor rgb="FF003366"/>
      <rgbColor rgb="FF00B050"/>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21960</xdr:colOff>
      <xdr:row>76</xdr:row>
      <xdr:rowOff>64800</xdr:rowOff>
    </xdr:from>
    <xdr:to>
      <xdr:col>0</xdr:col>
      <xdr:colOff>61920</xdr:colOff>
      <xdr:row>76</xdr:row>
      <xdr:rowOff>133560</xdr:rowOff>
    </xdr:to>
    <xdr:sp>
      <xdr:nvSpPr>
        <xdr:cNvPr id="0" name="Flecha: hacia arriba 4"/>
        <xdr:cNvSpPr/>
      </xdr:nvSpPr>
      <xdr:spPr>
        <a:xfrm>
          <a:off x="21960" y="9084960"/>
          <a:ext cx="39960" cy="68760"/>
        </a:xfrm>
        <a:custGeom>
          <a:avLst/>
          <a:gdLst>
            <a:gd name="textAreaLeft" fmla="*/ 11880 w 39960"/>
            <a:gd name="textAreaRight" fmla="*/ 35640 w 39960"/>
            <a:gd name="textAreaTop" fmla="*/ 11880 h 68760"/>
            <a:gd name="textAreaBottom" fmla="*/ 76320 h 68760"/>
          </a:gdLst>
          <a:ahLst/>
          <a:rect l="textAreaLeft" t="textAreaTop" r="textAreaRight" b="textAreaBottom"/>
          <a:pathLst>
            <a:path w="21600" h="21600">
              <a:moveTo>
                <a:pt x="5400" y="21600"/>
              </a:moveTo>
              <a:lnTo>
                <a:pt x="5400" y="6750"/>
              </a:lnTo>
              <a:lnTo>
                <a:pt x="0" y="6750"/>
              </a:lnTo>
              <a:lnTo>
                <a:pt x="10800" y="0"/>
              </a:lnTo>
              <a:lnTo>
                <a:pt x="21600" y="6750"/>
              </a:lnTo>
              <a:lnTo>
                <a:pt x="16200" y="6750"/>
              </a:lnTo>
              <a:lnTo>
                <a:pt x="16200" y="21600"/>
              </a:lnTo>
              <a:close/>
            </a:path>
          </a:pathLst>
        </a:custGeom>
        <a:solidFill>
          <a:srgbClr val="4472c4"/>
        </a:solidFill>
        <a:ln w="12600">
          <a:solidFill>
            <a:srgbClr val="2f528f"/>
          </a:solidFill>
          <a:miter/>
        </a:ln>
      </xdr:spPr>
      <xdr:style>
        <a:lnRef idx="0"/>
        <a:fillRef idx="0"/>
        <a:effectRef idx="0"/>
        <a:fontRef idx="minor"/>
      </xdr:style>
    </xdr:sp>
    <xdr:clientData/>
  </xdr:twoCellAnchor>
  <xdr:twoCellAnchor editAs="oneCell">
    <xdr:from>
      <xdr:col>20</xdr:col>
      <xdr:colOff>21960</xdr:colOff>
      <xdr:row>76</xdr:row>
      <xdr:rowOff>64800</xdr:rowOff>
    </xdr:from>
    <xdr:to>
      <xdr:col>20</xdr:col>
      <xdr:colOff>61920</xdr:colOff>
      <xdr:row>76</xdr:row>
      <xdr:rowOff>133560</xdr:rowOff>
    </xdr:to>
    <xdr:sp>
      <xdr:nvSpPr>
        <xdr:cNvPr id="1" name="Flecha: hacia arriba 5"/>
        <xdr:cNvSpPr/>
      </xdr:nvSpPr>
      <xdr:spPr>
        <a:xfrm>
          <a:off x="3818160" y="9084960"/>
          <a:ext cx="39960" cy="68760"/>
        </a:xfrm>
        <a:custGeom>
          <a:avLst/>
          <a:gdLst>
            <a:gd name="textAreaLeft" fmla="*/ 11880 w 39960"/>
            <a:gd name="textAreaRight" fmla="*/ 35640 w 39960"/>
            <a:gd name="textAreaTop" fmla="*/ 11880 h 68760"/>
            <a:gd name="textAreaBottom" fmla="*/ 76320 h 68760"/>
          </a:gdLst>
          <a:ahLst/>
          <a:rect l="textAreaLeft" t="textAreaTop" r="textAreaRight" b="textAreaBottom"/>
          <a:pathLst>
            <a:path w="21600" h="21600">
              <a:moveTo>
                <a:pt x="5400" y="21600"/>
              </a:moveTo>
              <a:lnTo>
                <a:pt x="5400" y="6750"/>
              </a:lnTo>
              <a:lnTo>
                <a:pt x="0" y="6750"/>
              </a:lnTo>
              <a:lnTo>
                <a:pt x="10800" y="0"/>
              </a:lnTo>
              <a:lnTo>
                <a:pt x="21600" y="6750"/>
              </a:lnTo>
              <a:lnTo>
                <a:pt x="16200" y="6750"/>
              </a:lnTo>
              <a:lnTo>
                <a:pt x="16200" y="21600"/>
              </a:lnTo>
              <a:close/>
            </a:path>
          </a:pathLst>
        </a:custGeom>
        <a:solidFill>
          <a:srgbClr val="4472c4"/>
        </a:solidFill>
        <a:ln w="12600">
          <a:solidFill>
            <a:srgbClr val="2f528f"/>
          </a:solidFill>
          <a:miter/>
        </a:ln>
      </xdr:spPr>
      <xdr:style>
        <a:lnRef idx="0"/>
        <a:fillRef idx="0"/>
        <a:effectRef idx="0"/>
        <a:fontRef idx="minor"/>
      </xdr:style>
    </xdr:sp>
    <xdr:clientData/>
  </xdr:twoCellAnchor>
  <xdr:twoCellAnchor editAs="oneCell">
    <xdr:from>
      <xdr:col>30</xdr:col>
      <xdr:colOff>21960</xdr:colOff>
      <xdr:row>0</xdr:row>
      <xdr:rowOff>0</xdr:rowOff>
    </xdr:from>
    <xdr:to>
      <xdr:col>38</xdr:col>
      <xdr:colOff>164160</xdr:colOff>
      <xdr:row>3</xdr:row>
      <xdr:rowOff>50400</xdr:rowOff>
    </xdr:to>
    <xdr:pic>
      <xdr:nvPicPr>
        <xdr:cNvPr id="2" name="Imagen 6" descr=""/>
        <xdr:cNvPicPr/>
      </xdr:nvPicPr>
      <xdr:blipFill>
        <a:blip r:embed="rId1"/>
        <a:srcRect l="1041" t="0" r="1041" b="0"/>
        <a:stretch/>
      </xdr:blipFill>
      <xdr:spPr>
        <a:xfrm>
          <a:off x="5617440" y="0"/>
          <a:ext cx="1544400" cy="355320"/>
        </a:xfrm>
        <a:prstGeom prst="rect">
          <a:avLst/>
        </a:prstGeom>
        <a:ln w="0">
          <a:noFill/>
        </a:ln>
      </xdr:spPr>
    </xdr:pic>
    <xdr:clientData/>
  </xdr:twoCellAnchor>
</xdr:wsDr>
</file>

<file path=xl/tables/table1.xml><?xml version="1.0" encoding="utf-8"?>
<table xmlns="http://schemas.openxmlformats.org/spreadsheetml/2006/main" id="1" name="__Anonymous_Sheet_DB__2" displayName="__Anonymous_Sheet_DB__2" ref="A3:E93" headerRowCount="1" totalsRowCount="0" totalsRowShown="0">
  <autoFilter ref="A3:E93"/>
  <tableColumns count="5">
    <tableColumn id="1" name="Nº"/>
    <tableColumn id="2" name="OFICINA"/>
    <tableColumn id="3" name="CÓDIGO"/>
    <tableColumn id="4" name="CÓDIGO OFICIAL DE NEG."/>
    <tableColumn id="5" name="NOMBRES Y APELLIDOS"/>
  </tableColumns>
</table>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mailto:villaprado28@gmail.com" TargetMode="External"/><Relationship Id="rId3" Type="http://schemas.openxmlformats.org/officeDocument/2006/relationships/drawing" Target="../drawings/drawing1.xml"/><Relationship Id="rId4"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5"/>
  <sheetViews>
    <sheetView showFormulas="false" showGridLines="true" showRowColHeaders="true" showZeros="true" rightToLeft="false" tabSelected="false" showOutlineSymbols="true" defaultGridColor="true" view="pageBreakPreview" topLeftCell="A7" colorId="64" zoomScale="161" zoomScaleNormal="100" zoomScalePageLayoutView="161" workbookViewId="0">
      <selection pane="topLeft" activeCell="B18" activeCellId="0" sqref="B18"/>
    </sheetView>
  </sheetViews>
  <sheetFormatPr defaultColWidth="10.6796875" defaultRowHeight="14.25" zeroHeight="false" outlineLevelRow="0" outlineLevelCol="0"/>
  <cols>
    <col collapsed="false" customWidth="true" hidden="false" outlineLevel="0" max="1" min="1" style="1" width="3"/>
    <col collapsed="false" customWidth="true" hidden="false" outlineLevel="0" max="2" min="2" style="2" width="17.44"/>
    <col collapsed="false" customWidth="true" hidden="false" outlineLevel="0" max="3" min="3" style="2" width="15.22"/>
    <col collapsed="false" customWidth="true" hidden="false" outlineLevel="0" max="4" min="4" style="2" width="18.34"/>
    <col collapsed="false" customWidth="true" hidden="false" outlineLevel="0" max="5" min="5" style="2" width="21.67"/>
    <col collapsed="false" customWidth="true" hidden="false" outlineLevel="0" max="6" min="6" style="2" width="22.11"/>
    <col collapsed="false" customWidth="true" hidden="false" outlineLevel="0" max="7" min="7" style="2" width="16.67"/>
    <col collapsed="false" customWidth="true" hidden="false" outlineLevel="0" max="8" min="8" style="1" width="11.56"/>
  </cols>
  <sheetData>
    <row r="1" customFormat="false" ht="14.25" hidden="false" customHeight="false" outlineLevel="0" collapsed="false">
      <c r="B1" s="3" t="s">
        <v>0</v>
      </c>
      <c r="C1" s="3" t="s">
        <v>1</v>
      </c>
      <c r="D1" s="3" t="s">
        <v>2</v>
      </c>
      <c r="E1" s="3" t="s">
        <v>3</v>
      </c>
      <c r="F1" s="3" t="s">
        <v>4</v>
      </c>
      <c r="G1" s="3"/>
    </row>
    <row r="2" customFormat="false" ht="14.25" hidden="false" customHeight="false" outlineLevel="0" collapsed="false">
      <c r="B2" s="2" t="s">
        <v>5</v>
      </c>
      <c r="C2" s="2" t="s">
        <v>6</v>
      </c>
      <c r="D2" s="2" t="s">
        <v>7</v>
      </c>
      <c r="E2" s="2" t="s">
        <v>8</v>
      </c>
      <c r="F2" s="2" t="s">
        <v>9</v>
      </c>
    </row>
    <row r="3" customFormat="false" ht="14.25" hidden="false" customHeight="false" outlineLevel="0" collapsed="false">
      <c r="B3" s="2" t="s">
        <v>10</v>
      </c>
      <c r="C3" s="2" t="s">
        <v>11</v>
      </c>
      <c r="D3" s="2" t="s">
        <v>12</v>
      </c>
      <c r="E3" s="2" t="s">
        <v>13</v>
      </c>
      <c r="F3" s="2" t="s">
        <v>14</v>
      </c>
    </row>
    <row r="4" customFormat="false" ht="14.25" hidden="false" customHeight="false" outlineLevel="0" collapsed="false">
      <c r="B4" s="2" t="s">
        <v>15</v>
      </c>
      <c r="C4" s="2" t="s">
        <v>16</v>
      </c>
      <c r="D4" s="2" t="s">
        <v>17</v>
      </c>
      <c r="E4" s="2" t="s">
        <v>18</v>
      </c>
      <c r="F4" s="2" t="s">
        <v>19</v>
      </c>
    </row>
    <row r="5" customFormat="false" ht="14.25" hidden="false" customHeight="false" outlineLevel="0" collapsed="false">
      <c r="B5" s="2" t="s">
        <v>20</v>
      </c>
      <c r="C5" s="2" t="s">
        <v>21</v>
      </c>
      <c r="D5" s="2" t="s">
        <v>22</v>
      </c>
      <c r="E5" s="2" t="s">
        <v>19</v>
      </c>
      <c r="F5" s="2" t="s">
        <v>23</v>
      </c>
    </row>
    <row r="6" customFormat="false" ht="14.25" hidden="false" customHeight="false" outlineLevel="0" collapsed="false">
      <c r="B6" s="2" t="s">
        <v>24</v>
      </c>
      <c r="C6" s="2" t="s">
        <v>25</v>
      </c>
      <c r="D6" s="2" t="s">
        <v>26</v>
      </c>
      <c r="E6" s="2" t="s">
        <v>23</v>
      </c>
      <c r="F6" s="2" t="s">
        <v>27</v>
      </c>
    </row>
    <row r="7" customFormat="false" ht="14.25" hidden="false" customHeight="false" outlineLevel="0" collapsed="false">
      <c r="B7" s="2" t="s">
        <v>28</v>
      </c>
      <c r="C7" s="2" t="s">
        <v>29</v>
      </c>
      <c r="D7" s="2" t="s">
        <v>30</v>
      </c>
      <c r="E7" s="2" t="s">
        <v>31</v>
      </c>
    </row>
    <row r="8" customFormat="false" ht="14.25" hidden="false" customHeight="false" outlineLevel="0" collapsed="false">
      <c r="B8" s="2" t="s">
        <v>32</v>
      </c>
      <c r="D8" s="2" t="s">
        <v>33</v>
      </c>
    </row>
    <row r="9" customFormat="false" ht="14.25" hidden="false" customHeight="false" outlineLevel="0" collapsed="false">
      <c r="B9" s="2" t="s">
        <v>34</v>
      </c>
    </row>
    <row r="11" customFormat="false" ht="14.25" hidden="false" customHeight="false" outlineLevel="0" collapsed="false">
      <c r="B11" s="3" t="s">
        <v>35</v>
      </c>
      <c r="C11" s="3" t="s">
        <v>36</v>
      </c>
      <c r="D11" s="3" t="s">
        <v>37</v>
      </c>
      <c r="E11" s="3" t="s">
        <v>38</v>
      </c>
      <c r="F11" s="3" t="s">
        <v>39</v>
      </c>
      <c r="G11" s="3" t="s">
        <v>40</v>
      </c>
    </row>
    <row r="12" customFormat="false" ht="14.25" hidden="false" customHeight="false" outlineLevel="0" collapsed="false">
      <c r="B12" s="2" t="s">
        <v>41</v>
      </c>
      <c r="C12" s="2" t="s">
        <v>42</v>
      </c>
      <c r="D12" s="4" t="n">
        <v>1</v>
      </c>
      <c r="E12" s="2" t="s">
        <v>43</v>
      </c>
      <c r="F12" s="2" t="s">
        <v>44</v>
      </c>
      <c r="G12" s="2" t="s">
        <v>45</v>
      </c>
    </row>
    <row r="13" customFormat="false" ht="14.25" hidden="false" customHeight="false" outlineLevel="0" collapsed="false">
      <c r="B13" s="2" t="s">
        <v>46</v>
      </c>
      <c r="C13" s="2" t="s">
        <v>47</v>
      </c>
      <c r="D13" s="4" t="n">
        <v>7</v>
      </c>
      <c r="E13" s="2" t="s">
        <v>48</v>
      </c>
      <c r="F13" s="2" t="s">
        <v>49</v>
      </c>
      <c r="G13" s="2" t="s">
        <v>50</v>
      </c>
    </row>
    <row r="14" customFormat="false" ht="14.25" hidden="false" customHeight="false" outlineLevel="0" collapsed="false">
      <c r="B14" s="2" t="s">
        <v>51</v>
      </c>
      <c r="C14" s="2" t="s">
        <v>52</v>
      </c>
      <c r="D14" s="4" t="n">
        <v>30</v>
      </c>
      <c r="E14" s="2" t="s">
        <v>53</v>
      </c>
      <c r="F14" s="2" t="s">
        <v>54</v>
      </c>
      <c r="G14" s="2" t="s">
        <v>55</v>
      </c>
    </row>
    <row r="15" customFormat="false" ht="14.25" hidden="false" customHeight="false" outlineLevel="0" collapsed="false">
      <c r="B15" s="2" t="s">
        <v>56</v>
      </c>
      <c r="C15" s="2" t="s">
        <v>57</v>
      </c>
      <c r="D15" s="4" t="n">
        <v>90</v>
      </c>
      <c r="E15" s="2" t="s">
        <v>58</v>
      </c>
    </row>
    <row r="16" customFormat="false" ht="14.25" hidden="false" customHeight="false" outlineLevel="0" collapsed="false">
      <c r="B16" s="2" t="s">
        <v>59</v>
      </c>
      <c r="C16" s="2" t="s">
        <v>60</v>
      </c>
      <c r="D16" s="4" t="n">
        <v>180</v>
      </c>
      <c r="E16" s="2" t="s">
        <v>61</v>
      </c>
    </row>
    <row r="17" customFormat="false" ht="14.25" hidden="false" customHeight="false" outlineLevel="0" collapsed="false">
      <c r="B17" s="2" t="s">
        <v>62</v>
      </c>
      <c r="C17" s="2" t="s">
        <v>63</v>
      </c>
      <c r="E17" s="2" t="s">
        <v>64</v>
      </c>
    </row>
    <row r="18" customFormat="false" ht="14.25" hidden="false" customHeight="false" outlineLevel="0" collapsed="false">
      <c r="B18" s="2" t="s">
        <v>65</v>
      </c>
    </row>
    <row r="19" customFormat="false" ht="14.25" hidden="false" customHeight="false" outlineLevel="0" collapsed="false">
      <c r="B19" s="2" t="s">
        <v>66</v>
      </c>
      <c r="C19" s="2" t="s">
        <v>67</v>
      </c>
    </row>
    <row r="20" customFormat="false" ht="14.25" hidden="false" customHeight="false" outlineLevel="0" collapsed="false">
      <c r="B20" s="2" t="s">
        <v>68</v>
      </c>
      <c r="C20" s="2" t="s">
        <v>69</v>
      </c>
      <c r="D20" s="3"/>
    </row>
    <row r="21" customFormat="false" ht="14.25" hidden="false" customHeight="false" outlineLevel="0" collapsed="false">
      <c r="B21" s="2" t="s">
        <v>70</v>
      </c>
    </row>
    <row r="22" customFormat="false" ht="14.25" hidden="false" customHeight="false" outlineLevel="0" collapsed="false">
      <c r="B22" s="2" t="s">
        <v>71</v>
      </c>
    </row>
    <row r="23" customFormat="false" ht="14.25" hidden="false" customHeight="false" outlineLevel="0" collapsed="false">
      <c r="B23" s="2" t="s">
        <v>72</v>
      </c>
    </row>
    <row r="24" customFormat="false" ht="14.25" hidden="false" customHeight="false" outlineLevel="0" collapsed="false">
      <c r="B24" s="2" t="s">
        <v>73</v>
      </c>
    </row>
    <row r="25" customFormat="false" ht="14.25" hidden="false" customHeight="false" outlineLevel="0" collapsed="false">
      <c r="B25" s="2" t="s">
        <v>74</v>
      </c>
    </row>
    <row r="26" customFormat="false" ht="14.25" hidden="false" customHeight="false" outlineLevel="0" collapsed="false">
      <c r="B26" s="2" t="s">
        <v>75</v>
      </c>
    </row>
    <row r="27" customFormat="false" ht="14.25" hidden="false" customHeight="false" outlineLevel="0" collapsed="false">
      <c r="B27" s="2" t="s">
        <v>76</v>
      </c>
    </row>
    <row r="29" customFormat="false" ht="14.25" hidden="false" customHeight="false" outlineLevel="0" collapsed="false">
      <c r="B29" s="3" t="s">
        <v>77</v>
      </c>
      <c r="C29" s="3" t="s">
        <v>78</v>
      </c>
      <c r="D29" s="3"/>
    </row>
    <row r="30" customFormat="false" ht="14.25" hidden="false" customHeight="false" outlineLevel="0" collapsed="false">
      <c r="B30" s="2" t="s">
        <v>79</v>
      </c>
      <c r="C30" s="2" t="s">
        <v>80</v>
      </c>
    </row>
    <row r="31" customFormat="false" ht="14.25" hidden="false" customHeight="false" outlineLevel="0" collapsed="false">
      <c r="B31" s="2" t="s">
        <v>81</v>
      </c>
      <c r="C31" s="2" t="s">
        <v>43</v>
      </c>
    </row>
    <row r="32" customFormat="false" ht="14.25" hidden="false" customHeight="false" outlineLevel="0" collapsed="false">
      <c r="B32" s="2" t="s">
        <v>82</v>
      </c>
      <c r="C32" s="2" t="s">
        <v>83</v>
      </c>
    </row>
    <row r="33" customFormat="false" ht="14.25" hidden="false" customHeight="false" outlineLevel="0" collapsed="false">
      <c r="B33" s="2" t="s">
        <v>84</v>
      </c>
      <c r="C33" s="2" t="s">
        <v>85</v>
      </c>
    </row>
    <row r="34" customFormat="false" ht="14.25" hidden="false" customHeight="false" outlineLevel="0" collapsed="false">
      <c r="B34" s="2" t="s">
        <v>86</v>
      </c>
      <c r="C34" s="2" t="s">
        <v>87</v>
      </c>
    </row>
    <row r="35" customFormat="false" ht="14.25" hidden="false" customHeight="false" outlineLevel="0" collapsed="false">
      <c r="B35" s="2" t="s">
        <v>88</v>
      </c>
      <c r="C35" s="2" t="s">
        <v>89</v>
      </c>
    </row>
    <row r="36" customFormat="false" ht="14.25" hidden="false" customHeight="false" outlineLevel="0" collapsed="false">
      <c r="B36" s="2" t="s">
        <v>90</v>
      </c>
      <c r="C36" s="2" t="s">
        <v>91</v>
      </c>
      <c r="D36" s="5"/>
    </row>
    <row r="37" customFormat="false" ht="14.25" hidden="false" customHeight="false" outlineLevel="0" collapsed="false">
      <c r="B37" s="2" t="s">
        <v>92</v>
      </c>
      <c r="C37" s="2" t="s">
        <v>93</v>
      </c>
    </row>
    <row r="38" customFormat="false" ht="14.25" hidden="false" customHeight="false" outlineLevel="0" collapsed="false">
      <c r="B38" s="2" t="s">
        <v>94</v>
      </c>
      <c r="C38" s="2" t="s">
        <v>95</v>
      </c>
    </row>
    <row r="39" customFormat="false" ht="14.25" hidden="false" customHeight="false" outlineLevel="0" collapsed="false">
      <c r="B39" s="2" t="s">
        <v>96</v>
      </c>
      <c r="C39" s="2" t="s">
        <v>97</v>
      </c>
      <c r="D39" s="5"/>
    </row>
    <row r="40" customFormat="false" ht="14.25" hidden="false" customHeight="false" outlineLevel="0" collapsed="false">
      <c r="B40" s="2" t="s">
        <v>98</v>
      </c>
      <c r="C40" s="2" t="s">
        <v>99</v>
      </c>
      <c r="D40" s="5"/>
    </row>
    <row r="41" customFormat="false" ht="14.25" hidden="false" customHeight="false" outlineLevel="0" collapsed="false">
      <c r="B41" s="2" t="s">
        <v>100</v>
      </c>
      <c r="C41" s="2" t="s">
        <v>101</v>
      </c>
      <c r="D41" s="5"/>
    </row>
    <row r="42" customFormat="false" ht="14.25" hidden="false" customHeight="false" outlineLevel="0" collapsed="false">
      <c r="B42" s="2" t="s">
        <v>95</v>
      </c>
      <c r="C42" s="2" t="s">
        <v>102</v>
      </c>
    </row>
    <row r="43" customFormat="false" ht="14.25" hidden="false" customHeight="false" outlineLevel="0" collapsed="false">
      <c r="B43" s="2" t="s">
        <v>103</v>
      </c>
      <c r="C43" s="2" t="s">
        <v>104</v>
      </c>
    </row>
    <row r="44" customFormat="false" ht="14.25" hidden="false" customHeight="false" outlineLevel="0" collapsed="false">
      <c r="B44" s="2" t="s">
        <v>105</v>
      </c>
      <c r="C44" s="2" t="s">
        <v>106</v>
      </c>
    </row>
    <row r="45" customFormat="false" ht="14.25" hidden="false" customHeight="false" outlineLevel="0" collapsed="false">
      <c r="C45" s="2" t="s">
        <v>107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J1048576"/>
  <sheetViews>
    <sheetView showFormulas="false" showGridLines="false" showRowColHeaders="true" showZeros="true" rightToLeft="false" tabSelected="true" showOutlineSymbols="true" defaultGridColor="true" view="pageBreakPreview" topLeftCell="A215" colorId="64" zoomScale="161" zoomScaleNormal="120" zoomScalePageLayoutView="161" workbookViewId="0">
      <selection pane="topLeft" activeCell="J222" activeCellId="0" sqref="J222"/>
    </sheetView>
  </sheetViews>
  <sheetFormatPr defaultColWidth="10.6796875" defaultRowHeight="10.5" zeroHeight="false" outlineLevelRow="0" outlineLevelCol="0"/>
  <cols>
    <col collapsed="false" customWidth="true" hidden="false" outlineLevel="0" max="1" min="1" style="6" width="2.33"/>
    <col collapsed="false" customWidth="true" hidden="false" outlineLevel="0" max="2" min="2" style="7" width="3.22"/>
    <col collapsed="false" customWidth="true" hidden="false" outlineLevel="0" max="3" min="3" style="7" width="2.33"/>
    <col collapsed="false" customWidth="true" hidden="false" outlineLevel="0" max="5" min="4" style="7" width="3"/>
    <col collapsed="false" customWidth="true" hidden="false" outlineLevel="0" max="6" min="6" style="7" width="2.44"/>
    <col collapsed="false" customWidth="true" hidden="false" outlineLevel="0" max="8" min="7" style="7" width="2.33"/>
    <col collapsed="false" customWidth="true" hidden="false" outlineLevel="0" max="9" min="9" style="7" width="2.88"/>
    <col collapsed="false" customWidth="true" hidden="false" outlineLevel="0" max="10" min="10" style="7" width="3.44"/>
    <col collapsed="false" customWidth="true" hidden="false" outlineLevel="0" max="11" min="11" style="7" width="2.33"/>
    <col collapsed="false" customWidth="true" hidden="false" outlineLevel="0" max="12" min="12" style="7" width="2.44"/>
    <col collapsed="false" customWidth="true" hidden="false" outlineLevel="0" max="13" min="13" style="7" width="2.67"/>
    <col collapsed="false" customWidth="true" hidden="false" outlineLevel="0" max="14" min="14" style="7" width="2.44"/>
    <col collapsed="false" customWidth="true" hidden="false" outlineLevel="0" max="15" min="15" style="7" width="3.56"/>
    <col collapsed="false" customWidth="true" hidden="false" outlineLevel="0" max="16" min="16" style="7" width="2.77"/>
    <col collapsed="false" customWidth="true" hidden="false" outlineLevel="0" max="17" min="17" style="7" width="2.33"/>
    <col collapsed="false" customWidth="true" hidden="false" outlineLevel="0" max="18" min="18" style="7" width="3"/>
    <col collapsed="false" customWidth="true" hidden="false" outlineLevel="0" max="19" min="19" style="7" width="2.67"/>
    <col collapsed="false" customWidth="true" hidden="false" outlineLevel="0" max="20" min="20" style="7" width="2.33"/>
    <col collapsed="false" customWidth="true" hidden="false" outlineLevel="0" max="21" min="21" style="7" width="3"/>
    <col collapsed="false" customWidth="true" hidden="false" outlineLevel="0" max="22" min="22" style="7" width="2.33"/>
    <col collapsed="false" customWidth="true" hidden="false" outlineLevel="0" max="24" min="23" style="7" width="2.77"/>
    <col collapsed="false" customWidth="true" hidden="false" outlineLevel="0" max="26" min="25" style="7" width="2.33"/>
    <col collapsed="false" customWidth="true" hidden="false" outlineLevel="0" max="27" min="27" style="7" width="3"/>
    <col collapsed="false" customWidth="true" hidden="false" outlineLevel="0" max="31" min="28" style="7" width="2.33"/>
    <col collapsed="false" customWidth="true" hidden="false" outlineLevel="0" max="32" min="32" style="7" width="3.56"/>
    <col collapsed="false" customWidth="true" hidden="false" outlineLevel="0" max="42" min="33" style="7" width="2.33"/>
    <col collapsed="false" customWidth="true" hidden="false" outlineLevel="0" max="1024" min="43" style="2" width="2.33"/>
    <col collapsed="false" customWidth="true" hidden="false" outlineLevel="0" max="1025" min="1025" style="1" width="11.56"/>
  </cols>
  <sheetData>
    <row r="1" s="12" customFormat="true" ht="10.5" hidden="false" customHeight="true" outlineLevel="0" collapsed="false">
      <c r="A1" s="8" t="s">
        <v>108</v>
      </c>
      <c r="B1" s="8"/>
      <c r="C1" s="8"/>
      <c r="D1" s="8"/>
      <c r="E1" s="8"/>
      <c r="F1" s="8"/>
      <c r="G1" s="8"/>
      <c r="H1" s="8"/>
      <c r="I1" s="8"/>
      <c r="J1" s="8"/>
      <c r="K1" s="8"/>
      <c r="L1" s="8"/>
      <c r="M1" s="8"/>
      <c r="N1" s="8"/>
      <c r="O1" s="8"/>
      <c r="P1" s="8"/>
      <c r="Q1" s="8"/>
      <c r="R1" s="8"/>
      <c r="S1" s="8"/>
      <c r="T1" s="8"/>
      <c r="U1" s="8"/>
      <c r="V1" s="8"/>
      <c r="W1" s="8"/>
      <c r="X1" s="8"/>
      <c r="Y1" s="8"/>
      <c r="Z1" s="8"/>
      <c r="AA1" s="8"/>
      <c r="AB1" s="8"/>
      <c r="AC1" s="8"/>
      <c r="AD1" s="9"/>
      <c r="AE1" s="9"/>
      <c r="AF1" s="9"/>
      <c r="AG1" s="9"/>
      <c r="AH1" s="7"/>
      <c r="AI1" s="7"/>
      <c r="AJ1" s="7"/>
      <c r="AK1" s="7"/>
      <c r="AL1" s="7"/>
      <c r="AM1" s="7"/>
      <c r="AN1" s="7"/>
      <c r="AO1" s="10"/>
      <c r="AP1" s="11"/>
    </row>
    <row r="2" customFormat="false" ht="2.25" hidden="false" customHeight="true" outlineLevel="0" collapsed="false">
      <c r="A2" s="8"/>
      <c r="B2" s="8"/>
      <c r="C2" s="8"/>
      <c r="D2" s="8"/>
      <c r="E2" s="8"/>
      <c r="F2" s="8"/>
      <c r="G2" s="8"/>
      <c r="H2" s="8"/>
      <c r="I2" s="8"/>
      <c r="J2" s="8"/>
      <c r="K2" s="8"/>
      <c r="L2" s="8"/>
      <c r="M2" s="8"/>
      <c r="N2" s="8"/>
      <c r="O2" s="8"/>
      <c r="P2" s="8"/>
      <c r="Q2" s="8"/>
      <c r="R2" s="8"/>
      <c r="S2" s="8"/>
      <c r="T2" s="8"/>
      <c r="U2" s="8"/>
      <c r="V2" s="8"/>
      <c r="W2" s="8"/>
      <c r="X2" s="8"/>
      <c r="Y2" s="8"/>
      <c r="Z2" s="8"/>
      <c r="AA2" s="8"/>
      <c r="AB2" s="8"/>
      <c r="AC2" s="8"/>
      <c r="AD2" s="9"/>
      <c r="AE2" s="9"/>
      <c r="AF2" s="9"/>
      <c r="AG2" s="9"/>
    </row>
    <row r="3" customFormat="false" ht="11.25" hidden="false" customHeight="true" outlineLevel="0" collapsed="false">
      <c r="A3" s="7"/>
      <c r="N3" s="13" t="s">
        <v>109</v>
      </c>
      <c r="O3" s="13"/>
      <c r="P3" s="13"/>
      <c r="Q3" s="13"/>
      <c r="R3" s="13"/>
      <c r="S3" s="13"/>
      <c r="T3" s="13"/>
      <c r="U3" s="13"/>
      <c r="V3" s="13"/>
      <c r="W3" s="13"/>
    </row>
    <row r="4" customFormat="false" ht="9.75" hidden="false" customHeight="true" outlineLevel="0" collapsed="false">
      <c r="A4" s="14" t="s">
        <v>110</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c r="AM4" s="14"/>
      <c r="AN4" s="14"/>
      <c r="AO4" s="14"/>
    </row>
    <row r="5" customFormat="false" ht="2.25" hidden="false" customHeight="true" outlineLevel="0" collapsed="false">
      <c r="A5" s="15"/>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6"/>
      <c r="AO5" s="17"/>
    </row>
    <row r="6" customFormat="false" ht="15" hidden="false" customHeight="true" outlineLevel="0" collapsed="false">
      <c r="A6" s="18" t="s">
        <v>111</v>
      </c>
      <c r="B6" s="18"/>
      <c r="C6" s="18"/>
      <c r="D6" s="18"/>
      <c r="E6" s="18"/>
      <c r="F6" s="19" t="s">
        <v>112</v>
      </c>
      <c r="H6" s="20"/>
      <c r="I6" s="21" t="s">
        <v>113</v>
      </c>
      <c r="J6" s="21"/>
      <c r="K6" s="21"/>
      <c r="L6" s="21"/>
      <c r="M6" s="22"/>
      <c r="N6" s="20"/>
      <c r="P6" s="21" t="s">
        <v>114</v>
      </c>
      <c r="Q6" s="21"/>
      <c r="R6" s="21"/>
      <c r="S6" s="21"/>
      <c r="T6" s="19" t="s">
        <v>74</v>
      </c>
      <c r="U6" s="19"/>
      <c r="V6" s="19"/>
      <c r="W6" s="19"/>
      <c r="X6" s="19"/>
      <c r="Y6" s="19"/>
      <c r="Z6" s="19"/>
      <c r="AC6" s="21" t="s">
        <v>115</v>
      </c>
      <c r="AD6" s="21"/>
      <c r="AE6" s="21"/>
      <c r="AF6" s="23" t="n">
        <v>46197</v>
      </c>
      <c r="AG6" s="23"/>
      <c r="AH6" s="23"/>
      <c r="AI6" s="23"/>
      <c r="AJ6" s="23"/>
      <c r="AK6" s="23"/>
      <c r="AL6" s="23"/>
      <c r="AM6" s="23"/>
      <c r="AN6" s="23"/>
      <c r="AO6" s="23"/>
    </row>
    <row r="7" customFormat="false" ht="1.5" hidden="false" customHeight="true" outlineLevel="0" collapsed="false">
      <c r="A7" s="24"/>
      <c r="B7" s="25"/>
      <c r="C7" s="25"/>
      <c r="D7" s="25"/>
      <c r="E7" s="25"/>
      <c r="G7" s="25"/>
      <c r="H7" s="25"/>
      <c r="I7" s="25"/>
      <c r="J7" s="25"/>
      <c r="M7" s="25"/>
      <c r="N7" s="25"/>
      <c r="O7" s="25"/>
      <c r="P7" s="25"/>
      <c r="S7" s="26"/>
      <c r="T7" s="26"/>
      <c r="U7" s="26"/>
      <c r="V7" s="26"/>
      <c r="W7" s="26"/>
      <c r="X7" s="26"/>
      <c r="Y7" s="26"/>
      <c r="Z7" s="27"/>
      <c r="AA7" s="27"/>
      <c r="AB7" s="27"/>
      <c r="AC7" s="27"/>
      <c r="AD7" s="27"/>
      <c r="AE7" s="27"/>
      <c r="AF7" s="27"/>
      <c r="AG7" s="27"/>
      <c r="AH7" s="27"/>
      <c r="AI7" s="26"/>
      <c r="AJ7" s="26"/>
      <c r="AK7" s="26"/>
      <c r="AL7" s="26"/>
      <c r="AM7" s="26"/>
      <c r="AN7" s="26"/>
      <c r="AO7" s="28"/>
    </row>
    <row r="8" customFormat="false" ht="15" hidden="false" customHeight="true" outlineLevel="0" collapsed="false">
      <c r="A8" s="29" t="s">
        <v>116</v>
      </c>
      <c r="B8" s="29"/>
      <c r="C8" s="29"/>
      <c r="D8" s="29"/>
      <c r="E8" s="29"/>
      <c r="F8" s="29"/>
      <c r="G8" s="29"/>
      <c r="H8" s="29"/>
      <c r="I8" s="29"/>
      <c r="J8" s="29"/>
      <c r="K8" s="29"/>
      <c r="L8" s="29"/>
      <c r="M8" s="29"/>
      <c r="N8" s="29"/>
      <c r="O8" s="29"/>
      <c r="P8" s="25"/>
      <c r="Q8" s="21" t="s">
        <v>117</v>
      </c>
      <c r="R8" s="21"/>
      <c r="S8" s="21"/>
      <c r="T8" s="19" t="s">
        <v>112</v>
      </c>
      <c r="U8" s="21" t="s">
        <v>118</v>
      </c>
      <c r="V8" s="21"/>
      <c r="W8" s="21"/>
      <c r="X8" s="19"/>
      <c r="Y8" s="21" t="s">
        <v>119</v>
      </c>
      <c r="Z8" s="21"/>
      <c r="AA8" s="21"/>
      <c r="AB8" s="21"/>
      <c r="AC8" s="21"/>
      <c r="AD8" s="19"/>
      <c r="AE8" s="30" t="s">
        <v>120</v>
      </c>
      <c r="AF8" s="30"/>
      <c r="AG8" s="30"/>
      <c r="AH8" s="30"/>
      <c r="AI8" s="30"/>
      <c r="AJ8" s="30"/>
      <c r="AK8" s="30"/>
      <c r="AL8" s="31"/>
      <c r="AM8" s="26"/>
      <c r="AN8" s="26"/>
      <c r="AO8" s="32"/>
    </row>
    <row r="9" customFormat="false" ht="3" hidden="false" customHeight="true" outlineLevel="0" collapsed="false">
      <c r="A9" s="33"/>
      <c r="B9" s="10"/>
      <c r="C9" s="10"/>
      <c r="D9" s="10"/>
      <c r="E9" s="10"/>
      <c r="F9" s="10"/>
      <c r="G9" s="10"/>
      <c r="H9" s="10"/>
      <c r="I9" s="10"/>
      <c r="J9" s="10"/>
      <c r="K9" s="10"/>
      <c r="L9" s="10"/>
      <c r="M9" s="10"/>
      <c r="N9" s="10"/>
      <c r="O9" s="10"/>
      <c r="P9" s="10"/>
      <c r="Q9" s="26"/>
      <c r="R9" s="26"/>
      <c r="S9" s="26"/>
      <c r="T9" s="10"/>
      <c r="U9" s="26"/>
      <c r="V9" s="26"/>
      <c r="W9" s="26"/>
      <c r="X9" s="10"/>
      <c r="Y9" s="26"/>
      <c r="Z9" s="26"/>
      <c r="AA9" s="26"/>
      <c r="AB9" s="26"/>
      <c r="AC9" s="26"/>
      <c r="AD9" s="10"/>
      <c r="AE9" s="26"/>
      <c r="AF9" s="26"/>
      <c r="AG9" s="26"/>
      <c r="AH9" s="26"/>
      <c r="AI9" s="26"/>
      <c r="AJ9" s="26"/>
      <c r="AK9" s="26"/>
      <c r="AL9" s="26"/>
      <c r="AM9" s="26"/>
      <c r="AN9" s="26"/>
      <c r="AO9" s="28"/>
    </row>
    <row r="10" customFormat="false" ht="15" hidden="false" customHeight="true" outlineLevel="0" collapsed="false">
      <c r="A10" s="34" t="s">
        <v>121</v>
      </c>
      <c r="B10" s="34"/>
      <c r="C10" s="34"/>
      <c r="D10" s="35" t="str">
        <f aca="false">VLOOKUP(A10,OFICIALES_DE_NEGOCIO!D4:E117,2,0)</f>
        <v>JARAMILLO JIMENEZ CARLOS ISRAEL</v>
      </c>
      <c r="E10" s="35"/>
      <c r="F10" s="35"/>
      <c r="G10" s="35"/>
      <c r="H10" s="35"/>
      <c r="I10" s="35"/>
      <c r="J10" s="35"/>
      <c r="K10" s="35"/>
      <c r="L10" s="35"/>
      <c r="M10" s="35"/>
      <c r="N10" s="35"/>
      <c r="O10" s="35"/>
      <c r="P10" s="35"/>
      <c r="Q10" s="21" t="s">
        <v>122</v>
      </c>
      <c r="R10" s="21"/>
      <c r="S10" s="21"/>
      <c r="T10" s="21"/>
      <c r="U10" s="21"/>
      <c r="V10" s="21"/>
      <c r="W10" s="36" t="s">
        <v>84</v>
      </c>
      <c r="X10" s="36"/>
      <c r="Y10" s="36"/>
      <c r="Z10" s="36"/>
      <c r="AA10" s="36"/>
      <c r="AB10" s="36"/>
      <c r="AC10" s="36"/>
      <c r="AE10" s="21" t="s">
        <v>123</v>
      </c>
      <c r="AF10" s="21"/>
      <c r="AG10" s="21"/>
      <c r="AH10" s="21"/>
      <c r="AI10" s="21"/>
      <c r="AJ10" s="21"/>
      <c r="AK10" s="21"/>
      <c r="AL10" s="37" t="n">
        <v>0.19</v>
      </c>
      <c r="AM10" s="37"/>
      <c r="AN10" s="37"/>
      <c r="AO10" s="37"/>
    </row>
    <row r="11" customFormat="false" ht="3.75" hidden="false" customHeight="true" outlineLevel="0" collapsed="false">
      <c r="A11" s="38"/>
      <c r="AJ11" s="39"/>
      <c r="AO11" s="40"/>
    </row>
    <row r="12" customFormat="false" ht="15" hidden="false" customHeight="true" outlineLevel="0" collapsed="false">
      <c r="A12" s="18" t="s">
        <v>124</v>
      </c>
      <c r="B12" s="18"/>
      <c r="C12" s="41" t="n">
        <v>50000</v>
      </c>
      <c r="D12" s="41"/>
      <c r="E12" s="41"/>
      <c r="F12" s="41"/>
      <c r="G12" s="21" t="s">
        <v>125</v>
      </c>
      <c r="H12" s="21"/>
      <c r="I12" s="21"/>
      <c r="J12" s="21"/>
      <c r="K12" s="19" t="n">
        <v>24</v>
      </c>
      <c r="L12" s="19"/>
      <c r="M12" s="21" t="s">
        <v>126</v>
      </c>
      <c r="N12" s="21"/>
      <c r="O12" s="21"/>
      <c r="P12" s="42" t="n">
        <f aca="false">IF(X12="Mensual", PMT(AL10/12, K12,-C12), IF(X12="Trimestral", PMT(AL10/4,K12/3,-C12), PMT(AL10/2,K12/6,-C12)))</f>
        <v>2520.43086022277</v>
      </c>
      <c r="Q12" s="42"/>
      <c r="R12" s="42"/>
      <c r="S12" s="42"/>
      <c r="T12" s="21" t="s">
        <v>127</v>
      </c>
      <c r="U12" s="21"/>
      <c r="V12" s="21"/>
      <c r="W12" s="21"/>
      <c r="X12" s="36" t="s">
        <v>52</v>
      </c>
      <c r="Y12" s="36"/>
      <c r="Z12" s="36"/>
      <c r="AA12" s="36"/>
      <c r="AB12" s="36"/>
      <c r="AC12" s="36"/>
      <c r="AD12" s="21" t="s">
        <v>128</v>
      </c>
      <c r="AE12" s="21"/>
      <c r="AF12" s="21"/>
      <c r="AG12" s="43" t="s">
        <v>64</v>
      </c>
      <c r="AH12" s="43"/>
      <c r="AI12" s="43"/>
      <c r="AJ12" s="43"/>
      <c r="AK12" s="43"/>
      <c r="AL12" s="43"/>
      <c r="AM12" s="43"/>
      <c r="AN12" s="43"/>
      <c r="AO12" s="43"/>
    </row>
    <row r="13" customFormat="false" ht="1.5" hidden="false" customHeight="true" outlineLevel="0" collapsed="false">
      <c r="A13" s="38"/>
      <c r="AO13" s="40"/>
    </row>
    <row r="14" customFormat="false" ht="15" hidden="false" customHeight="true" outlineLevel="0" collapsed="false">
      <c r="A14" s="18" t="s">
        <v>129</v>
      </c>
      <c r="B14" s="18"/>
      <c r="C14" s="18"/>
      <c r="D14" s="18"/>
      <c r="E14" s="18"/>
      <c r="F14" s="18"/>
      <c r="G14" s="44" t="s">
        <v>130</v>
      </c>
      <c r="H14" s="44"/>
      <c r="I14" s="44"/>
      <c r="J14" s="44"/>
      <c r="K14" s="44"/>
      <c r="L14" s="44"/>
      <c r="M14" s="44"/>
      <c r="N14" s="44"/>
      <c r="O14" s="44"/>
      <c r="P14" s="44"/>
      <c r="Q14" s="44"/>
      <c r="R14" s="44"/>
      <c r="S14" s="44"/>
      <c r="T14" s="44"/>
      <c r="U14" s="44"/>
      <c r="V14" s="44"/>
      <c r="W14" s="44"/>
      <c r="X14" s="44"/>
      <c r="Y14" s="44"/>
      <c r="Z14" s="44"/>
      <c r="AA14" s="44"/>
      <c r="AB14" s="44"/>
      <c r="AC14" s="44"/>
      <c r="AD14" s="44"/>
      <c r="AE14" s="44"/>
      <c r="AF14" s="44"/>
      <c r="AG14" s="44"/>
      <c r="AH14" s="44"/>
      <c r="AI14" s="44"/>
      <c r="AJ14" s="44"/>
      <c r="AK14" s="44"/>
      <c r="AL14" s="44"/>
      <c r="AM14" s="44"/>
      <c r="AN14" s="44"/>
      <c r="AO14" s="44"/>
    </row>
    <row r="15" customFormat="false" ht="4.5" hidden="false" customHeight="true" outlineLevel="0" collapsed="false">
      <c r="A15" s="45"/>
      <c r="B15" s="46"/>
      <c r="C15" s="46"/>
      <c r="D15" s="46"/>
      <c r="E15" s="46"/>
      <c r="F15" s="46"/>
      <c r="G15" s="46"/>
      <c r="H15" s="46"/>
      <c r="I15" s="46"/>
      <c r="J15" s="46"/>
      <c r="K15" s="46"/>
      <c r="L15" s="46"/>
      <c r="M15" s="46"/>
      <c r="N15" s="46"/>
      <c r="O15" s="46"/>
      <c r="P15" s="46"/>
      <c r="Q15" s="46"/>
      <c r="R15" s="46"/>
      <c r="S15" s="46"/>
      <c r="T15" s="46"/>
      <c r="U15" s="46"/>
      <c r="V15" s="46"/>
      <c r="W15" s="46"/>
      <c r="X15" s="46"/>
      <c r="Y15" s="46"/>
      <c r="Z15" s="46"/>
      <c r="AA15" s="46"/>
      <c r="AB15" s="46"/>
      <c r="AC15" s="46"/>
      <c r="AD15" s="46"/>
      <c r="AE15" s="46"/>
      <c r="AF15" s="46"/>
      <c r="AG15" s="46"/>
      <c r="AH15" s="46"/>
      <c r="AI15" s="46"/>
      <c r="AJ15" s="46"/>
      <c r="AK15" s="46"/>
      <c r="AL15" s="46"/>
      <c r="AM15" s="46"/>
      <c r="AN15" s="46"/>
      <c r="AO15" s="47"/>
    </row>
    <row r="16" customFormat="false" ht="15" hidden="false" customHeight="true" outlineLevel="0" collapsed="false">
      <c r="A16" s="48" t="s">
        <v>131</v>
      </c>
      <c r="B16" s="48"/>
      <c r="C16" s="48"/>
      <c r="D16" s="48"/>
      <c r="E16" s="48"/>
      <c r="F16" s="48"/>
      <c r="G16" s="48"/>
      <c r="H16" s="48"/>
      <c r="I16" s="48"/>
      <c r="J16" s="48"/>
      <c r="K16" s="48"/>
      <c r="L16" s="48"/>
      <c r="M16" s="48"/>
      <c r="N16" s="48"/>
      <c r="O16" s="48"/>
      <c r="P16" s="48"/>
      <c r="Q16" s="48"/>
      <c r="R16" s="48"/>
      <c r="S16" s="48"/>
      <c r="T16" s="48"/>
      <c r="U16" s="48"/>
      <c r="V16" s="48"/>
      <c r="W16" s="48"/>
      <c r="X16" s="48"/>
      <c r="Y16" s="48"/>
      <c r="Z16" s="48"/>
      <c r="AA16" s="48"/>
      <c r="AB16" s="48"/>
      <c r="AC16" s="48"/>
      <c r="AD16" s="48"/>
      <c r="AE16" s="48"/>
      <c r="AF16" s="48"/>
      <c r="AG16" s="48"/>
      <c r="AH16" s="48"/>
      <c r="AI16" s="48"/>
      <c r="AJ16" s="48"/>
      <c r="AK16" s="48"/>
      <c r="AL16" s="48"/>
      <c r="AM16" s="48"/>
      <c r="AN16" s="48"/>
      <c r="AO16" s="48"/>
    </row>
    <row r="17" customFormat="false" ht="5.25" hidden="false" customHeight="true" outlineLevel="0" collapsed="false">
      <c r="A17" s="15"/>
      <c r="B17" s="16"/>
      <c r="C17" s="16"/>
      <c r="D17" s="16"/>
      <c r="E17" s="16"/>
      <c r="F17" s="16"/>
      <c r="G17" s="16"/>
      <c r="H17" s="16"/>
      <c r="I17" s="16"/>
      <c r="J17" s="16"/>
      <c r="K17" s="16"/>
      <c r="L17" s="16"/>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c r="AM17" s="16"/>
      <c r="AN17" s="16"/>
      <c r="AO17" s="49"/>
    </row>
    <row r="18" customFormat="false" ht="13.5" hidden="false" customHeight="true" outlineLevel="0" collapsed="false">
      <c r="A18" s="18" t="s">
        <v>132</v>
      </c>
      <c r="B18" s="18"/>
      <c r="C18" s="50" t="n">
        <v>236821</v>
      </c>
      <c r="D18" s="50"/>
      <c r="E18" s="50"/>
      <c r="F18" s="51" t="s">
        <v>133</v>
      </c>
      <c r="G18" s="51"/>
      <c r="H18" s="51"/>
      <c r="I18" s="51"/>
      <c r="J18" s="51"/>
      <c r="K18" s="51"/>
      <c r="L18" s="51"/>
      <c r="M18" s="50" t="s">
        <v>134</v>
      </c>
      <c r="N18" s="50"/>
      <c r="O18" s="50"/>
      <c r="P18" s="50"/>
      <c r="Q18" s="50"/>
      <c r="R18" s="50"/>
      <c r="S18" s="50"/>
      <c r="T18" s="50"/>
      <c r="U18" s="50"/>
      <c r="V18" s="50"/>
      <c r="W18" s="50"/>
      <c r="X18" s="50"/>
      <c r="Y18" s="50"/>
      <c r="Z18" s="50"/>
      <c r="AA18" s="50"/>
      <c r="AB18" s="50"/>
      <c r="AC18" s="50"/>
      <c r="AD18" s="50"/>
      <c r="AE18" s="50"/>
      <c r="AF18" s="52" t="s">
        <v>135</v>
      </c>
      <c r="AG18" s="52"/>
      <c r="AH18" s="52"/>
      <c r="AI18" s="53" t="n">
        <v>2100165014</v>
      </c>
      <c r="AJ18" s="53"/>
      <c r="AK18" s="53"/>
      <c r="AL18" s="53"/>
      <c r="AM18" s="53"/>
      <c r="AN18" s="53"/>
      <c r="AO18" s="53"/>
    </row>
    <row r="19" customFormat="false" ht="2.25" hidden="false" customHeight="true" outlineLevel="0" collapsed="false">
      <c r="A19" s="38"/>
      <c r="AO19" s="40"/>
    </row>
    <row r="20" customFormat="false" ht="15" hidden="false" customHeight="true" outlineLevel="0" collapsed="false">
      <c r="A20" s="18" t="s">
        <v>136</v>
      </c>
      <c r="B20" s="18"/>
      <c r="C20" s="18"/>
      <c r="D20" s="18"/>
      <c r="E20" s="50" t="s">
        <v>137</v>
      </c>
      <c r="F20" s="50"/>
      <c r="G20" s="50"/>
      <c r="H20" s="50"/>
      <c r="I20" s="52" t="s">
        <v>138</v>
      </c>
      <c r="J20" s="52"/>
      <c r="K20" s="52"/>
      <c r="L20" s="52"/>
      <c r="M20" s="52"/>
      <c r="N20" s="52"/>
      <c r="O20" s="52"/>
      <c r="P20" s="52"/>
      <c r="Q20" s="52"/>
      <c r="R20" s="50" t="s">
        <v>139</v>
      </c>
      <c r="S20" s="50"/>
      <c r="T20" s="50"/>
      <c r="U20" s="50"/>
      <c r="V20" s="50"/>
      <c r="W20" s="54" t="n">
        <v>29293</v>
      </c>
      <c r="X20" s="54"/>
      <c r="Y20" s="54"/>
      <c r="Z20" s="52" t="s">
        <v>140</v>
      </c>
      <c r="AA20" s="52"/>
      <c r="AB20" s="50" t="n">
        <v>46</v>
      </c>
      <c r="AC20" s="50"/>
      <c r="AD20" s="52" t="s">
        <v>141</v>
      </c>
      <c r="AE20" s="52"/>
      <c r="AF20" s="52"/>
      <c r="AG20" s="43" t="s">
        <v>11</v>
      </c>
      <c r="AH20" s="43"/>
      <c r="AI20" s="43"/>
      <c r="AJ20" s="43"/>
      <c r="AK20" s="43"/>
      <c r="AL20" s="43"/>
      <c r="AM20" s="43"/>
      <c r="AN20" s="43"/>
      <c r="AO20" s="43"/>
    </row>
    <row r="21" customFormat="false" ht="2.25" hidden="false" customHeight="true" outlineLevel="0" collapsed="false">
      <c r="A21" s="38"/>
      <c r="AO21" s="40"/>
    </row>
    <row r="22" customFormat="false" ht="15" hidden="false" customHeight="true" outlineLevel="0" collapsed="false">
      <c r="A22" s="18" t="s">
        <v>142</v>
      </c>
      <c r="B22" s="18"/>
      <c r="C22" s="18"/>
      <c r="D22" s="19" t="s">
        <v>143</v>
      </c>
      <c r="E22" s="52" t="s">
        <v>144</v>
      </c>
      <c r="F22" s="52"/>
      <c r="G22" s="50" t="s">
        <v>28</v>
      </c>
      <c r="H22" s="50"/>
      <c r="I22" s="50"/>
      <c r="J22" s="50"/>
      <c r="K22" s="50"/>
      <c r="L22" s="52" t="s">
        <v>145</v>
      </c>
      <c r="M22" s="52"/>
      <c r="N22" s="52"/>
      <c r="O22" s="52"/>
      <c r="P22" s="52"/>
      <c r="Q22" s="50" t="s">
        <v>22</v>
      </c>
      <c r="R22" s="50"/>
      <c r="S22" s="50"/>
      <c r="T22" s="50"/>
      <c r="U22" s="52" t="s">
        <v>146</v>
      </c>
      <c r="V22" s="52"/>
      <c r="W22" s="52"/>
      <c r="X22" s="50" t="s">
        <v>147</v>
      </c>
      <c r="Y22" s="50"/>
      <c r="Z22" s="50"/>
      <c r="AA22" s="50"/>
      <c r="AB22" s="50"/>
      <c r="AC22" s="50"/>
      <c r="AD22" s="21" t="s">
        <v>148</v>
      </c>
      <c r="AE22" s="21"/>
      <c r="AF22" s="21"/>
      <c r="AG22" s="21"/>
      <c r="AH22" s="21"/>
      <c r="AI22" s="21"/>
      <c r="AJ22" s="55" t="n">
        <v>1</v>
      </c>
      <c r="AK22" s="55"/>
      <c r="AL22" s="55"/>
      <c r="AM22" s="55"/>
      <c r="AN22" s="55"/>
      <c r="AO22" s="56"/>
    </row>
    <row r="23" customFormat="false" ht="4.5" hidden="false" customHeight="true" outlineLevel="0" collapsed="false">
      <c r="A23" s="45"/>
      <c r="B23" s="46"/>
      <c r="C23" s="46"/>
      <c r="D23" s="46"/>
      <c r="E23" s="46"/>
      <c r="F23" s="46"/>
      <c r="G23" s="46"/>
      <c r="H23" s="46"/>
      <c r="I23" s="46"/>
      <c r="J23" s="46"/>
      <c r="K23" s="46"/>
      <c r="L23" s="46"/>
      <c r="M23" s="46"/>
      <c r="N23" s="46"/>
      <c r="O23" s="46"/>
      <c r="P23" s="46"/>
      <c r="Q23" s="46"/>
      <c r="R23" s="46"/>
      <c r="S23" s="46"/>
      <c r="T23" s="46"/>
      <c r="U23" s="46"/>
      <c r="V23" s="46"/>
      <c r="W23" s="46"/>
      <c r="X23" s="46"/>
      <c r="Y23" s="46"/>
      <c r="Z23" s="46"/>
      <c r="AA23" s="46"/>
      <c r="AB23" s="46"/>
      <c r="AC23" s="46"/>
      <c r="AD23" s="46"/>
      <c r="AE23" s="46"/>
      <c r="AF23" s="46"/>
      <c r="AG23" s="46"/>
      <c r="AH23" s="46"/>
      <c r="AI23" s="46"/>
      <c r="AJ23" s="46"/>
      <c r="AK23" s="46"/>
      <c r="AL23" s="46"/>
      <c r="AM23" s="46"/>
      <c r="AN23" s="46"/>
      <c r="AO23" s="47"/>
    </row>
    <row r="24" customFormat="false" ht="15" hidden="false" customHeight="true" outlineLevel="0" collapsed="false">
      <c r="A24" s="48" t="s">
        <v>149</v>
      </c>
      <c r="B24" s="48"/>
      <c r="C24" s="48"/>
      <c r="D24" s="48"/>
      <c r="E24" s="48"/>
      <c r="F24" s="48"/>
      <c r="G24" s="48"/>
      <c r="H24" s="48"/>
      <c r="I24" s="48"/>
      <c r="J24" s="48"/>
      <c r="K24" s="48"/>
      <c r="L24" s="48"/>
      <c r="M24" s="48"/>
      <c r="N24" s="48"/>
      <c r="O24" s="48"/>
      <c r="P24" s="48"/>
      <c r="Q24" s="48"/>
      <c r="R24" s="48"/>
      <c r="S24" s="48"/>
      <c r="T24" s="48"/>
      <c r="U24" s="48"/>
      <c r="V24" s="48"/>
      <c r="W24" s="48"/>
      <c r="X24" s="48"/>
      <c r="Y24" s="48"/>
      <c r="Z24" s="48"/>
      <c r="AA24" s="48"/>
      <c r="AB24" s="48"/>
      <c r="AC24" s="48"/>
      <c r="AD24" s="48"/>
      <c r="AE24" s="48"/>
      <c r="AF24" s="48"/>
      <c r="AG24" s="48"/>
      <c r="AH24" s="48"/>
      <c r="AI24" s="48"/>
      <c r="AJ24" s="48"/>
      <c r="AK24" s="48"/>
      <c r="AL24" s="48"/>
      <c r="AM24" s="48"/>
      <c r="AN24" s="48"/>
      <c r="AO24" s="48"/>
    </row>
    <row r="25" customFormat="false" ht="3" hidden="false" customHeight="true" outlineLevel="0" collapsed="false">
      <c r="A25" s="15"/>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16"/>
      <c r="AH25" s="16"/>
      <c r="AI25" s="16"/>
      <c r="AJ25" s="16"/>
      <c r="AK25" s="16"/>
      <c r="AL25" s="16"/>
      <c r="AM25" s="16"/>
      <c r="AN25" s="16"/>
      <c r="AO25" s="49"/>
    </row>
    <row r="26" customFormat="false" ht="15" hidden="false" customHeight="true" outlineLevel="0" collapsed="false">
      <c r="A26" s="18" t="s">
        <v>150</v>
      </c>
      <c r="B26" s="18"/>
      <c r="C26" s="18"/>
      <c r="D26" s="50" t="s">
        <v>151</v>
      </c>
      <c r="E26" s="50"/>
      <c r="F26" s="50"/>
      <c r="G26" s="50"/>
      <c r="H26" s="50"/>
      <c r="I26" s="52" t="s">
        <v>152</v>
      </c>
      <c r="J26" s="52"/>
      <c r="K26" s="52"/>
      <c r="L26" s="50" t="s">
        <v>153</v>
      </c>
      <c r="M26" s="50"/>
      <c r="N26" s="50"/>
      <c r="O26" s="50"/>
      <c r="P26" s="52" t="s">
        <v>154</v>
      </c>
      <c r="Q26" s="52"/>
      <c r="R26" s="52"/>
      <c r="S26" s="52"/>
      <c r="T26" s="50" t="s">
        <v>153</v>
      </c>
      <c r="U26" s="50"/>
      <c r="V26" s="50"/>
      <c r="W26" s="50"/>
      <c r="X26" s="50"/>
      <c r="Y26" s="52" t="s">
        <v>155</v>
      </c>
      <c r="Z26" s="52"/>
      <c r="AA26" s="52"/>
      <c r="AB26" s="52"/>
      <c r="AC26" s="52"/>
      <c r="AD26" s="57" t="s">
        <v>156</v>
      </c>
      <c r="AE26" s="57"/>
      <c r="AF26" s="57"/>
      <c r="AG26" s="57"/>
      <c r="AH26" s="57"/>
      <c r="AI26" s="57"/>
      <c r="AJ26" s="57"/>
      <c r="AK26" s="57"/>
      <c r="AL26" s="57"/>
      <c r="AM26" s="57"/>
      <c r="AN26" s="57"/>
      <c r="AO26" s="57"/>
    </row>
    <row r="27" customFormat="false" ht="2.25" hidden="false" customHeight="true" outlineLevel="0" collapsed="false">
      <c r="A27" s="38"/>
      <c r="AO27" s="40"/>
    </row>
    <row r="28" customFormat="false" ht="15" hidden="false" customHeight="true" outlineLevel="0" collapsed="false">
      <c r="A28" s="18" t="s">
        <v>157</v>
      </c>
      <c r="B28" s="18"/>
      <c r="C28" s="18"/>
      <c r="D28" s="18"/>
      <c r="E28" s="18"/>
      <c r="F28" s="50" t="s">
        <v>158</v>
      </c>
      <c r="G28" s="50"/>
      <c r="H28" s="50"/>
      <c r="I28" s="50"/>
      <c r="J28" s="50"/>
      <c r="K28" s="50"/>
      <c r="L28" s="50"/>
      <c r="M28" s="50"/>
      <c r="N28" s="52" t="s">
        <v>159</v>
      </c>
      <c r="O28" s="52"/>
      <c r="P28" s="52"/>
      <c r="Q28" s="52"/>
      <c r="R28" s="52"/>
      <c r="S28" s="50" t="s">
        <v>160</v>
      </c>
      <c r="T28" s="50"/>
      <c r="U28" s="50"/>
      <c r="V28" s="50"/>
      <c r="W28" s="50"/>
      <c r="X28" s="50"/>
      <c r="Y28" s="50"/>
      <c r="Z28" s="50"/>
      <c r="AA28" s="52" t="s">
        <v>161</v>
      </c>
      <c r="AB28" s="52"/>
      <c r="AC28" s="57" t="s">
        <v>162</v>
      </c>
      <c r="AD28" s="57"/>
      <c r="AE28" s="57"/>
      <c r="AF28" s="57"/>
      <c r="AG28" s="57"/>
      <c r="AH28" s="57"/>
      <c r="AI28" s="57"/>
      <c r="AJ28" s="57"/>
      <c r="AK28" s="57"/>
      <c r="AL28" s="57"/>
      <c r="AM28" s="57"/>
      <c r="AN28" s="57"/>
      <c r="AO28" s="57"/>
    </row>
    <row r="29" customFormat="false" ht="2.25" hidden="false" customHeight="true" outlineLevel="0" collapsed="false">
      <c r="A29" s="38"/>
      <c r="AO29" s="40"/>
    </row>
    <row r="30" customFormat="false" ht="15" hidden="false" customHeight="true" outlineLevel="0" collapsed="false">
      <c r="A30" s="58" t="s">
        <v>163</v>
      </c>
      <c r="B30" s="58"/>
      <c r="C30" s="58"/>
      <c r="D30" s="58"/>
      <c r="E30" s="19" t="s">
        <v>8</v>
      </c>
      <c r="F30" s="19"/>
      <c r="G30" s="19"/>
      <c r="H30" s="19"/>
      <c r="I30" s="52" t="s">
        <v>164</v>
      </c>
      <c r="J30" s="52"/>
      <c r="K30" s="52"/>
      <c r="L30" s="50"/>
      <c r="M30" s="50"/>
      <c r="N30" s="50"/>
      <c r="O30" s="50"/>
      <c r="P30" s="50"/>
      <c r="Q30" s="50"/>
      <c r="R30" s="50"/>
      <c r="S30" s="52" t="s">
        <v>165</v>
      </c>
      <c r="T30" s="52"/>
      <c r="U30" s="52"/>
      <c r="V30" s="59"/>
      <c r="W30" s="59"/>
      <c r="X30" s="59"/>
      <c r="Y30" s="59"/>
      <c r="Z30" s="52" t="s">
        <v>166</v>
      </c>
      <c r="AA30" s="52"/>
      <c r="AB30" s="52"/>
      <c r="AC30" s="60"/>
      <c r="AD30" s="60"/>
      <c r="AE30" s="60"/>
      <c r="AF30" s="60"/>
      <c r="AG30" s="52" t="s">
        <v>167</v>
      </c>
      <c r="AH30" s="52"/>
      <c r="AI30" s="52"/>
      <c r="AJ30" s="52"/>
      <c r="AK30" s="57" t="n">
        <v>20</v>
      </c>
      <c r="AL30" s="57"/>
      <c r="AM30" s="57"/>
      <c r="AN30" s="57"/>
      <c r="AO30" s="57"/>
    </row>
    <row r="31" customFormat="false" ht="2.25" hidden="false" customHeight="true" outlineLevel="0" collapsed="false">
      <c r="A31" s="38"/>
      <c r="L31" s="7" t="s">
        <v>168</v>
      </c>
      <c r="AO31" s="40"/>
    </row>
    <row r="32" customFormat="false" ht="13.8" hidden="false" customHeight="false" outlineLevel="0" collapsed="false">
      <c r="A32" s="61" t="s">
        <v>169</v>
      </c>
      <c r="B32" s="61"/>
      <c r="C32" s="61"/>
      <c r="D32" s="61"/>
      <c r="E32" s="61"/>
      <c r="F32" s="62"/>
      <c r="G32" s="62"/>
      <c r="H32" s="62"/>
      <c r="I32" s="62"/>
      <c r="J32" s="63" t="s">
        <v>170</v>
      </c>
      <c r="K32" s="63"/>
      <c r="L32" s="63"/>
      <c r="M32" s="63"/>
      <c r="N32" s="64" t="n">
        <v>987705584</v>
      </c>
      <c r="O32" s="64"/>
      <c r="P32" s="64"/>
      <c r="Q32" s="64"/>
      <c r="R32" s="63" t="s">
        <v>171</v>
      </c>
      <c r="S32" s="63"/>
      <c r="T32" s="63"/>
      <c r="U32" s="63"/>
      <c r="V32" s="63"/>
      <c r="W32" s="63"/>
      <c r="X32" s="65" t="s">
        <v>172</v>
      </c>
      <c r="Y32" s="65"/>
      <c r="Z32" s="65"/>
      <c r="AA32" s="65"/>
      <c r="AB32" s="65"/>
      <c r="AC32" s="65"/>
      <c r="AD32" s="65"/>
      <c r="AE32" s="65"/>
      <c r="AF32" s="65"/>
      <c r="AG32" s="65"/>
      <c r="AH32" s="65"/>
      <c r="AI32" s="65"/>
      <c r="AJ32" s="65"/>
      <c r="AK32" s="65"/>
      <c r="AL32" s="65"/>
      <c r="AM32" s="65"/>
      <c r="AN32" s="65"/>
      <c r="AO32" s="65"/>
    </row>
    <row r="33" customFormat="false" ht="2.25" hidden="false" customHeight="true" outlineLevel="0" collapsed="false">
      <c r="A33" s="38"/>
      <c r="AO33" s="40"/>
    </row>
    <row r="34" customFormat="false" ht="15" hidden="false" customHeight="true" outlineLevel="0" collapsed="false">
      <c r="A34" s="48" t="s">
        <v>173</v>
      </c>
      <c r="B34" s="48"/>
      <c r="C34" s="48"/>
      <c r="D34" s="48"/>
      <c r="E34" s="48"/>
      <c r="F34" s="48"/>
      <c r="G34" s="48"/>
      <c r="H34" s="48"/>
      <c r="I34" s="48"/>
      <c r="J34" s="48"/>
      <c r="K34" s="48"/>
      <c r="L34" s="48"/>
      <c r="M34" s="48"/>
      <c r="N34" s="48"/>
      <c r="O34" s="48"/>
      <c r="P34" s="48"/>
      <c r="Q34" s="48"/>
      <c r="R34" s="48"/>
      <c r="S34" s="48"/>
      <c r="T34" s="48"/>
      <c r="U34" s="48"/>
      <c r="V34" s="48"/>
      <c r="W34" s="48"/>
      <c r="X34" s="48"/>
      <c r="Y34" s="48"/>
      <c r="Z34" s="48"/>
      <c r="AA34" s="48"/>
      <c r="AB34" s="48"/>
      <c r="AC34" s="48"/>
      <c r="AD34" s="48"/>
      <c r="AE34" s="48"/>
      <c r="AF34" s="48"/>
      <c r="AG34" s="48"/>
      <c r="AH34" s="48"/>
      <c r="AI34" s="48"/>
      <c r="AJ34" s="48"/>
      <c r="AK34" s="48"/>
      <c r="AL34" s="48"/>
      <c r="AM34" s="48"/>
      <c r="AN34" s="48"/>
      <c r="AO34" s="48"/>
    </row>
    <row r="35" customFormat="false" ht="4.5" hidden="false" customHeight="true" outlineLevel="0" collapsed="false">
      <c r="A35" s="15"/>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c r="AH35" s="16"/>
      <c r="AI35" s="16"/>
      <c r="AJ35" s="16"/>
      <c r="AK35" s="16"/>
      <c r="AL35" s="16"/>
      <c r="AM35" s="16"/>
      <c r="AN35" s="16"/>
      <c r="AO35" s="49"/>
    </row>
    <row r="36" customFormat="false" ht="15" hidden="false" customHeight="true" outlineLevel="0" collapsed="false">
      <c r="A36" s="18" t="s">
        <v>132</v>
      </c>
      <c r="B36" s="18"/>
      <c r="C36" s="50"/>
      <c r="D36" s="50"/>
      <c r="E36" s="50"/>
      <c r="F36" s="51" t="s">
        <v>133</v>
      </c>
      <c r="G36" s="51"/>
      <c r="H36" s="51"/>
      <c r="I36" s="51"/>
      <c r="J36" s="51"/>
      <c r="K36" s="51"/>
      <c r="L36" s="51"/>
      <c r="M36" s="50" t="s">
        <v>174</v>
      </c>
      <c r="N36" s="50"/>
      <c r="O36" s="50"/>
      <c r="P36" s="50"/>
      <c r="Q36" s="50"/>
      <c r="R36" s="50"/>
      <c r="S36" s="50"/>
      <c r="T36" s="50"/>
      <c r="U36" s="50"/>
      <c r="V36" s="50"/>
      <c r="W36" s="50"/>
      <c r="X36" s="50"/>
      <c r="Y36" s="50"/>
      <c r="Z36" s="50"/>
      <c r="AA36" s="50"/>
      <c r="AB36" s="50"/>
      <c r="AC36" s="50"/>
      <c r="AD36" s="50"/>
      <c r="AE36" s="50"/>
      <c r="AF36" s="51" t="s">
        <v>135</v>
      </c>
      <c r="AG36" s="51"/>
      <c r="AH36" s="51"/>
      <c r="AI36" s="53"/>
      <c r="AJ36" s="53"/>
      <c r="AK36" s="53"/>
      <c r="AL36" s="53"/>
      <c r="AM36" s="53"/>
      <c r="AN36" s="53"/>
      <c r="AO36" s="53"/>
    </row>
    <row r="37" customFormat="false" ht="2.25" hidden="false" customHeight="true" outlineLevel="0" collapsed="false">
      <c r="A37" s="38"/>
      <c r="AO37" s="40"/>
    </row>
    <row r="38" customFormat="false" ht="15" hidden="false" customHeight="true" outlineLevel="0" collapsed="false">
      <c r="A38" s="18" t="s">
        <v>136</v>
      </c>
      <c r="B38" s="18"/>
      <c r="C38" s="18"/>
      <c r="D38" s="18"/>
      <c r="E38" s="50"/>
      <c r="F38" s="50"/>
      <c r="G38" s="50"/>
      <c r="H38" s="50"/>
      <c r="I38" s="51" t="s">
        <v>138</v>
      </c>
      <c r="J38" s="51"/>
      <c r="K38" s="51"/>
      <c r="L38" s="51"/>
      <c r="M38" s="51"/>
      <c r="N38" s="51"/>
      <c r="O38" s="51"/>
      <c r="P38" s="51"/>
      <c r="Q38" s="51"/>
      <c r="R38" s="66" t="s">
        <v>175</v>
      </c>
      <c r="S38" s="66"/>
      <c r="T38" s="66"/>
      <c r="U38" s="66"/>
      <c r="V38" s="66"/>
      <c r="W38" s="66"/>
      <c r="X38" s="66"/>
      <c r="Y38" s="66"/>
      <c r="Z38" s="51" t="s">
        <v>140</v>
      </c>
      <c r="AA38" s="51"/>
      <c r="AB38" s="50" t="n">
        <v>57</v>
      </c>
      <c r="AC38" s="50"/>
      <c r="AD38" s="51" t="s">
        <v>144</v>
      </c>
      <c r="AE38" s="51"/>
      <c r="AF38" s="57" t="s">
        <v>28</v>
      </c>
      <c r="AG38" s="57"/>
      <c r="AH38" s="57"/>
      <c r="AI38" s="57"/>
      <c r="AJ38" s="57"/>
      <c r="AK38" s="57"/>
      <c r="AL38" s="57"/>
      <c r="AM38" s="57"/>
      <c r="AN38" s="57"/>
      <c r="AO38" s="57"/>
    </row>
    <row r="39" customFormat="false" ht="2.25" hidden="false" customHeight="true" outlineLevel="0" collapsed="false">
      <c r="A39" s="38"/>
      <c r="AO39" s="40"/>
    </row>
    <row r="40" customFormat="false" ht="15" hidden="false" customHeight="true" outlineLevel="0" collapsed="false">
      <c r="A40" s="61" t="s">
        <v>142</v>
      </c>
      <c r="B40" s="61"/>
      <c r="C40" s="61"/>
      <c r="D40" s="67" t="s">
        <v>143</v>
      </c>
      <c r="E40" s="46"/>
      <c r="F40" s="68" t="s">
        <v>166</v>
      </c>
      <c r="G40" s="68"/>
      <c r="H40" s="68"/>
      <c r="I40" s="68"/>
      <c r="J40" s="68"/>
      <c r="K40" s="68"/>
      <c r="L40" s="69"/>
      <c r="M40" s="69"/>
      <c r="N40" s="69"/>
      <c r="O40" s="69"/>
      <c r="P40" s="46"/>
      <c r="Q40" s="46"/>
      <c r="R40" s="68" t="s">
        <v>171</v>
      </c>
      <c r="S40" s="68"/>
      <c r="T40" s="68"/>
      <c r="U40" s="68"/>
      <c r="V40" s="68"/>
      <c r="W40" s="68"/>
      <c r="X40" s="65"/>
      <c r="Y40" s="65"/>
      <c r="Z40" s="65"/>
      <c r="AA40" s="65"/>
      <c r="AB40" s="65"/>
      <c r="AC40" s="65"/>
      <c r="AD40" s="65"/>
      <c r="AE40" s="65"/>
      <c r="AF40" s="65"/>
      <c r="AG40" s="65"/>
      <c r="AH40" s="65"/>
      <c r="AI40" s="65"/>
      <c r="AJ40" s="65"/>
      <c r="AK40" s="65"/>
      <c r="AL40" s="65"/>
      <c r="AM40" s="65"/>
      <c r="AN40" s="65"/>
      <c r="AO40" s="65"/>
    </row>
    <row r="41" customFormat="false" ht="3.75" hidden="false" customHeight="true" outlineLevel="0" collapsed="false">
      <c r="A41" s="38"/>
      <c r="AO41" s="40"/>
    </row>
    <row r="42" customFormat="false" ht="15" hidden="false" customHeight="true" outlineLevel="0" collapsed="false">
      <c r="A42" s="48" t="s">
        <v>176</v>
      </c>
      <c r="B42" s="48"/>
      <c r="C42" s="48"/>
      <c r="D42" s="48"/>
      <c r="E42" s="48"/>
      <c r="F42" s="48"/>
      <c r="G42" s="48"/>
      <c r="H42" s="48"/>
      <c r="I42" s="48"/>
      <c r="J42" s="48"/>
      <c r="K42" s="48"/>
      <c r="L42" s="48"/>
      <c r="M42" s="48"/>
      <c r="N42" s="48"/>
      <c r="O42" s="48"/>
      <c r="P42" s="48"/>
      <c r="Q42" s="48"/>
      <c r="R42" s="48"/>
      <c r="S42" s="48"/>
      <c r="T42" s="48"/>
      <c r="U42" s="48"/>
      <c r="V42" s="48"/>
      <c r="W42" s="48"/>
      <c r="X42" s="48"/>
      <c r="Y42" s="48"/>
      <c r="Z42" s="48"/>
      <c r="AA42" s="48"/>
      <c r="AB42" s="48"/>
      <c r="AC42" s="48"/>
      <c r="AD42" s="48"/>
      <c r="AE42" s="48"/>
      <c r="AF42" s="48"/>
      <c r="AG42" s="48"/>
      <c r="AH42" s="48"/>
      <c r="AI42" s="48"/>
      <c r="AJ42" s="48"/>
      <c r="AK42" s="48"/>
      <c r="AL42" s="48"/>
      <c r="AM42" s="48"/>
      <c r="AN42" s="48"/>
      <c r="AO42" s="48"/>
    </row>
    <row r="43" customFormat="false" ht="2.25" hidden="false" customHeight="true" outlineLevel="0" collapsed="false">
      <c r="A43" s="38"/>
      <c r="AO43" s="40"/>
    </row>
    <row r="44" customFormat="false" ht="15" hidden="false" customHeight="true" outlineLevel="0" collapsed="false">
      <c r="A44" s="38"/>
      <c r="B44" s="52" t="s">
        <v>111</v>
      </c>
      <c r="C44" s="52"/>
      <c r="D44" s="52"/>
      <c r="E44" s="52"/>
      <c r="F44" s="52"/>
      <c r="G44" s="52"/>
      <c r="H44" s="52"/>
      <c r="I44" s="20"/>
      <c r="K44" s="19" t="s">
        <v>44</v>
      </c>
      <c r="L44" s="19"/>
      <c r="M44" s="19"/>
      <c r="N44" s="19"/>
      <c r="O44" s="19"/>
      <c r="P44" s="19"/>
      <c r="Q44" s="19"/>
      <c r="R44" s="19"/>
      <c r="T44" s="52" t="s">
        <v>177</v>
      </c>
      <c r="U44" s="52"/>
      <c r="V44" s="52"/>
      <c r="W44" s="52"/>
      <c r="X44" s="25"/>
      <c r="Y44" s="19" t="s">
        <v>44</v>
      </c>
      <c r="Z44" s="19"/>
      <c r="AA44" s="19"/>
      <c r="AB44" s="19"/>
      <c r="AC44" s="19"/>
      <c r="AD44" s="19"/>
      <c r="AE44" s="19"/>
      <c r="AF44" s="19"/>
      <c r="AO44" s="40"/>
    </row>
    <row r="45" customFormat="false" ht="2.25" hidden="false" customHeight="true" outlineLevel="0" collapsed="false">
      <c r="A45" s="70"/>
      <c r="B45" s="71"/>
      <c r="C45" s="71"/>
      <c r="D45" s="71"/>
      <c r="E45" s="71"/>
      <c r="F45" s="71"/>
      <c r="G45" s="71"/>
      <c r="H45" s="71"/>
      <c r="I45" s="71"/>
      <c r="J45" s="71"/>
      <c r="K45" s="71"/>
      <c r="L45" s="71"/>
      <c r="M45" s="71"/>
      <c r="N45" s="71"/>
      <c r="O45" s="71"/>
      <c r="P45" s="71"/>
      <c r="Q45" s="71"/>
      <c r="R45" s="71"/>
      <c r="S45" s="71"/>
      <c r="T45" s="71"/>
      <c r="U45" s="71"/>
      <c r="V45" s="71"/>
      <c r="W45" s="71"/>
      <c r="X45" s="71"/>
      <c r="Y45" s="71"/>
      <c r="Z45" s="71"/>
      <c r="AA45" s="71"/>
      <c r="AB45" s="71"/>
      <c r="AC45" s="71"/>
      <c r="AD45" s="71"/>
      <c r="AE45" s="71"/>
      <c r="AF45" s="71"/>
      <c r="AG45" s="71"/>
      <c r="AH45" s="71"/>
      <c r="AI45" s="71"/>
      <c r="AJ45" s="71"/>
      <c r="AK45" s="71"/>
      <c r="AL45" s="71"/>
      <c r="AM45" s="71"/>
      <c r="AN45" s="71"/>
      <c r="AO45" s="72"/>
    </row>
    <row r="46" customFormat="false" ht="9.75" hidden="false" customHeight="true" outlineLevel="0" collapsed="false">
      <c r="A46" s="73" t="s">
        <v>178</v>
      </c>
      <c r="B46" s="73"/>
      <c r="C46" s="73"/>
      <c r="D46" s="73"/>
      <c r="E46" s="73"/>
      <c r="F46" s="73"/>
      <c r="G46" s="73"/>
      <c r="H46" s="73"/>
      <c r="I46" s="73"/>
      <c r="J46" s="73"/>
      <c r="K46" s="73"/>
      <c r="L46" s="73"/>
      <c r="M46" s="73"/>
      <c r="N46" s="73"/>
      <c r="O46" s="73"/>
      <c r="P46" s="73"/>
      <c r="Q46" s="73"/>
      <c r="R46" s="73"/>
      <c r="S46" s="73"/>
      <c r="T46" s="73"/>
      <c r="U46" s="73"/>
      <c r="V46" s="73"/>
      <c r="W46" s="73"/>
      <c r="X46" s="73"/>
      <c r="Y46" s="73"/>
      <c r="Z46" s="73"/>
      <c r="AA46" s="73"/>
      <c r="AB46" s="73"/>
      <c r="AC46" s="73"/>
      <c r="AD46" s="73"/>
      <c r="AE46" s="73"/>
      <c r="AF46" s="73"/>
      <c r="AG46" s="73"/>
      <c r="AH46" s="73"/>
      <c r="AI46" s="73"/>
      <c r="AJ46" s="73"/>
      <c r="AK46" s="73"/>
      <c r="AL46" s="73"/>
      <c r="AM46" s="73"/>
      <c r="AN46" s="73"/>
      <c r="AO46" s="73"/>
    </row>
    <row r="47" customFormat="false" ht="2.25" hidden="false" customHeight="true" outlineLevel="0" collapsed="false">
      <c r="A47" s="74"/>
      <c r="B47" s="75"/>
      <c r="C47" s="75"/>
      <c r="D47" s="75"/>
      <c r="E47" s="75"/>
      <c r="F47" s="75"/>
      <c r="G47" s="75"/>
      <c r="H47" s="75"/>
      <c r="I47" s="75"/>
      <c r="J47" s="75"/>
      <c r="K47" s="75"/>
      <c r="L47" s="75"/>
      <c r="M47" s="75"/>
      <c r="N47" s="75"/>
      <c r="O47" s="75"/>
      <c r="P47" s="75"/>
      <c r="Q47" s="75"/>
      <c r="R47" s="75"/>
      <c r="S47" s="75"/>
      <c r="T47" s="75"/>
      <c r="U47" s="75"/>
      <c r="V47" s="75"/>
      <c r="W47" s="75"/>
      <c r="X47" s="75"/>
      <c r="Y47" s="75"/>
      <c r="Z47" s="75"/>
      <c r="AA47" s="75"/>
      <c r="AB47" s="75"/>
      <c r="AC47" s="75"/>
      <c r="AD47" s="75"/>
      <c r="AE47" s="75"/>
      <c r="AF47" s="75"/>
      <c r="AG47" s="75"/>
      <c r="AH47" s="75"/>
      <c r="AI47" s="75"/>
      <c r="AJ47" s="75"/>
      <c r="AK47" s="75"/>
      <c r="AL47" s="75"/>
      <c r="AM47" s="75"/>
      <c r="AN47" s="75"/>
      <c r="AO47" s="76"/>
    </row>
    <row r="48" customFormat="false" ht="15" hidden="false" customHeight="true" outlineLevel="0" collapsed="false">
      <c r="A48" s="77"/>
      <c r="B48" s="77"/>
      <c r="C48" s="77"/>
      <c r="D48" s="77"/>
      <c r="E48" s="77"/>
      <c r="F48" s="77"/>
      <c r="G48" s="77"/>
      <c r="H48" s="77"/>
      <c r="I48" s="78" t="s">
        <v>111</v>
      </c>
      <c r="J48" s="78"/>
      <c r="K48" s="78"/>
      <c r="L48" s="78"/>
      <c r="M48" s="78"/>
      <c r="N48" s="78"/>
      <c r="O48" s="78"/>
      <c r="P48" s="78"/>
      <c r="Q48" s="78"/>
      <c r="R48" s="78"/>
      <c r="S48" s="78"/>
      <c r="T48" s="78"/>
      <c r="U48" s="78"/>
      <c r="V48" s="78"/>
      <c r="W48" s="78"/>
      <c r="X48" s="79" t="s">
        <v>177</v>
      </c>
      <c r="Y48" s="79"/>
      <c r="Z48" s="79"/>
      <c r="AA48" s="79"/>
      <c r="AB48" s="79"/>
      <c r="AC48" s="79"/>
      <c r="AD48" s="79"/>
      <c r="AE48" s="79"/>
      <c r="AF48" s="79"/>
      <c r="AG48" s="79"/>
      <c r="AH48" s="79"/>
      <c r="AI48" s="79"/>
      <c r="AJ48" s="79"/>
      <c r="AK48" s="79"/>
      <c r="AL48" s="79"/>
      <c r="AM48" s="79"/>
      <c r="AN48" s="79"/>
      <c r="AO48" s="79"/>
    </row>
    <row r="49" customFormat="false" ht="12" hidden="false" customHeight="true" outlineLevel="0" collapsed="false">
      <c r="A49" s="80" t="s">
        <v>179</v>
      </c>
      <c r="B49" s="80"/>
      <c r="C49" s="80"/>
      <c r="D49" s="80"/>
      <c r="E49" s="80"/>
      <c r="F49" s="80"/>
      <c r="G49" s="80"/>
      <c r="H49" s="80"/>
      <c r="I49" s="50"/>
      <c r="J49" s="50"/>
      <c r="K49" s="50"/>
      <c r="L49" s="50"/>
      <c r="M49" s="50"/>
      <c r="N49" s="50"/>
      <c r="O49" s="50"/>
      <c r="P49" s="50"/>
      <c r="Q49" s="50"/>
      <c r="R49" s="50"/>
      <c r="S49" s="50"/>
      <c r="T49" s="50"/>
      <c r="U49" s="50"/>
      <c r="V49" s="50"/>
      <c r="W49" s="50"/>
      <c r="X49" s="57"/>
      <c r="Y49" s="57"/>
      <c r="Z49" s="57"/>
      <c r="AA49" s="57"/>
      <c r="AB49" s="57"/>
      <c r="AC49" s="57"/>
      <c r="AD49" s="57"/>
      <c r="AE49" s="57"/>
      <c r="AF49" s="57"/>
      <c r="AG49" s="57"/>
      <c r="AH49" s="57"/>
      <c r="AI49" s="57"/>
      <c r="AJ49" s="57"/>
      <c r="AK49" s="57"/>
      <c r="AL49" s="57"/>
      <c r="AM49" s="57"/>
      <c r="AN49" s="57"/>
      <c r="AO49" s="57"/>
    </row>
    <row r="50" customFormat="false" ht="12" hidden="false" customHeight="true" outlineLevel="0" collapsed="false">
      <c r="A50" s="80" t="s">
        <v>180</v>
      </c>
      <c r="B50" s="80"/>
      <c r="C50" s="80"/>
      <c r="D50" s="80"/>
      <c r="E50" s="80"/>
      <c r="F50" s="80"/>
      <c r="G50" s="80"/>
      <c r="H50" s="80"/>
      <c r="I50" s="50"/>
      <c r="J50" s="50"/>
      <c r="K50" s="50"/>
      <c r="L50" s="50"/>
      <c r="M50" s="50"/>
      <c r="N50" s="50"/>
      <c r="O50" s="50"/>
      <c r="P50" s="50"/>
      <c r="Q50" s="50"/>
      <c r="R50" s="50"/>
      <c r="S50" s="50"/>
      <c r="T50" s="50"/>
      <c r="U50" s="50"/>
      <c r="V50" s="50"/>
      <c r="W50" s="50"/>
      <c r="X50" s="57"/>
      <c r="Y50" s="57"/>
      <c r="Z50" s="57"/>
      <c r="AA50" s="57"/>
      <c r="AB50" s="57"/>
      <c r="AC50" s="57"/>
      <c r="AD50" s="57"/>
      <c r="AE50" s="57"/>
      <c r="AF50" s="57"/>
      <c r="AG50" s="57"/>
      <c r="AH50" s="57"/>
      <c r="AI50" s="57"/>
      <c r="AJ50" s="57"/>
      <c r="AK50" s="57"/>
      <c r="AL50" s="57"/>
      <c r="AM50" s="57"/>
      <c r="AN50" s="57"/>
      <c r="AO50" s="57"/>
    </row>
    <row r="51" customFormat="false" ht="12" hidden="false" customHeight="true" outlineLevel="0" collapsed="false">
      <c r="A51" s="80" t="s">
        <v>181</v>
      </c>
      <c r="B51" s="80"/>
      <c r="C51" s="80"/>
      <c r="D51" s="80"/>
      <c r="E51" s="80"/>
      <c r="F51" s="80"/>
      <c r="G51" s="80"/>
      <c r="H51" s="80"/>
      <c r="I51" s="50"/>
      <c r="J51" s="50"/>
      <c r="K51" s="50"/>
      <c r="L51" s="50"/>
      <c r="M51" s="50"/>
      <c r="N51" s="50"/>
      <c r="O51" s="50"/>
      <c r="P51" s="50"/>
      <c r="Q51" s="50"/>
      <c r="R51" s="50"/>
      <c r="S51" s="50"/>
      <c r="T51" s="50"/>
      <c r="U51" s="50"/>
      <c r="V51" s="50"/>
      <c r="W51" s="50"/>
      <c r="X51" s="57"/>
      <c r="Y51" s="57"/>
      <c r="Z51" s="57"/>
      <c r="AA51" s="57"/>
      <c r="AB51" s="57"/>
      <c r="AC51" s="57"/>
      <c r="AD51" s="57"/>
      <c r="AE51" s="57"/>
      <c r="AF51" s="57"/>
      <c r="AG51" s="57"/>
      <c r="AH51" s="57"/>
      <c r="AI51" s="57"/>
      <c r="AJ51" s="57"/>
      <c r="AK51" s="57"/>
      <c r="AL51" s="57"/>
      <c r="AM51" s="57"/>
      <c r="AN51" s="57"/>
      <c r="AO51" s="57"/>
    </row>
    <row r="52" customFormat="false" ht="12" hidden="false" customHeight="true" outlineLevel="0" collapsed="false">
      <c r="A52" s="80" t="s">
        <v>182</v>
      </c>
      <c r="B52" s="80"/>
      <c r="C52" s="80"/>
      <c r="D52" s="80"/>
      <c r="E52" s="80"/>
      <c r="F52" s="80"/>
      <c r="G52" s="80"/>
      <c r="H52" s="80"/>
      <c r="I52" s="50"/>
      <c r="J52" s="50"/>
      <c r="K52" s="50"/>
      <c r="L52" s="50"/>
      <c r="M52" s="50"/>
      <c r="N52" s="50"/>
      <c r="O52" s="50"/>
      <c r="P52" s="50"/>
      <c r="Q52" s="50"/>
      <c r="R52" s="50"/>
      <c r="S52" s="50"/>
      <c r="T52" s="50"/>
      <c r="U52" s="50"/>
      <c r="V52" s="50"/>
      <c r="W52" s="50"/>
      <c r="X52" s="81"/>
      <c r="Y52" s="81"/>
      <c r="Z52" s="81"/>
      <c r="AA52" s="81"/>
      <c r="AB52" s="81"/>
      <c r="AC52" s="81"/>
      <c r="AD52" s="81"/>
      <c r="AE52" s="81"/>
      <c r="AF52" s="81"/>
      <c r="AG52" s="81"/>
      <c r="AH52" s="81"/>
      <c r="AI52" s="81"/>
      <c r="AJ52" s="81"/>
      <c r="AK52" s="81"/>
      <c r="AL52" s="81"/>
      <c r="AM52" s="81"/>
      <c r="AN52" s="81"/>
      <c r="AO52" s="81"/>
    </row>
    <row r="53" customFormat="false" ht="12" hidden="false" customHeight="true" outlineLevel="0" collapsed="false">
      <c r="A53" s="80" t="s">
        <v>183</v>
      </c>
      <c r="B53" s="80"/>
      <c r="C53" s="80"/>
      <c r="D53" s="80"/>
      <c r="E53" s="80"/>
      <c r="F53" s="80"/>
      <c r="G53" s="80"/>
      <c r="H53" s="80"/>
      <c r="I53" s="50"/>
      <c r="J53" s="50"/>
      <c r="K53" s="50"/>
      <c r="L53" s="50"/>
      <c r="M53" s="50"/>
      <c r="N53" s="50"/>
      <c r="O53" s="50"/>
      <c r="P53" s="50"/>
      <c r="Q53" s="50"/>
      <c r="R53" s="50"/>
      <c r="S53" s="50"/>
      <c r="T53" s="50"/>
      <c r="U53" s="50"/>
      <c r="V53" s="50"/>
      <c r="W53" s="50"/>
      <c r="X53" s="57"/>
      <c r="Y53" s="57"/>
      <c r="Z53" s="57"/>
      <c r="AA53" s="57"/>
      <c r="AB53" s="57"/>
      <c r="AC53" s="57"/>
      <c r="AD53" s="57"/>
      <c r="AE53" s="57"/>
      <c r="AF53" s="57"/>
      <c r="AG53" s="57"/>
      <c r="AH53" s="57"/>
      <c r="AI53" s="57"/>
      <c r="AJ53" s="57"/>
      <c r="AK53" s="57"/>
      <c r="AL53" s="57"/>
      <c r="AM53" s="57"/>
      <c r="AN53" s="57"/>
      <c r="AO53" s="57"/>
    </row>
    <row r="54" customFormat="false" ht="12" hidden="false" customHeight="true" outlineLevel="0" collapsed="false">
      <c r="A54" s="80" t="s">
        <v>184</v>
      </c>
      <c r="B54" s="80"/>
      <c r="C54" s="80"/>
      <c r="D54" s="80"/>
      <c r="E54" s="80"/>
      <c r="F54" s="80"/>
      <c r="G54" s="80"/>
      <c r="H54" s="80"/>
      <c r="I54" s="50"/>
      <c r="J54" s="50"/>
      <c r="K54" s="50"/>
      <c r="L54" s="50"/>
      <c r="M54" s="50"/>
      <c r="N54" s="50"/>
      <c r="O54" s="50"/>
      <c r="P54" s="50"/>
      <c r="Q54" s="50"/>
      <c r="R54" s="50"/>
      <c r="S54" s="50"/>
      <c r="T54" s="50"/>
      <c r="U54" s="50"/>
      <c r="V54" s="50"/>
      <c r="W54" s="50"/>
      <c r="X54" s="82"/>
      <c r="Y54" s="82"/>
      <c r="Z54" s="82"/>
      <c r="AA54" s="82"/>
      <c r="AB54" s="82"/>
      <c r="AC54" s="82"/>
      <c r="AD54" s="82"/>
      <c r="AE54" s="82"/>
      <c r="AF54" s="82"/>
      <c r="AG54" s="82"/>
      <c r="AH54" s="82"/>
      <c r="AI54" s="82"/>
      <c r="AJ54" s="82"/>
      <c r="AK54" s="82"/>
      <c r="AL54" s="82"/>
      <c r="AM54" s="82"/>
      <c r="AN54" s="82"/>
      <c r="AO54" s="82"/>
    </row>
    <row r="55" customFormat="false" ht="12" hidden="false" customHeight="true" outlineLevel="0" collapsed="false">
      <c r="A55" s="80" t="s">
        <v>185</v>
      </c>
      <c r="B55" s="80"/>
      <c r="C55" s="80"/>
      <c r="D55" s="80"/>
      <c r="E55" s="80"/>
      <c r="F55" s="80"/>
      <c r="G55" s="80"/>
      <c r="H55" s="80"/>
      <c r="I55" s="50"/>
      <c r="J55" s="50"/>
      <c r="K55" s="50"/>
      <c r="L55" s="50"/>
      <c r="M55" s="50"/>
      <c r="N55" s="50"/>
      <c r="O55" s="50"/>
      <c r="P55" s="50"/>
      <c r="Q55" s="50"/>
      <c r="R55" s="50"/>
      <c r="S55" s="50"/>
      <c r="T55" s="50"/>
      <c r="U55" s="50"/>
      <c r="V55" s="50"/>
      <c r="W55" s="50"/>
      <c r="X55" s="81"/>
      <c r="Y55" s="81"/>
      <c r="Z55" s="81"/>
      <c r="AA55" s="81"/>
      <c r="AB55" s="81"/>
      <c r="AC55" s="81"/>
      <c r="AD55" s="81"/>
      <c r="AE55" s="81"/>
      <c r="AF55" s="81"/>
      <c r="AG55" s="81"/>
      <c r="AH55" s="81"/>
      <c r="AI55" s="81"/>
      <c r="AJ55" s="81"/>
      <c r="AK55" s="81"/>
      <c r="AL55" s="81"/>
      <c r="AM55" s="81"/>
      <c r="AN55" s="81"/>
      <c r="AO55" s="81"/>
    </row>
    <row r="56" customFormat="false" ht="3" hidden="false" customHeight="true" outlineLevel="0" collapsed="false">
      <c r="A56" s="29"/>
      <c r="B56" s="83"/>
      <c r="C56" s="83"/>
      <c r="D56" s="83"/>
      <c r="E56" s="83"/>
      <c r="F56" s="83"/>
      <c r="G56" s="83"/>
      <c r="H56" s="83"/>
      <c r="I56" s="84"/>
      <c r="J56" s="84"/>
      <c r="K56" s="84"/>
      <c r="L56" s="84"/>
      <c r="M56" s="84"/>
      <c r="N56" s="84"/>
      <c r="O56" s="84"/>
      <c r="P56" s="84"/>
      <c r="Q56" s="84"/>
      <c r="R56" s="84"/>
      <c r="S56" s="84"/>
      <c r="T56" s="84"/>
      <c r="U56" s="84"/>
      <c r="V56" s="84"/>
      <c r="W56" s="84"/>
      <c r="X56" s="84"/>
      <c r="Y56" s="84"/>
      <c r="Z56" s="84"/>
      <c r="AA56" s="84"/>
      <c r="AB56" s="84"/>
      <c r="AC56" s="84"/>
      <c r="AD56" s="84"/>
      <c r="AE56" s="84"/>
      <c r="AF56" s="84"/>
      <c r="AG56" s="84"/>
      <c r="AH56" s="84"/>
      <c r="AI56" s="84"/>
      <c r="AJ56" s="84"/>
      <c r="AK56" s="84"/>
      <c r="AL56" s="84"/>
      <c r="AM56" s="84"/>
      <c r="AN56" s="84"/>
      <c r="AO56" s="85"/>
    </row>
    <row r="57" customFormat="false" ht="15" hidden="false" customHeight="true" outlineLevel="0" collapsed="false">
      <c r="A57" s="80" t="s">
        <v>186</v>
      </c>
      <c r="B57" s="80"/>
      <c r="C57" s="80"/>
      <c r="D57" s="80"/>
      <c r="E57" s="80"/>
      <c r="F57" s="80"/>
      <c r="G57" s="80"/>
      <c r="H57" s="80"/>
      <c r="I57" s="20" t="s">
        <v>187</v>
      </c>
      <c r="J57" s="50"/>
      <c r="K57" s="50"/>
      <c r="N57" s="20" t="s">
        <v>188</v>
      </c>
      <c r="O57" s="50"/>
      <c r="P57" s="50"/>
      <c r="Z57" s="20" t="s">
        <v>187</v>
      </c>
      <c r="AA57" s="86"/>
      <c r="AB57" s="86"/>
      <c r="AD57" s="52" t="s">
        <v>188</v>
      </c>
      <c r="AE57" s="52"/>
      <c r="AF57" s="86"/>
      <c r="AG57" s="86"/>
      <c r="AO57" s="40"/>
    </row>
    <row r="58" customFormat="false" ht="2.25" hidden="false" customHeight="true" outlineLevel="0" collapsed="false">
      <c r="A58" s="45"/>
      <c r="B58" s="46"/>
      <c r="C58" s="46"/>
      <c r="D58" s="46"/>
      <c r="E58" s="46"/>
      <c r="F58" s="46"/>
      <c r="G58" s="46"/>
      <c r="H58" s="46"/>
      <c r="I58" s="46"/>
      <c r="J58" s="46"/>
      <c r="K58" s="46"/>
      <c r="L58" s="46"/>
      <c r="M58" s="46"/>
      <c r="N58" s="46"/>
      <c r="O58" s="46"/>
      <c r="P58" s="46"/>
      <c r="Q58" s="46"/>
      <c r="R58" s="46"/>
      <c r="S58" s="46"/>
      <c r="T58" s="46"/>
      <c r="U58" s="46"/>
      <c r="V58" s="46"/>
      <c r="W58" s="46"/>
      <c r="X58" s="46"/>
      <c r="Y58" s="46"/>
      <c r="Z58" s="46"/>
      <c r="AA58" s="46"/>
      <c r="AB58" s="46"/>
      <c r="AC58" s="46"/>
      <c r="AD58" s="46"/>
      <c r="AE58" s="46"/>
      <c r="AF58" s="46"/>
      <c r="AG58" s="46"/>
      <c r="AH58" s="46"/>
      <c r="AI58" s="46"/>
      <c r="AJ58" s="46"/>
      <c r="AK58" s="46"/>
      <c r="AL58" s="46"/>
      <c r="AM58" s="46"/>
      <c r="AN58" s="46"/>
      <c r="AO58" s="47"/>
    </row>
    <row r="59" customFormat="false" ht="15" hidden="false" customHeight="true" outlineLevel="0" collapsed="false">
      <c r="A59" s="48" t="s">
        <v>189</v>
      </c>
      <c r="B59" s="48"/>
      <c r="C59" s="48"/>
      <c r="D59" s="48"/>
      <c r="E59" s="48"/>
      <c r="F59" s="48"/>
      <c r="G59" s="48"/>
      <c r="H59" s="48"/>
      <c r="I59" s="48"/>
      <c r="J59" s="48"/>
      <c r="K59" s="48"/>
      <c r="L59" s="48"/>
      <c r="M59" s="48"/>
      <c r="N59" s="48"/>
      <c r="O59" s="48"/>
      <c r="P59" s="48"/>
      <c r="Q59" s="48"/>
      <c r="R59" s="48"/>
      <c r="S59" s="48"/>
      <c r="T59" s="48"/>
      <c r="U59" s="48"/>
      <c r="V59" s="48"/>
      <c r="W59" s="48"/>
      <c r="X59" s="48"/>
      <c r="Y59" s="48"/>
      <c r="Z59" s="48"/>
      <c r="AA59" s="48"/>
      <c r="AB59" s="48"/>
      <c r="AC59" s="48"/>
      <c r="AD59" s="48"/>
      <c r="AE59" s="48"/>
      <c r="AF59" s="48"/>
      <c r="AG59" s="48"/>
      <c r="AH59" s="48"/>
      <c r="AI59" s="48"/>
      <c r="AJ59" s="48"/>
      <c r="AK59" s="48"/>
      <c r="AL59" s="48"/>
      <c r="AM59" s="48"/>
      <c r="AN59" s="48"/>
      <c r="AO59" s="48"/>
    </row>
    <row r="60" customFormat="false" ht="15" hidden="false" customHeight="true" outlineLevel="0" collapsed="false">
      <c r="A60" s="87" t="s">
        <v>190</v>
      </c>
      <c r="B60" s="87"/>
      <c r="C60" s="87"/>
      <c r="D60" s="87"/>
      <c r="E60" s="87"/>
      <c r="F60" s="87"/>
      <c r="G60" s="87"/>
      <c r="H60" s="87"/>
      <c r="I60" s="87"/>
      <c r="J60" s="88" t="s">
        <v>191</v>
      </c>
      <c r="K60" s="88"/>
      <c r="L60" s="88"/>
      <c r="M60" s="88"/>
      <c r="N60" s="88"/>
      <c r="O60" s="88"/>
      <c r="P60" s="88"/>
      <c r="Q60" s="88"/>
      <c r="R60" s="88"/>
      <c r="S60" s="88"/>
      <c r="T60" s="88"/>
      <c r="U60" s="88"/>
      <c r="V60" s="88"/>
      <c r="W60" s="88"/>
      <c r="X60" s="88"/>
      <c r="Y60" s="88"/>
      <c r="Z60" s="88"/>
      <c r="AA60" s="88"/>
      <c r="AB60" s="88"/>
      <c r="AC60" s="88"/>
      <c r="AD60" s="88"/>
      <c r="AE60" s="88"/>
      <c r="AF60" s="88"/>
      <c r="AG60" s="88"/>
      <c r="AH60" s="88"/>
      <c r="AI60" s="88"/>
      <c r="AJ60" s="88"/>
      <c r="AK60" s="88"/>
      <c r="AL60" s="88"/>
      <c r="AM60" s="88"/>
      <c r="AN60" s="88"/>
      <c r="AO60" s="88"/>
    </row>
    <row r="61" customFormat="false" ht="2.25" hidden="false" customHeight="true" outlineLevel="0" collapsed="false">
      <c r="A61" s="38"/>
      <c r="AO61" s="40"/>
    </row>
    <row r="62" customFormat="false" ht="15" hidden="false" customHeight="true" outlineLevel="0" collapsed="false">
      <c r="A62" s="18" t="s">
        <v>192</v>
      </c>
      <c r="B62" s="18"/>
      <c r="C62" s="18"/>
      <c r="D62" s="18"/>
      <c r="E62" s="18"/>
      <c r="F62" s="18"/>
      <c r="G62" s="18"/>
      <c r="H62" s="50" t="s">
        <v>193</v>
      </c>
      <c r="I62" s="50"/>
      <c r="J62" s="50"/>
      <c r="K62" s="50"/>
      <c r="L62" s="50"/>
      <c r="M62" s="50"/>
      <c r="N62" s="50"/>
      <c r="O62" s="50"/>
      <c r="P62" s="50"/>
      <c r="Q62" s="50"/>
      <c r="R62" s="50"/>
      <c r="S62" s="50"/>
      <c r="T62" s="50"/>
      <c r="V62" s="52" t="s">
        <v>194</v>
      </c>
      <c r="W62" s="52"/>
      <c r="X62" s="52"/>
      <c r="Y62" s="52"/>
      <c r="Z62" s="52"/>
      <c r="AA62" s="52"/>
      <c r="AB62" s="50" t="n">
        <v>6</v>
      </c>
      <c r="AC62" s="50"/>
      <c r="AE62" s="52" t="s">
        <v>195</v>
      </c>
      <c r="AF62" s="52"/>
      <c r="AG62" s="52"/>
      <c r="AH62" s="52"/>
      <c r="AI62" s="52"/>
      <c r="AJ62" s="52"/>
      <c r="AK62" s="86" t="n">
        <v>1</v>
      </c>
      <c r="AL62" s="86"/>
      <c r="AM62" s="89"/>
      <c r="AN62" s="89"/>
      <c r="AO62" s="90"/>
    </row>
    <row r="63" customFormat="false" ht="2.25" hidden="false" customHeight="true" outlineLevel="0" collapsed="false">
      <c r="A63" s="38"/>
      <c r="AN63" s="39"/>
      <c r="AO63" s="91"/>
    </row>
    <row r="64" customFormat="false" ht="15" hidden="false" customHeight="true" outlineLevel="0" collapsed="false">
      <c r="A64" s="18" t="s">
        <v>196</v>
      </c>
      <c r="B64" s="18"/>
      <c r="C64" s="18"/>
      <c r="D64" s="18"/>
      <c r="E64" s="18"/>
      <c r="F64" s="18"/>
      <c r="G64" s="18"/>
      <c r="H64" s="50" t="s">
        <v>197</v>
      </c>
      <c r="I64" s="50"/>
      <c r="J64" s="50"/>
      <c r="K64" s="50"/>
      <c r="L64" s="50"/>
      <c r="M64" s="50"/>
      <c r="N64" s="50"/>
      <c r="O64" s="50"/>
      <c r="P64" s="50"/>
      <c r="Q64" s="50"/>
      <c r="R64" s="50"/>
      <c r="S64" s="50"/>
      <c r="T64" s="52" t="s">
        <v>198</v>
      </c>
      <c r="U64" s="52"/>
      <c r="V64" s="52"/>
      <c r="W64" s="52"/>
      <c r="X64" s="52"/>
      <c r="Y64" s="19" t="s">
        <v>27</v>
      </c>
      <c r="Z64" s="19"/>
      <c r="AA64" s="19"/>
      <c r="AB64" s="19"/>
      <c r="AC64" s="52" t="s">
        <v>199</v>
      </c>
      <c r="AD64" s="52"/>
      <c r="AE64" s="52"/>
      <c r="AF64" s="52"/>
      <c r="AG64" s="52"/>
      <c r="AH64" s="43" t="s">
        <v>55</v>
      </c>
      <c r="AI64" s="43"/>
      <c r="AJ64" s="43"/>
      <c r="AK64" s="43"/>
      <c r="AL64" s="43"/>
      <c r="AM64" s="43"/>
      <c r="AN64" s="43"/>
      <c r="AO64" s="43"/>
    </row>
    <row r="65" customFormat="false" ht="2.25" hidden="false" customHeight="true" outlineLevel="0" collapsed="false">
      <c r="A65" s="38"/>
      <c r="AO65" s="40"/>
    </row>
    <row r="66" customFormat="false" ht="15" hidden="false" customHeight="true" outlineLevel="0" collapsed="false">
      <c r="A66" s="18" t="s">
        <v>150</v>
      </c>
      <c r="B66" s="18"/>
      <c r="C66" s="18"/>
      <c r="D66" s="50" t="s">
        <v>151</v>
      </c>
      <c r="E66" s="50"/>
      <c r="F66" s="50"/>
      <c r="G66" s="50"/>
      <c r="H66" s="50"/>
      <c r="I66" s="52" t="s">
        <v>152</v>
      </c>
      <c r="J66" s="52"/>
      <c r="K66" s="52"/>
      <c r="L66" s="50" t="s">
        <v>153</v>
      </c>
      <c r="M66" s="50"/>
      <c r="N66" s="50"/>
      <c r="O66" s="50"/>
      <c r="P66" s="50"/>
      <c r="Q66" s="52" t="s">
        <v>154</v>
      </c>
      <c r="R66" s="52"/>
      <c r="S66" s="52"/>
      <c r="T66" s="50" t="s">
        <v>153</v>
      </c>
      <c r="U66" s="50"/>
      <c r="V66" s="50"/>
      <c r="W66" s="50"/>
      <c r="X66" s="50"/>
      <c r="Y66" s="52" t="s">
        <v>155</v>
      </c>
      <c r="Z66" s="52"/>
      <c r="AA66" s="52"/>
      <c r="AB66" s="52"/>
      <c r="AC66" s="52"/>
      <c r="AD66" s="57" t="s">
        <v>200</v>
      </c>
      <c r="AE66" s="57"/>
      <c r="AF66" s="57"/>
      <c r="AG66" s="57"/>
      <c r="AH66" s="57"/>
      <c r="AI66" s="57"/>
      <c r="AJ66" s="57"/>
      <c r="AK66" s="57"/>
      <c r="AL66" s="57"/>
      <c r="AM66" s="57"/>
      <c r="AN66" s="57"/>
      <c r="AO66" s="57"/>
    </row>
    <row r="67" customFormat="false" ht="2.25" hidden="false" customHeight="true" outlineLevel="0" collapsed="false">
      <c r="A67" s="38"/>
      <c r="AO67" s="40"/>
    </row>
    <row r="68" customFormat="false" ht="15" hidden="false" customHeight="true" outlineLevel="0" collapsed="false">
      <c r="A68" s="61" t="s">
        <v>201</v>
      </c>
      <c r="B68" s="61"/>
      <c r="C68" s="61"/>
      <c r="D68" s="61"/>
      <c r="E68" s="61"/>
      <c r="F68" s="92" t="s">
        <v>202</v>
      </c>
      <c r="G68" s="92"/>
      <c r="H68" s="92"/>
      <c r="I68" s="92"/>
      <c r="J68" s="92"/>
      <c r="K68" s="92"/>
      <c r="L68" s="92"/>
      <c r="M68" s="92"/>
      <c r="N68" s="93" t="s">
        <v>203</v>
      </c>
      <c r="O68" s="93"/>
      <c r="P68" s="93"/>
      <c r="Q68" s="93"/>
      <c r="R68" s="93"/>
      <c r="S68" s="92" t="s">
        <v>204</v>
      </c>
      <c r="T68" s="92"/>
      <c r="U68" s="92"/>
      <c r="V68" s="92"/>
      <c r="W68" s="92"/>
      <c r="X68" s="92"/>
      <c r="Y68" s="92"/>
      <c r="Z68" s="92"/>
      <c r="AA68" s="93" t="s">
        <v>161</v>
      </c>
      <c r="AB68" s="93"/>
      <c r="AC68" s="65" t="s">
        <v>205</v>
      </c>
      <c r="AD68" s="65"/>
      <c r="AE68" s="65"/>
      <c r="AF68" s="65"/>
      <c r="AG68" s="65"/>
      <c r="AH68" s="65"/>
      <c r="AI68" s="65"/>
      <c r="AJ68" s="65"/>
      <c r="AK68" s="65"/>
      <c r="AL68" s="65"/>
      <c r="AM68" s="65"/>
      <c r="AN68" s="65"/>
      <c r="AO68" s="65"/>
    </row>
    <row r="69" customFormat="false" ht="2.25" hidden="false" customHeight="true" outlineLevel="0" collapsed="false">
      <c r="A69" s="29"/>
      <c r="B69" s="83"/>
      <c r="C69" s="83"/>
      <c r="D69" s="83"/>
      <c r="E69" s="83"/>
      <c r="F69" s="10"/>
      <c r="G69" s="10"/>
      <c r="H69" s="10"/>
      <c r="I69" s="10"/>
      <c r="J69" s="10"/>
      <c r="K69" s="10"/>
      <c r="L69" s="10"/>
      <c r="M69" s="10"/>
      <c r="N69" s="26"/>
      <c r="O69" s="26"/>
      <c r="P69" s="26"/>
      <c r="Q69" s="26"/>
      <c r="R69" s="26"/>
      <c r="S69" s="10"/>
      <c r="T69" s="10"/>
      <c r="U69" s="10"/>
      <c r="V69" s="10"/>
      <c r="W69" s="10"/>
      <c r="X69" s="10"/>
      <c r="Y69" s="10"/>
      <c r="Z69" s="10"/>
      <c r="AA69" s="26"/>
      <c r="AB69" s="26"/>
      <c r="AC69" s="94"/>
      <c r="AD69" s="94"/>
      <c r="AE69" s="94"/>
      <c r="AF69" s="94"/>
      <c r="AG69" s="94"/>
      <c r="AH69" s="94"/>
      <c r="AI69" s="94"/>
      <c r="AJ69" s="94"/>
      <c r="AK69" s="94"/>
      <c r="AL69" s="94"/>
      <c r="AM69" s="94"/>
      <c r="AN69" s="94"/>
      <c r="AO69" s="95"/>
    </row>
    <row r="70" customFormat="false" ht="14.25" hidden="false" customHeight="true" outlineLevel="0" collapsed="false">
      <c r="A70" s="96" t="s">
        <v>206</v>
      </c>
      <c r="B70" s="96"/>
      <c r="C70" s="96"/>
      <c r="D70" s="96"/>
      <c r="E70" s="96"/>
      <c r="F70" s="96"/>
      <c r="G70" s="96"/>
      <c r="H70" s="96"/>
      <c r="I70" s="96"/>
      <c r="J70" s="96"/>
      <c r="K70" s="96"/>
      <c r="L70" s="96"/>
      <c r="M70" s="96"/>
      <c r="N70" s="96"/>
      <c r="O70" s="96"/>
      <c r="P70" s="96"/>
      <c r="Q70" s="96"/>
      <c r="R70" s="96"/>
      <c r="S70" s="96"/>
      <c r="T70" s="96"/>
      <c r="U70" s="96"/>
      <c r="V70" s="96"/>
      <c r="W70" s="96"/>
      <c r="X70" s="96"/>
      <c r="Y70" s="96"/>
      <c r="Z70" s="96"/>
      <c r="AA70" s="96"/>
      <c r="AB70" s="96"/>
      <c r="AC70" s="96"/>
      <c r="AD70" s="96"/>
      <c r="AE70" s="96"/>
      <c r="AF70" s="96"/>
      <c r="AG70" s="96"/>
      <c r="AH70" s="96"/>
      <c r="AI70" s="96"/>
      <c r="AJ70" s="96"/>
      <c r="AK70" s="96"/>
      <c r="AL70" s="96"/>
      <c r="AM70" s="96"/>
      <c r="AN70" s="96"/>
      <c r="AO70" s="96"/>
    </row>
    <row r="71" customFormat="false" ht="13.8" hidden="false" customHeight="false" outlineLevel="0" collapsed="false">
      <c r="A71" s="97" t="s">
        <v>207</v>
      </c>
      <c r="B71" s="97"/>
      <c r="C71" s="97"/>
      <c r="D71" s="97"/>
      <c r="E71" s="97"/>
      <c r="F71" s="97"/>
      <c r="G71" s="97"/>
      <c r="H71" s="97"/>
      <c r="I71" s="97"/>
      <c r="J71" s="97"/>
      <c r="K71" s="97"/>
      <c r="L71" s="78" t="s">
        <v>208</v>
      </c>
      <c r="M71" s="78"/>
      <c r="N71" s="78"/>
      <c r="O71" s="78"/>
      <c r="P71" s="78"/>
      <c r="Q71" s="78"/>
      <c r="R71" s="78"/>
      <c r="S71" s="78"/>
      <c r="T71" s="78"/>
      <c r="U71" s="78"/>
      <c r="V71" s="78"/>
      <c r="W71" s="78"/>
      <c r="X71" s="78"/>
      <c r="Y71" s="78"/>
      <c r="Z71" s="78"/>
      <c r="AA71" s="78" t="s">
        <v>209</v>
      </c>
      <c r="AB71" s="78"/>
      <c r="AC71" s="78"/>
      <c r="AD71" s="78"/>
      <c r="AE71" s="78"/>
      <c r="AF71" s="78"/>
      <c r="AG71" s="79" t="s">
        <v>210</v>
      </c>
      <c r="AH71" s="79"/>
      <c r="AI71" s="79"/>
      <c r="AJ71" s="79"/>
      <c r="AK71" s="79"/>
      <c r="AL71" s="79"/>
      <c r="AM71" s="79"/>
      <c r="AN71" s="79"/>
      <c r="AO71" s="79"/>
    </row>
    <row r="72" customFormat="false" ht="13.8" hidden="false" customHeight="false" outlineLevel="0" collapsed="false">
      <c r="A72" s="98" t="s">
        <v>211</v>
      </c>
      <c r="B72" s="98"/>
      <c r="C72" s="98"/>
      <c r="D72" s="98"/>
      <c r="E72" s="98"/>
      <c r="F72" s="98"/>
      <c r="G72" s="98"/>
      <c r="H72" s="98"/>
      <c r="I72" s="98"/>
      <c r="J72" s="98"/>
      <c r="K72" s="98"/>
      <c r="L72" s="50" t="s">
        <v>212</v>
      </c>
      <c r="M72" s="50"/>
      <c r="N72" s="50"/>
      <c r="O72" s="50"/>
      <c r="P72" s="50"/>
      <c r="Q72" s="50"/>
      <c r="R72" s="50"/>
      <c r="S72" s="50"/>
      <c r="T72" s="50"/>
      <c r="U72" s="50"/>
      <c r="V72" s="50"/>
      <c r="W72" s="50"/>
      <c r="X72" s="50"/>
      <c r="Y72" s="50"/>
      <c r="Z72" s="50"/>
      <c r="AA72" s="60" t="n">
        <v>969094938</v>
      </c>
      <c r="AB72" s="60"/>
      <c r="AC72" s="60"/>
      <c r="AD72" s="60"/>
      <c r="AE72" s="60"/>
      <c r="AF72" s="60"/>
      <c r="AG72" s="99" t="s">
        <v>213</v>
      </c>
      <c r="AH72" s="99"/>
      <c r="AI72" s="99"/>
      <c r="AJ72" s="99"/>
      <c r="AK72" s="99"/>
      <c r="AL72" s="99"/>
      <c r="AM72" s="99"/>
      <c r="AN72" s="99"/>
      <c r="AO72" s="99"/>
    </row>
    <row r="73" customFormat="false" ht="13.8" hidden="false" customHeight="false" outlineLevel="0" collapsed="false">
      <c r="A73" s="98" t="s">
        <v>214</v>
      </c>
      <c r="B73" s="98"/>
      <c r="C73" s="98"/>
      <c r="D73" s="98"/>
      <c r="E73" s="98"/>
      <c r="F73" s="98"/>
      <c r="G73" s="98"/>
      <c r="H73" s="98"/>
      <c r="I73" s="98"/>
      <c r="J73" s="98"/>
      <c r="K73" s="98"/>
      <c r="L73" s="50" t="s">
        <v>215</v>
      </c>
      <c r="M73" s="50"/>
      <c r="N73" s="50"/>
      <c r="O73" s="50"/>
      <c r="P73" s="50"/>
      <c r="Q73" s="50"/>
      <c r="R73" s="50"/>
      <c r="S73" s="50"/>
      <c r="T73" s="50"/>
      <c r="U73" s="50"/>
      <c r="V73" s="50"/>
      <c r="W73" s="50"/>
      <c r="X73" s="50"/>
      <c r="Y73" s="50"/>
      <c r="Z73" s="50"/>
      <c r="AA73" s="60" t="n">
        <v>996963641</v>
      </c>
      <c r="AB73" s="60"/>
      <c r="AC73" s="60"/>
      <c r="AD73" s="60"/>
      <c r="AE73" s="60"/>
      <c r="AF73" s="60"/>
      <c r="AG73" s="99" t="s">
        <v>216</v>
      </c>
      <c r="AH73" s="99"/>
      <c r="AI73" s="99"/>
      <c r="AJ73" s="99"/>
      <c r="AK73" s="99"/>
      <c r="AL73" s="99"/>
      <c r="AM73" s="99"/>
      <c r="AN73" s="99"/>
      <c r="AO73" s="99"/>
    </row>
    <row r="74" customFormat="false" ht="13.8" hidden="false" customHeight="false" outlineLevel="0" collapsed="false">
      <c r="A74" s="100" t="s">
        <v>217</v>
      </c>
      <c r="B74" s="100"/>
      <c r="C74" s="100"/>
      <c r="D74" s="100"/>
      <c r="E74" s="100"/>
      <c r="F74" s="100"/>
      <c r="G74" s="100"/>
      <c r="H74" s="100"/>
      <c r="I74" s="100"/>
      <c r="J74" s="100"/>
      <c r="K74" s="100"/>
      <c r="L74" s="92" t="s">
        <v>158</v>
      </c>
      <c r="M74" s="92"/>
      <c r="N74" s="92"/>
      <c r="O74" s="92"/>
      <c r="P74" s="92"/>
      <c r="Q74" s="92"/>
      <c r="R74" s="92"/>
      <c r="S74" s="92"/>
      <c r="T74" s="92"/>
      <c r="U74" s="92"/>
      <c r="V74" s="92"/>
      <c r="W74" s="92"/>
      <c r="X74" s="92"/>
      <c r="Y74" s="92"/>
      <c r="Z74" s="92"/>
      <c r="AA74" s="69" t="n">
        <v>994834397</v>
      </c>
      <c r="AB74" s="69"/>
      <c r="AC74" s="69"/>
      <c r="AD74" s="69"/>
      <c r="AE74" s="69"/>
      <c r="AF74" s="69"/>
      <c r="AG74" s="101" t="s">
        <v>216</v>
      </c>
      <c r="AH74" s="101"/>
      <c r="AI74" s="101"/>
      <c r="AJ74" s="101"/>
      <c r="AK74" s="101"/>
      <c r="AL74" s="101"/>
      <c r="AM74" s="101"/>
      <c r="AN74" s="101"/>
      <c r="AO74" s="101"/>
    </row>
    <row r="75" customFormat="false" ht="2.25" hidden="false" customHeight="true" outlineLevel="0" collapsed="false">
      <c r="A75" s="38"/>
      <c r="AO75" s="40"/>
    </row>
    <row r="76" customFormat="false" ht="15" hidden="false" customHeight="true" outlineLevel="0" collapsed="false">
      <c r="A76" s="73" t="s">
        <v>218</v>
      </c>
      <c r="B76" s="73"/>
      <c r="C76" s="73"/>
      <c r="D76" s="73"/>
      <c r="E76" s="73"/>
      <c r="F76" s="73"/>
      <c r="G76" s="73"/>
      <c r="H76" s="73"/>
      <c r="I76" s="73"/>
      <c r="J76" s="73"/>
      <c r="K76" s="73"/>
      <c r="L76" s="73"/>
      <c r="M76" s="73"/>
      <c r="N76" s="73"/>
      <c r="O76" s="73"/>
      <c r="P76" s="73"/>
      <c r="Q76" s="73"/>
      <c r="R76" s="73"/>
      <c r="S76" s="73"/>
      <c r="T76" s="20"/>
      <c r="U76" s="73" t="s">
        <v>219</v>
      </c>
      <c r="V76" s="73"/>
      <c r="W76" s="73"/>
      <c r="X76" s="73"/>
      <c r="Y76" s="73"/>
      <c r="Z76" s="73"/>
      <c r="AA76" s="73"/>
      <c r="AB76" s="73"/>
      <c r="AC76" s="73"/>
      <c r="AD76" s="73"/>
      <c r="AE76" s="73"/>
      <c r="AF76" s="73"/>
      <c r="AG76" s="73"/>
      <c r="AH76" s="73"/>
      <c r="AI76" s="73"/>
      <c r="AJ76" s="73"/>
      <c r="AK76" s="73"/>
      <c r="AL76" s="73"/>
      <c r="AM76" s="73"/>
      <c r="AN76" s="73"/>
      <c r="AO76" s="73"/>
    </row>
    <row r="77" customFormat="false" ht="10.5" hidden="false" customHeight="true" outlineLevel="0" collapsed="false">
      <c r="A77" s="102"/>
      <c r="B77" s="103"/>
      <c r="C77" s="103"/>
      <c r="D77" s="103"/>
      <c r="E77" s="103"/>
      <c r="F77" s="103"/>
      <c r="G77" s="103"/>
      <c r="H77" s="103"/>
      <c r="I77" s="103"/>
      <c r="J77" s="103"/>
      <c r="K77" s="103"/>
      <c r="L77" s="103"/>
      <c r="M77" s="103"/>
      <c r="N77" s="103"/>
      <c r="O77" s="103"/>
      <c r="P77" s="103"/>
      <c r="Q77" s="103"/>
      <c r="R77" s="103"/>
      <c r="S77" s="104"/>
      <c r="U77" s="102"/>
      <c r="V77" s="103"/>
      <c r="W77" s="103"/>
      <c r="X77" s="103"/>
      <c r="Y77" s="103"/>
      <c r="Z77" s="103"/>
      <c r="AA77" s="103"/>
      <c r="AB77" s="103"/>
      <c r="AC77" s="103"/>
      <c r="AD77" s="103"/>
      <c r="AE77" s="103"/>
      <c r="AF77" s="103"/>
      <c r="AG77" s="103"/>
      <c r="AH77" s="103"/>
      <c r="AI77" s="103"/>
      <c r="AJ77" s="103"/>
      <c r="AK77" s="103"/>
      <c r="AL77" s="103"/>
      <c r="AM77" s="103"/>
      <c r="AN77" s="103"/>
      <c r="AO77" s="104"/>
    </row>
    <row r="78" customFormat="false" ht="10.5" hidden="false" customHeight="true" outlineLevel="0" collapsed="false">
      <c r="A78" s="105"/>
      <c r="B78" s="106"/>
      <c r="C78" s="106"/>
      <c r="D78" s="106"/>
      <c r="E78" s="106"/>
      <c r="F78" s="106"/>
      <c r="G78" s="106"/>
      <c r="H78" s="106"/>
      <c r="I78" s="106"/>
      <c r="J78" s="106"/>
      <c r="K78" s="106"/>
      <c r="L78" s="106"/>
      <c r="M78" s="106"/>
      <c r="N78" s="106"/>
      <c r="O78" s="106"/>
      <c r="P78" s="106"/>
      <c r="Q78" s="106"/>
      <c r="R78" s="106"/>
      <c r="S78" s="107"/>
      <c r="U78" s="105"/>
      <c r="V78" s="106"/>
      <c r="W78" s="106"/>
      <c r="X78" s="106"/>
      <c r="Y78" s="106"/>
      <c r="Z78" s="106"/>
      <c r="AA78" s="106"/>
      <c r="AB78" s="106"/>
      <c r="AC78" s="106"/>
      <c r="AD78" s="106"/>
      <c r="AE78" s="106"/>
      <c r="AF78" s="106"/>
      <c r="AG78" s="106"/>
      <c r="AH78" s="106"/>
      <c r="AI78" s="106"/>
      <c r="AJ78" s="106"/>
      <c r="AK78" s="106"/>
      <c r="AL78" s="106"/>
      <c r="AM78" s="106"/>
      <c r="AN78" s="106"/>
      <c r="AO78" s="107"/>
    </row>
    <row r="79" customFormat="false" ht="10.5" hidden="false" customHeight="true" outlineLevel="0" collapsed="false">
      <c r="A79" s="105"/>
      <c r="B79" s="106" t="s">
        <v>220</v>
      </c>
      <c r="C79" s="106"/>
      <c r="D79" s="106"/>
      <c r="E79" s="106"/>
      <c r="F79" s="106"/>
      <c r="G79" s="106"/>
      <c r="H79" s="106"/>
      <c r="I79" s="106"/>
      <c r="J79" s="106"/>
      <c r="K79" s="106"/>
      <c r="L79" s="106"/>
      <c r="M79" s="106"/>
      <c r="N79" s="106"/>
      <c r="O79" s="106"/>
      <c r="P79" s="106"/>
      <c r="Q79" s="106"/>
      <c r="R79" s="106"/>
      <c r="S79" s="107"/>
      <c r="U79" s="105"/>
      <c r="V79" s="106"/>
      <c r="W79" s="106" t="s">
        <v>220</v>
      </c>
      <c r="X79" s="106"/>
      <c r="Y79" s="106"/>
      <c r="Z79" s="106"/>
      <c r="AA79" s="106"/>
      <c r="AB79" s="106"/>
      <c r="AC79" s="106"/>
      <c r="AD79" s="106"/>
      <c r="AE79" s="106"/>
      <c r="AF79" s="106"/>
      <c r="AG79" s="106"/>
      <c r="AH79" s="106"/>
      <c r="AI79" s="106"/>
      <c r="AJ79" s="106"/>
      <c r="AK79" s="106"/>
      <c r="AL79" s="106"/>
      <c r="AM79" s="106"/>
      <c r="AN79" s="106"/>
      <c r="AO79" s="107"/>
    </row>
    <row r="80" customFormat="false" ht="10.5" hidden="false" customHeight="true" outlineLevel="0" collapsed="false">
      <c r="A80" s="105"/>
      <c r="B80" s="106"/>
      <c r="C80" s="106"/>
      <c r="D80" s="106"/>
      <c r="E80" s="106"/>
      <c r="F80" s="106"/>
      <c r="G80" s="106"/>
      <c r="H80" s="106"/>
      <c r="I80" s="106"/>
      <c r="J80" s="106"/>
      <c r="K80" s="106"/>
      <c r="L80" s="106"/>
      <c r="M80" s="106"/>
      <c r="N80" s="106"/>
      <c r="O80" s="106"/>
      <c r="P80" s="106"/>
      <c r="Q80" s="106"/>
      <c r="R80" s="106"/>
      <c r="S80" s="107"/>
      <c r="U80" s="105"/>
      <c r="V80" s="106"/>
      <c r="W80" s="106"/>
      <c r="X80" s="106"/>
      <c r="Y80" s="106"/>
      <c r="Z80" s="106"/>
      <c r="AA80" s="106"/>
      <c r="AB80" s="106"/>
      <c r="AC80" s="106"/>
      <c r="AD80" s="106"/>
      <c r="AE80" s="106"/>
      <c r="AF80" s="106"/>
      <c r="AG80" s="106"/>
      <c r="AH80" s="106"/>
      <c r="AI80" s="106"/>
      <c r="AJ80" s="106"/>
      <c r="AK80" s="106"/>
      <c r="AL80" s="106"/>
      <c r="AM80" s="106"/>
      <c r="AN80" s="106"/>
      <c r="AO80" s="107"/>
    </row>
    <row r="81" customFormat="false" ht="10.5" hidden="false" customHeight="true" outlineLevel="0" collapsed="false">
      <c r="A81" s="105"/>
      <c r="B81" s="106"/>
      <c r="C81" s="106"/>
      <c r="D81" s="106"/>
      <c r="E81" s="106"/>
      <c r="F81" s="106"/>
      <c r="G81" s="106"/>
      <c r="H81" s="106"/>
      <c r="I81" s="106"/>
      <c r="J81" s="106"/>
      <c r="K81" s="106"/>
      <c r="L81" s="106"/>
      <c r="M81" s="106"/>
      <c r="N81" s="106"/>
      <c r="O81" s="106"/>
      <c r="P81" s="106"/>
      <c r="Q81" s="106"/>
      <c r="R81" s="106"/>
      <c r="S81" s="107"/>
      <c r="U81" s="105"/>
      <c r="V81" s="106"/>
      <c r="W81" s="106"/>
      <c r="X81" s="106"/>
      <c r="Y81" s="106"/>
      <c r="Z81" s="106"/>
      <c r="AA81" s="106"/>
      <c r="AB81" s="106"/>
      <c r="AC81" s="106"/>
      <c r="AD81" s="106"/>
      <c r="AE81" s="106"/>
      <c r="AF81" s="106"/>
      <c r="AG81" s="106"/>
      <c r="AH81" s="106"/>
      <c r="AI81" s="106"/>
      <c r="AJ81" s="106"/>
      <c r="AK81" s="106"/>
      <c r="AL81" s="106"/>
      <c r="AM81" s="106"/>
      <c r="AN81" s="106"/>
      <c r="AO81" s="107"/>
    </row>
    <row r="82" customFormat="false" ht="10.5" hidden="false" customHeight="true" outlineLevel="0" collapsed="false">
      <c r="A82" s="105"/>
      <c r="B82" s="106"/>
      <c r="C82" s="106"/>
      <c r="D82" s="106"/>
      <c r="E82" s="106"/>
      <c r="F82" s="106"/>
      <c r="G82" s="106"/>
      <c r="H82" s="106"/>
      <c r="I82" s="106"/>
      <c r="J82" s="106"/>
      <c r="K82" s="106"/>
      <c r="L82" s="106"/>
      <c r="M82" s="106"/>
      <c r="N82" s="106"/>
      <c r="O82" s="106"/>
      <c r="P82" s="106"/>
      <c r="Q82" s="106"/>
      <c r="R82" s="106"/>
      <c r="S82" s="107"/>
      <c r="U82" s="105"/>
      <c r="V82" s="106"/>
      <c r="W82" s="106"/>
      <c r="X82" s="106"/>
      <c r="Y82" s="106"/>
      <c r="Z82" s="106"/>
      <c r="AA82" s="106"/>
      <c r="AB82" s="106"/>
      <c r="AC82" s="106"/>
      <c r="AD82" s="106"/>
      <c r="AE82" s="106"/>
      <c r="AF82" s="106"/>
      <c r="AG82" s="106"/>
      <c r="AH82" s="106"/>
      <c r="AI82" s="106"/>
      <c r="AJ82" s="106"/>
      <c r="AK82" s="106"/>
      <c r="AL82" s="106"/>
      <c r="AM82" s="106"/>
      <c r="AN82" s="106"/>
      <c r="AO82" s="107"/>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c r="IX82" s="1"/>
      <c r="IY82" s="1"/>
      <c r="IZ82" s="1"/>
      <c r="JA82" s="1"/>
      <c r="JB82" s="1"/>
      <c r="JC82" s="1"/>
      <c r="JD82" s="1"/>
      <c r="JE82" s="1"/>
      <c r="JF82" s="1"/>
      <c r="JG82" s="1"/>
      <c r="JH82" s="1"/>
      <c r="JI82" s="1"/>
      <c r="JJ82" s="1"/>
      <c r="JK82" s="1"/>
      <c r="JL82" s="1"/>
      <c r="JM82" s="1"/>
      <c r="JN82" s="1"/>
      <c r="JO82" s="1"/>
      <c r="JP82" s="1"/>
      <c r="JQ82" s="1"/>
      <c r="JR82" s="1"/>
      <c r="JS82" s="1"/>
      <c r="JT82" s="1"/>
      <c r="JU82" s="1"/>
      <c r="JV82" s="1"/>
      <c r="JW82" s="1"/>
      <c r="JX82" s="1"/>
      <c r="JY82" s="1"/>
      <c r="JZ82" s="1"/>
      <c r="KA82" s="1"/>
      <c r="KB82" s="1"/>
      <c r="KC82" s="1"/>
      <c r="KD82" s="1"/>
      <c r="KE82" s="1"/>
      <c r="KF82" s="1"/>
      <c r="KG82" s="1"/>
      <c r="KH82" s="1"/>
      <c r="KI82" s="1"/>
      <c r="KJ82" s="1"/>
      <c r="KK82" s="1"/>
      <c r="KL82" s="1"/>
      <c r="KM82" s="1"/>
      <c r="KN82" s="1"/>
      <c r="KO82" s="1"/>
      <c r="KP82" s="1"/>
      <c r="KQ82" s="1"/>
      <c r="KR82" s="1"/>
      <c r="KS82" s="1"/>
      <c r="KT82" s="1"/>
      <c r="KU82" s="1"/>
      <c r="KV82" s="1"/>
      <c r="KW82" s="1"/>
      <c r="KX82" s="1"/>
      <c r="KY82" s="1"/>
      <c r="KZ82" s="1"/>
      <c r="LA82" s="1"/>
      <c r="LB82" s="1"/>
      <c r="LC82" s="1"/>
      <c r="LD82" s="1"/>
      <c r="LE82" s="1"/>
      <c r="LF82" s="1"/>
      <c r="LG82" s="1"/>
      <c r="LH82" s="1"/>
      <c r="LI82" s="1"/>
      <c r="LJ82" s="1"/>
      <c r="LK82" s="1"/>
      <c r="LL82" s="1"/>
      <c r="LM82" s="1"/>
      <c r="LN82" s="1"/>
      <c r="LO82" s="1"/>
      <c r="LP82" s="1"/>
      <c r="LQ82" s="1"/>
      <c r="LR82" s="1"/>
      <c r="LS82" s="1"/>
      <c r="LT82" s="1"/>
      <c r="LU82" s="1"/>
      <c r="LV82" s="1"/>
      <c r="LW82" s="1"/>
      <c r="LX82" s="1"/>
      <c r="LY82" s="1"/>
      <c r="LZ82" s="1"/>
      <c r="MA82" s="1"/>
      <c r="MB82" s="1"/>
      <c r="MC82" s="1"/>
      <c r="MD82" s="1"/>
      <c r="ME82" s="1"/>
      <c r="MF82" s="1"/>
      <c r="MG82" s="1"/>
      <c r="MH82" s="1"/>
      <c r="MI82" s="1"/>
      <c r="MJ82" s="1"/>
      <c r="MK82" s="1"/>
      <c r="ML82" s="1"/>
      <c r="MM82" s="1"/>
      <c r="MN82" s="1"/>
      <c r="MO82" s="1"/>
      <c r="MP82" s="1"/>
      <c r="MQ82" s="1"/>
      <c r="MR82" s="1"/>
      <c r="MS82" s="1"/>
      <c r="MT82" s="1"/>
      <c r="MU82" s="1"/>
      <c r="MV82" s="1"/>
      <c r="MW82" s="1"/>
      <c r="MX82" s="1"/>
      <c r="MY82" s="1"/>
      <c r="MZ82" s="1"/>
      <c r="NA82" s="1"/>
      <c r="NB82" s="1"/>
      <c r="NC82" s="1"/>
      <c r="ND82" s="1"/>
      <c r="NE82" s="1"/>
      <c r="NF82" s="1"/>
      <c r="NG82" s="1"/>
      <c r="NH82" s="1"/>
      <c r="NI82" s="1"/>
      <c r="NJ82" s="1"/>
      <c r="NK82" s="1"/>
      <c r="NL82" s="1"/>
      <c r="NM82" s="1"/>
      <c r="NN82" s="1"/>
      <c r="NO82" s="1"/>
      <c r="NP82" s="1"/>
      <c r="NQ82" s="1"/>
      <c r="NR82" s="1"/>
      <c r="NS82" s="1"/>
      <c r="NT82" s="1"/>
      <c r="NU82" s="1"/>
      <c r="NV82" s="1"/>
      <c r="NW82" s="1"/>
      <c r="NX82" s="1"/>
      <c r="NY82" s="1"/>
      <c r="NZ82" s="1"/>
      <c r="OA82" s="1"/>
      <c r="OB82" s="1"/>
      <c r="OC82" s="1"/>
      <c r="OD82" s="1"/>
      <c r="OE82" s="1"/>
      <c r="OF82" s="1"/>
      <c r="OG82" s="1"/>
      <c r="OH82" s="1"/>
      <c r="OI82" s="1"/>
      <c r="OJ82" s="1"/>
      <c r="OK82" s="1"/>
      <c r="OL82" s="1"/>
      <c r="OM82" s="1"/>
      <c r="ON82" s="1"/>
      <c r="OO82" s="1"/>
      <c r="OP82" s="1"/>
      <c r="OQ82" s="1"/>
      <c r="OR82" s="1"/>
      <c r="OS82" s="1"/>
      <c r="OT82" s="1"/>
      <c r="OU82" s="1"/>
      <c r="OV82" s="1"/>
      <c r="OW82" s="1"/>
      <c r="OX82" s="1"/>
      <c r="OY82" s="1"/>
      <c r="OZ82" s="1"/>
      <c r="PA82" s="1"/>
      <c r="PB82" s="1"/>
      <c r="PC82" s="1"/>
      <c r="PD82" s="1"/>
      <c r="PE82" s="1"/>
      <c r="PF82" s="1"/>
      <c r="PG82" s="1"/>
      <c r="PH82" s="1"/>
      <c r="PI82" s="1"/>
      <c r="PJ82" s="1"/>
      <c r="PK82" s="1"/>
      <c r="PL82" s="1"/>
      <c r="PM82" s="1"/>
      <c r="PN82" s="1"/>
      <c r="PO82" s="1"/>
      <c r="PP82" s="1"/>
      <c r="PQ82" s="1"/>
      <c r="PR82" s="1"/>
      <c r="PS82" s="1"/>
      <c r="PT82" s="1"/>
      <c r="PU82" s="1"/>
      <c r="PV82" s="1"/>
      <c r="PW82" s="1"/>
      <c r="PX82" s="1"/>
      <c r="PY82" s="1"/>
      <c r="PZ82" s="1"/>
      <c r="QA82" s="1"/>
      <c r="QB82" s="1"/>
      <c r="QC82" s="1"/>
      <c r="QD82" s="1"/>
      <c r="QE82" s="1"/>
      <c r="QF82" s="1"/>
      <c r="QG82" s="1"/>
      <c r="QH82" s="1"/>
      <c r="QI82" s="1"/>
      <c r="QJ82" s="1"/>
      <c r="QK82" s="1"/>
      <c r="QL82" s="1"/>
      <c r="QM82" s="1"/>
      <c r="QN82" s="1"/>
      <c r="QO82" s="1"/>
      <c r="QP82" s="1"/>
      <c r="QQ82" s="1"/>
      <c r="QR82" s="1"/>
      <c r="QS82" s="1"/>
      <c r="QT82" s="1"/>
      <c r="QU82" s="1"/>
      <c r="QV82" s="1"/>
      <c r="QW82" s="1"/>
      <c r="QX82" s="1"/>
      <c r="QY82" s="1"/>
      <c r="QZ82" s="1"/>
      <c r="RA82" s="1"/>
      <c r="RB82" s="1"/>
      <c r="RC82" s="1"/>
      <c r="RD82" s="1"/>
      <c r="RE82" s="1"/>
      <c r="RF82" s="1"/>
      <c r="RG82" s="1"/>
      <c r="RH82" s="1"/>
      <c r="RI82" s="1"/>
      <c r="RJ82" s="1"/>
      <c r="RK82" s="1"/>
      <c r="RL82" s="1"/>
      <c r="RM82" s="1"/>
      <c r="RN82" s="1"/>
      <c r="RO82" s="1"/>
      <c r="RP82" s="1"/>
      <c r="RQ82" s="1"/>
      <c r="RR82" s="1"/>
      <c r="RS82" s="1"/>
      <c r="RT82" s="1"/>
      <c r="RU82" s="1"/>
      <c r="RV82" s="1"/>
      <c r="RW82" s="1"/>
      <c r="RX82" s="1"/>
      <c r="RY82" s="1"/>
      <c r="RZ82" s="1"/>
      <c r="SA82" s="1"/>
      <c r="SB82" s="1"/>
      <c r="SC82" s="1"/>
      <c r="SD82" s="1"/>
      <c r="SE82" s="1"/>
      <c r="SF82" s="1"/>
      <c r="SG82" s="1"/>
      <c r="SH82" s="1"/>
      <c r="SI82" s="1"/>
      <c r="SJ82" s="1"/>
      <c r="SK82" s="1"/>
      <c r="SL82" s="1"/>
      <c r="SM82" s="1"/>
      <c r="SN82" s="1"/>
      <c r="SO82" s="1"/>
      <c r="SP82" s="1"/>
      <c r="SQ82" s="1"/>
      <c r="SR82" s="1"/>
      <c r="SS82" s="1"/>
      <c r="ST82" s="1"/>
      <c r="SU82" s="1"/>
      <c r="SV82" s="1"/>
      <c r="SW82" s="1"/>
      <c r="SX82" s="1"/>
      <c r="SY82" s="1"/>
      <c r="SZ82" s="1"/>
      <c r="TA82" s="1"/>
      <c r="TB82" s="1"/>
      <c r="TC82" s="1"/>
      <c r="TD82" s="1"/>
      <c r="TE82" s="1"/>
      <c r="TF82" s="1"/>
      <c r="TG82" s="1"/>
      <c r="TH82" s="1"/>
      <c r="TI82" s="1"/>
      <c r="TJ82" s="1"/>
      <c r="TK82" s="1"/>
      <c r="TL82" s="1"/>
      <c r="TM82" s="1"/>
      <c r="TN82" s="1"/>
      <c r="TO82" s="1"/>
      <c r="TP82" s="1"/>
      <c r="TQ82" s="1"/>
      <c r="TR82" s="1"/>
      <c r="TS82" s="1"/>
      <c r="TT82" s="1"/>
      <c r="TU82" s="1"/>
      <c r="TV82" s="1"/>
      <c r="TW82" s="1"/>
      <c r="TX82" s="1"/>
      <c r="TY82" s="1"/>
      <c r="TZ82" s="1"/>
      <c r="UA82" s="1"/>
      <c r="UB82" s="1"/>
      <c r="UC82" s="1"/>
      <c r="UD82" s="1"/>
      <c r="UE82" s="1"/>
      <c r="UF82" s="1"/>
      <c r="UG82" s="1"/>
      <c r="UH82" s="1"/>
      <c r="UI82" s="1"/>
      <c r="UJ82" s="1"/>
      <c r="UK82" s="1"/>
      <c r="UL82" s="1"/>
      <c r="UM82" s="1"/>
      <c r="UN82" s="1"/>
      <c r="UO82" s="1"/>
      <c r="UP82" s="1"/>
      <c r="UQ82" s="1"/>
      <c r="UR82" s="1"/>
      <c r="US82" s="1"/>
      <c r="UT82" s="1"/>
      <c r="UU82" s="1"/>
      <c r="UV82" s="1"/>
      <c r="UW82" s="1"/>
      <c r="UX82" s="1"/>
      <c r="UY82" s="1"/>
      <c r="UZ82" s="1"/>
      <c r="VA82" s="1"/>
      <c r="VB82" s="1"/>
      <c r="VC82" s="1"/>
      <c r="VD82" s="1"/>
      <c r="VE82" s="1"/>
      <c r="VF82" s="1"/>
      <c r="VG82" s="1"/>
      <c r="VH82" s="1"/>
      <c r="VI82" s="1"/>
      <c r="VJ82" s="1"/>
      <c r="VK82" s="1"/>
      <c r="VL82" s="1"/>
      <c r="VM82" s="1"/>
      <c r="VN82" s="1"/>
      <c r="VO82" s="1"/>
      <c r="VP82" s="1"/>
      <c r="VQ82" s="1"/>
      <c r="VR82" s="1"/>
      <c r="VS82" s="1"/>
      <c r="VT82" s="1"/>
      <c r="VU82" s="1"/>
      <c r="VV82" s="1"/>
      <c r="VW82" s="1"/>
      <c r="VX82" s="1"/>
      <c r="VY82" s="1"/>
      <c r="VZ82" s="1"/>
      <c r="WA82" s="1"/>
      <c r="WB82" s="1"/>
      <c r="WC82" s="1"/>
      <c r="WD82" s="1"/>
      <c r="WE82" s="1"/>
      <c r="WF82" s="1"/>
      <c r="WG82" s="1"/>
      <c r="WH82" s="1"/>
      <c r="WI82" s="1"/>
      <c r="WJ82" s="1"/>
      <c r="WK82" s="1"/>
      <c r="WL82" s="1"/>
      <c r="WM82" s="1"/>
      <c r="WN82" s="1"/>
      <c r="WO82" s="1"/>
      <c r="WP82" s="1"/>
      <c r="WQ82" s="1"/>
      <c r="WR82" s="1"/>
      <c r="WS82" s="1"/>
      <c r="WT82" s="1"/>
      <c r="WU82" s="1"/>
      <c r="WV82" s="1"/>
      <c r="WW82" s="1"/>
      <c r="WX82" s="1"/>
      <c r="WY82" s="1"/>
      <c r="WZ82" s="1"/>
      <c r="XA82" s="1"/>
      <c r="XB82" s="1"/>
      <c r="XC82" s="1"/>
      <c r="XD82" s="1"/>
      <c r="XE82" s="1"/>
      <c r="XF82" s="1"/>
      <c r="XG82" s="1"/>
      <c r="XH82" s="1"/>
      <c r="XI82" s="1"/>
      <c r="XJ82" s="1"/>
      <c r="XK82" s="1"/>
      <c r="XL82" s="1"/>
      <c r="XM82" s="1"/>
      <c r="XN82" s="1"/>
      <c r="XO82" s="1"/>
      <c r="XP82" s="1"/>
      <c r="XQ82" s="1"/>
      <c r="XR82" s="1"/>
      <c r="XS82" s="1"/>
      <c r="XT82" s="1"/>
      <c r="XU82" s="1"/>
      <c r="XV82" s="1"/>
      <c r="XW82" s="1"/>
      <c r="XX82" s="1"/>
      <c r="XY82" s="1"/>
      <c r="XZ82" s="1"/>
      <c r="YA82" s="1"/>
      <c r="YB82" s="1"/>
      <c r="YC82" s="1"/>
      <c r="YD82" s="1"/>
      <c r="YE82" s="1"/>
      <c r="YF82" s="1"/>
      <c r="YG82" s="1"/>
      <c r="YH82" s="1"/>
      <c r="YI82" s="1"/>
      <c r="YJ82" s="1"/>
      <c r="YK82" s="1"/>
      <c r="YL82" s="1"/>
      <c r="YM82" s="1"/>
      <c r="YN82" s="1"/>
      <c r="YO82" s="1"/>
      <c r="YP82" s="1"/>
      <c r="YQ82" s="1"/>
      <c r="YR82" s="1"/>
      <c r="YS82" s="1"/>
      <c r="YT82" s="1"/>
      <c r="YU82" s="1"/>
      <c r="YV82" s="1"/>
      <c r="YW82" s="1"/>
      <c r="YX82" s="1"/>
      <c r="YY82" s="1"/>
      <c r="YZ82" s="1"/>
      <c r="ZA82" s="1"/>
      <c r="ZB82" s="1"/>
      <c r="ZC82" s="1"/>
      <c r="ZD82" s="1"/>
      <c r="ZE82" s="1"/>
      <c r="ZF82" s="1"/>
      <c r="ZG82" s="1"/>
      <c r="ZH82" s="1"/>
      <c r="ZI82" s="1"/>
      <c r="ZJ82" s="1"/>
      <c r="ZK82" s="1"/>
      <c r="ZL82" s="1"/>
      <c r="ZM82" s="1"/>
      <c r="ZN82" s="1"/>
      <c r="ZO82" s="1"/>
      <c r="ZP82" s="1"/>
      <c r="ZQ82" s="1"/>
      <c r="ZR82" s="1"/>
      <c r="ZS82" s="1"/>
      <c r="ZT82" s="1"/>
      <c r="ZU82" s="1"/>
      <c r="ZV82" s="1"/>
      <c r="ZW82" s="1"/>
      <c r="ZX82" s="1"/>
      <c r="ZY82" s="1"/>
      <c r="ZZ82" s="1"/>
      <c r="AAA82" s="1"/>
      <c r="AAB82" s="1"/>
      <c r="AAC82" s="1"/>
      <c r="AAD82" s="1"/>
      <c r="AAE82" s="1"/>
      <c r="AAF82" s="1"/>
      <c r="AAG82" s="1"/>
      <c r="AAH82" s="1"/>
      <c r="AAI82" s="1"/>
      <c r="AAJ82" s="1"/>
      <c r="AAK82" s="1"/>
      <c r="AAL82" s="1"/>
      <c r="AAM82" s="1"/>
      <c r="AAN82" s="1"/>
      <c r="AAO82" s="1"/>
      <c r="AAP82" s="1"/>
      <c r="AAQ82" s="1"/>
      <c r="AAR82" s="1"/>
      <c r="AAS82" s="1"/>
      <c r="AAT82" s="1"/>
      <c r="AAU82" s="1"/>
      <c r="AAV82" s="1"/>
      <c r="AAW82" s="1"/>
      <c r="AAX82" s="1"/>
      <c r="AAY82" s="1"/>
      <c r="AAZ82" s="1"/>
      <c r="ABA82" s="1"/>
      <c r="ABB82" s="1"/>
      <c r="ABC82" s="1"/>
      <c r="ABD82" s="1"/>
      <c r="ABE82" s="1"/>
      <c r="ABF82" s="1"/>
      <c r="ABG82" s="1"/>
      <c r="ABH82" s="1"/>
      <c r="ABI82" s="1"/>
      <c r="ABJ82" s="1"/>
      <c r="ABK82" s="1"/>
      <c r="ABL82" s="1"/>
      <c r="ABM82" s="1"/>
      <c r="ABN82" s="1"/>
      <c r="ABO82" s="1"/>
      <c r="ABP82" s="1"/>
      <c r="ABQ82" s="1"/>
      <c r="ABR82" s="1"/>
      <c r="ABS82" s="1"/>
      <c r="ABT82" s="1"/>
      <c r="ABU82" s="1"/>
      <c r="ABV82" s="1"/>
      <c r="ABW82" s="1"/>
      <c r="ABX82" s="1"/>
      <c r="ABY82" s="1"/>
      <c r="ABZ82" s="1"/>
      <c r="ACA82" s="1"/>
      <c r="ACB82" s="1"/>
      <c r="ACC82" s="1"/>
      <c r="ACD82" s="1"/>
      <c r="ACE82" s="1"/>
      <c r="ACF82" s="1"/>
      <c r="ACG82" s="1"/>
      <c r="ACH82" s="1"/>
      <c r="ACI82" s="1"/>
      <c r="ACJ82" s="1"/>
      <c r="ACK82" s="1"/>
      <c r="ACL82" s="1"/>
      <c r="ACM82" s="1"/>
      <c r="ACN82" s="1"/>
      <c r="ACO82" s="1"/>
      <c r="ACP82" s="1"/>
      <c r="ACQ82" s="1"/>
      <c r="ACR82" s="1"/>
      <c r="ACS82" s="1"/>
      <c r="ACT82" s="1"/>
      <c r="ACU82" s="1"/>
      <c r="ACV82" s="1"/>
      <c r="ACW82" s="1"/>
      <c r="ACX82" s="1"/>
      <c r="ACY82" s="1"/>
      <c r="ACZ82" s="1"/>
      <c r="ADA82" s="1"/>
      <c r="ADB82" s="1"/>
      <c r="ADC82" s="1"/>
      <c r="ADD82" s="1"/>
      <c r="ADE82" s="1"/>
      <c r="ADF82" s="1"/>
      <c r="ADG82" s="1"/>
      <c r="ADH82" s="1"/>
      <c r="ADI82" s="1"/>
      <c r="ADJ82" s="1"/>
      <c r="ADK82" s="1"/>
      <c r="ADL82" s="1"/>
      <c r="ADM82" s="1"/>
      <c r="ADN82" s="1"/>
      <c r="ADO82" s="1"/>
      <c r="ADP82" s="1"/>
      <c r="ADQ82" s="1"/>
      <c r="ADR82" s="1"/>
      <c r="ADS82" s="1"/>
      <c r="ADT82" s="1"/>
      <c r="ADU82" s="1"/>
      <c r="ADV82" s="1"/>
      <c r="ADW82" s="1"/>
      <c r="ADX82" s="1"/>
      <c r="ADY82" s="1"/>
      <c r="ADZ82" s="1"/>
      <c r="AEA82" s="1"/>
      <c r="AEB82" s="1"/>
      <c r="AEC82" s="1"/>
      <c r="AED82" s="1"/>
      <c r="AEE82" s="1"/>
      <c r="AEF82" s="1"/>
      <c r="AEG82" s="1"/>
      <c r="AEH82" s="1"/>
      <c r="AEI82" s="1"/>
      <c r="AEJ82" s="1"/>
      <c r="AEK82" s="1"/>
      <c r="AEL82" s="1"/>
      <c r="AEM82" s="1"/>
      <c r="AEN82" s="1"/>
      <c r="AEO82" s="1"/>
      <c r="AEP82" s="1"/>
      <c r="AEQ82" s="1"/>
      <c r="AER82" s="1"/>
      <c r="AES82" s="1"/>
      <c r="AET82" s="1"/>
      <c r="AEU82" s="1"/>
      <c r="AEV82" s="1"/>
      <c r="AEW82" s="1"/>
      <c r="AEX82" s="1"/>
      <c r="AEY82" s="1"/>
      <c r="AEZ82" s="1"/>
      <c r="AFA82" s="1"/>
      <c r="AFB82" s="1"/>
      <c r="AFC82" s="1"/>
      <c r="AFD82" s="1"/>
      <c r="AFE82" s="1"/>
      <c r="AFF82" s="1"/>
      <c r="AFG82" s="1"/>
      <c r="AFH82" s="1"/>
      <c r="AFI82" s="1"/>
      <c r="AFJ82" s="1"/>
      <c r="AFK82" s="1"/>
      <c r="AFL82" s="1"/>
      <c r="AFM82" s="1"/>
      <c r="AFN82" s="1"/>
      <c r="AFO82" s="1"/>
      <c r="AFP82" s="1"/>
      <c r="AFQ82" s="1"/>
      <c r="AFR82" s="1"/>
      <c r="AFS82" s="1"/>
      <c r="AFT82" s="1"/>
      <c r="AFU82" s="1"/>
      <c r="AFV82" s="1"/>
      <c r="AFW82" s="1"/>
      <c r="AFX82" s="1"/>
      <c r="AFY82" s="1"/>
      <c r="AFZ82" s="1"/>
      <c r="AGA82" s="1"/>
      <c r="AGB82" s="1"/>
      <c r="AGC82" s="1"/>
      <c r="AGD82" s="1"/>
      <c r="AGE82" s="1"/>
      <c r="AGF82" s="1"/>
      <c r="AGG82" s="1"/>
      <c r="AGH82" s="1"/>
      <c r="AGI82" s="1"/>
      <c r="AGJ82" s="1"/>
      <c r="AGK82" s="1"/>
      <c r="AGL82" s="1"/>
      <c r="AGM82" s="1"/>
      <c r="AGN82" s="1"/>
      <c r="AGO82" s="1"/>
      <c r="AGP82" s="1"/>
      <c r="AGQ82" s="1"/>
      <c r="AGR82" s="1"/>
      <c r="AGS82" s="1"/>
      <c r="AGT82" s="1"/>
      <c r="AGU82" s="1"/>
      <c r="AGV82" s="1"/>
      <c r="AGW82" s="1"/>
      <c r="AGX82" s="1"/>
      <c r="AGY82" s="1"/>
      <c r="AGZ82" s="1"/>
      <c r="AHA82" s="1"/>
      <c r="AHB82" s="1"/>
      <c r="AHC82" s="1"/>
      <c r="AHD82" s="1"/>
      <c r="AHE82" s="1"/>
      <c r="AHF82" s="1"/>
      <c r="AHG82" s="1"/>
      <c r="AHH82" s="1"/>
      <c r="AHI82" s="1"/>
      <c r="AHJ82" s="1"/>
      <c r="AHK82" s="1"/>
      <c r="AHL82" s="1"/>
      <c r="AHM82" s="1"/>
      <c r="AHN82" s="1"/>
      <c r="AHO82" s="1"/>
      <c r="AHP82" s="1"/>
      <c r="AHQ82" s="1"/>
      <c r="AHR82" s="1"/>
      <c r="AHS82" s="1"/>
      <c r="AHT82" s="1"/>
      <c r="AHU82" s="1"/>
      <c r="AHV82" s="1"/>
      <c r="AHW82" s="1"/>
      <c r="AHX82" s="1"/>
      <c r="AHY82" s="1"/>
      <c r="AHZ82" s="1"/>
      <c r="AIA82" s="1"/>
      <c r="AIB82" s="1"/>
      <c r="AIC82" s="1"/>
      <c r="AID82" s="1"/>
      <c r="AIE82" s="1"/>
      <c r="AIF82" s="1"/>
      <c r="AIG82" s="1"/>
      <c r="AIH82" s="1"/>
      <c r="AII82" s="1"/>
      <c r="AIJ82" s="1"/>
      <c r="AIK82" s="1"/>
      <c r="AIL82" s="1"/>
      <c r="AIM82" s="1"/>
      <c r="AIN82" s="1"/>
      <c r="AIO82" s="1"/>
      <c r="AIP82" s="1"/>
      <c r="AIQ82" s="1"/>
      <c r="AIR82" s="1"/>
      <c r="AIS82" s="1"/>
      <c r="AIT82" s="1"/>
      <c r="AIU82" s="1"/>
      <c r="AIV82" s="1"/>
      <c r="AIW82" s="1"/>
      <c r="AIX82" s="1"/>
      <c r="AIY82" s="1"/>
      <c r="AIZ82" s="1"/>
      <c r="AJA82" s="1"/>
      <c r="AJB82" s="1"/>
      <c r="AJC82" s="1"/>
      <c r="AJD82" s="1"/>
      <c r="AJE82" s="1"/>
      <c r="AJF82" s="1"/>
      <c r="AJG82" s="1"/>
      <c r="AJH82" s="1"/>
      <c r="AJI82" s="1"/>
      <c r="AJJ82" s="1"/>
      <c r="AJK82" s="1"/>
      <c r="AJL82" s="1"/>
      <c r="AJM82" s="1"/>
      <c r="AJN82" s="1"/>
      <c r="AJO82" s="1"/>
      <c r="AJP82" s="1"/>
      <c r="AJQ82" s="1"/>
      <c r="AJR82" s="1"/>
      <c r="AJS82" s="1"/>
      <c r="AJT82" s="1"/>
      <c r="AJU82" s="1"/>
      <c r="AJV82" s="1"/>
      <c r="AJW82" s="1"/>
      <c r="AJX82" s="1"/>
      <c r="AJY82" s="1"/>
      <c r="AJZ82" s="1"/>
      <c r="AKA82" s="1"/>
      <c r="AKB82" s="1"/>
      <c r="AKC82" s="1"/>
      <c r="AKD82" s="1"/>
      <c r="AKE82" s="1"/>
      <c r="AKF82" s="1"/>
      <c r="AKG82" s="1"/>
      <c r="AKH82" s="1"/>
      <c r="AKI82" s="1"/>
      <c r="AKJ82" s="1"/>
      <c r="AKK82" s="1"/>
      <c r="AKL82" s="1"/>
      <c r="AKM82" s="1"/>
      <c r="AKN82" s="1"/>
      <c r="AKO82" s="1"/>
      <c r="AKP82" s="1"/>
      <c r="AKQ82" s="1"/>
      <c r="AKR82" s="1"/>
      <c r="AKS82" s="1"/>
      <c r="AKT82" s="1"/>
      <c r="AKU82" s="1"/>
      <c r="AKV82" s="1"/>
      <c r="AKW82" s="1"/>
      <c r="AKX82" s="1"/>
      <c r="AKY82" s="1"/>
      <c r="AKZ82" s="1"/>
      <c r="ALA82" s="1"/>
      <c r="ALB82" s="1"/>
      <c r="ALC82" s="1"/>
      <c r="ALD82" s="1"/>
      <c r="ALE82" s="1"/>
      <c r="ALF82" s="1"/>
      <c r="ALG82" s="1"/>
      <c r="ALH82" s="1"/>
      <c r="ALI82" s="1"/>
      <c r="ALJ82" s="1"/>
      <c r="ALK82" s="1"/>
      <c r="ALL82" s="1"/>
      <c r="ALM82" s="1"/>
      <c r="ALN82" s="1"/>
      <c r="ALO82" s="1"/>
      <c r="ALP82" s="1"/>
      <c r="ALQ82" s="1"/>
      <c r="ALR82" s="1"/>
      <c r="ALS82" s="1"/>
      <c r="ALT82" s="1"/>
      <c r="ALU82" s="1"/>
      <c r="ALV82" s="1"/>
      <c r="ALW82" s="1"/>
      <c r="ALX82" s="1"/>
      <c r="ALY82" s="1"/>
      <c r="ALZ82" s="1"/>
      <c r="AMA82" s="1"/>
      <c r="AMB82" s="1"/>
      <c r="AMC82" s="1"/>
      <c r="AMD82" s="1"/>
      <c r="AME82" s="1"/>
      <c r="AMF82" s="1"/>
      <c r="AMG82" s="1"/>
      <c r="AMH82" s="1"/>
      <c r="AMI82" s="1"/>
      <c r="AMJ82" s="1"/>
    </row>
    <row r="83" customFormat="false" ht="10.5" hidden="false" customHeight="true" outlineLevel="0" collapsed="false">
      <c r="A83" s="105"/>
      <c r="B83" s="106"/>
      <c r="C83" s="106"/>
      <c r="D83" s="106"/>
      <c r="E83" s="106"/>
      <c r="F83" s="106"/>
      <c r="G83" s="106"/>
      <c r="H83" s="106"/>
      <c r="I83" s="106"/>
      <c r="J83" s="106"/>
      <c r="K83" s="106"/>
      <c r="L83" s="106"/>
      <c r="M83" s="106"/>
      <c r="N83" s="106"/>
      <c r="O83" s="106"/>
      <c r="P83" s="106"/>
      <c r="Q83" s="106"/>
      <c r="R83" s="106"/>
      <c r="S83" s="107"/>
      <c r="U83" s="105"/>
      <c r="V83" s="106"/>
      <c r="W83" s="106"/>
      <c r="X83" s="106"/>
      <c r="Y83" s="106"/>
      <c r="Z83" s="106"/>
      <c r="AA83" s="106"/>
      <c r="AB83" s="106"/>
      <c r="AC83" s="106"/>
      <c r="AD83" s="106"/>
      <c r="AE83" s="106"/>
      <c r="AF83" s="106"/>
      <c r="AG83" s="106"/>
      <c r="AH83" s="106"/>
      <c r="AI83" s="106"/>
      <c r="AJ83" s="106"/>
      <c r="AK83" s="106"/>
      <c r="AL83" s="106"/>
      <c r="AM83" s="106"/>
      <c r="AN83" s="106"/>
      <c r="AO83" s="107"/>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c r="IX83" s="1"/>
      <c r="IY83" s="1"/>
      <c r="IZ83" s="1"/>
      <c r="JA83" s="1"/>
      <c r="JB83" s="1"/>
      <c r="JC83" s="1"/>
      <c r="JD83" s="1"/>
      <c r="JE83" s="1"/>
      <c r="JF83" s="1"/>
      <c r="JG83" s="1"/>
      <c r="JH83" s="1"/>
      <c r="JI83" s="1"/>
      <c r="JJ83" s="1"/>
      <c r="JK83" s="1"/>
      <c r="JL83" s="1"/>
      <c r="JM83" s="1"/>
      <c r="JN83" s="1"/>
      <c r="JO83" s="1"/>
      <c r="JP83" s="1"/>
      <c r="JQ83" s="1"/>
      <c r="JR83" s="1"/>
      <c r="JS83" s="1"/>
      <c r="JT83" s="1"/>
      <c r="JU83" s="1"/>
      <c r="JV83" s="1"/>
      <c r="JW83" s="1"/>
      <c r="JX83" s="1"/>
      <c r="JY83" s="1"/>
      <c r="JZ83" s="1"/>
      <c r="KA83" s="1"/>
      <c r="KB83" s="1"/>
      <c r="KC83" s="1"/>
      <c r="KD83" s="1"/>
      <c r="KE83" s="1"/>
      <c r="KF83" s="1"/>
      <c r="KG83" s="1"/>
      <c r="KH83" s="1"/>
      <c r="KI83" s="1"/>
      <c r="KJ83" s="1"/>
      <c r="KK83" s="1"/>
      <c r="KL83" s="1"/>
      <c r="KM83" s="1"/>
      <c r="KN83" s="1"/>
      <c r="KO83" s="1"/>
      <c r="KP83" s="1"/>
      <c r="KQ83" s="1"/>
      <c r="KR83" s="1"/>
      <c r="KS83" s="1"/>
      <c r="KT83" s="1"/>
      <c r="KU83" s="1"/>
      <c r="KV83" s="1"/>
      <c r="KW83" s="1"/>
      <c r="KX83" s="1"/>
      <c r="KY83" s="1"/>
      <c r="KZ83" s="1"/>
      <c r="LA83" s="1"/>
      <c r="LB83" s="1"/>
      <c r="LC83" s="1"/>
      <c r="LD83" s="1"/>
      <c r="LE83" s="1"/>
      <c r="LF83" s="1"/>
      <c r="LG83" s="1"/>
      <c r="LH83" s="1"/>
      <c r="LI83" s="1"/>
      <c r="LJ83" s="1"/>
      <c r="LK83" s="1"/>
      <c r="LL83" s="1"/>
      <c r="LM83" s="1"/>
      <c r="LN83" s="1"/>
      <c r="LO83" s="1"/>
      <c r="LP83" s="1"/>
      <c r="LQ83" s="1"/>
      <c r="LR83" s="1"/>
      <c r="LS83" s="1"/>
      <c r="LT83" s="1"/>
      <c r="LU83" s="1"/>
      <c r="LV83" s="1"/>
      <c r="LW83" s="1"/>
      <c r="LX83" s="1"/>
      <c r="LY83" s="1"/>
      <c r="LZ83" s="1"/>
      <c r="MA83" s="1"/>
      <c r="MB83" s="1"/>
      <c r="MC83" s="1"/>
      <c r="MD83" s="1"/>
      <c r="ME83" s="1"/>
      <c r="MF83" s="1"/>
      <c r="MG83" s="1"/>
      <c r="MH83" s="1"/>
      <c r="MI83" s="1"/>
      <c r="MJ83" s="1"/>
      <c r="MK83" s="1"/>
      <c r="ML83" s="1"/>
      <c r="MM83" s="1"/>
      <c r="MN83" s="1"/>
      <c r="MO83" s="1"/>
      <c r="MP83" s="1"/>
      <c r="MQ83" s="1"/>
      <c r="MR83" s="1"/>
      <c r="MS83" s="1"/>
      <c r="MT83" s="1"/>
      <c r="MU83" s="1"/>
      <c r="MV83" s="1"/>
      <c r="MW83" s="1"/>
      <c r="MX83" s="1"/>
      <c r="MY83" s="1"/>
      <c r="MZ83" s="1"/>
      <c r="NA83" s="1"/>
      <c r="NB83" s="1"/>
      <c r="NC83" s="1"/>
      <c r="ND83" s="1"/>
      <c r="NE83" s="1"/>
      <c r="NF83" s="1"/>
      <c r="NG83" s="1"/>
      <c r="NH83" s="1"/>
      <c r="NI83" s="1"/>
      <c r="NJ83" s="1"/>
      <c r="NK83" s="1"/>
      <c r="NL83" s="1"/>
      <c r="NM83" s="1"/>
      <c r="NN83" s="1"/>
      <c r="NO83" s="1"/>
      <c r="NP83" s="1"/>
      <c r="NQ83" s="1"/>
      <c r="NR83" s="1"/>
      <c r="NS83" s="1"/>
      <c r="NT83" s="1"/>
      <c r="NU83" s="1"/>
      <c r="NV83" s="1"/>
      <c r="NW83" s="1"/>
      <c r="NX83" s="1"/>
      <c r="NY83" s="1"/>
      <c r="NZ83" s="1"/>
      <c r="OA83" s="1"/>
      <c r="OB83" s="1"/>
      <c r="OC83" s="1"/>
      <c r="OD83" s="1"/>
      <c r="OE83" s="1"/>
      <c r="OF83" s="1"/>
      <c r="OG83" s="1"/>
      <c r="OH83" s="1"/>
      <c r="OI83" s="1"/>
      <c r="OJ83" s="1"/>
      <c r="OK83" s="1"/>
      <c r="OL83" s="1"/>
      <c r="OM83" s="1"/>
      <c r="ON83" s="1"/>
      <c r="OO83" s="1"/>
      <c r="OP83" s="1"/>
      <c r="OQ83" s="1"/>
      <c r="OR83" s="1"/>
      <c r="OS83" s="1"/>
      <c r="OT83" s="1"/>
      <c r="OU83" s="1"/>
      <c r="OV83" s="1"/>
      <c r="OW83" s="1"/>
      <c r="OX83" s="1"/>
      <c r="OY83" s="1"/>
      <c r="OZ83" s="1"/>
      <c r="PA83" s="1"/>
      <c r="PB83" s="1"/>
      <c r="PC83" s="1"/>
      <c r="PD83" s="1"/>
      <c r="PE83" s="1"/>
      <c r="PF83" s="1"/>
      <c r="PG83" s="1"/>
      <c r="PH83" s="1"/>
      <c r="PI83" s="1"/>
      <c r="PJ83" s="1"/>
      <c r="PK83" s="1"/>
      <c r="PL83" s="1"/>
      <c r="PM83" s="1"/>
      <c r="PN83" s="1"/>
      <c r="PO83" s="1"/>
      <c r="PP83" s="1"/>
      <c r="PQ83" s="1"/>
      <c r="PR83" s="1"/>
      <c r="PS83" s="1"/>
      <c r="PT83" s="1"/>
      <c r="PU83" s="1"/>
      <c r="PV83" s="1"/>
      <c r="PW83" s="1"/>
      <c r="PX83" s="1"/>
      <c r="PY83" s="1"/>
      <c r="PZ83" s="1"/>
      <c r="QA83" s="1"/>
      <c r="QB83" s="1"/>
      <c r="QC83" s="1"/>
      <c r="QD83" s="1"/>
      <c r="QE83" s="1"/>
      <c r="QF83" s="1"/>
      <c r="QG83" s="1"/>
      <c r="QH83" s="1"/>
      <c r="QI83" s="1"/>
      <c r="QJ83" s="1"/>
      <c r="QK83" s="1"/>
      <c r="QL83" s="1"/>
      <c r="QM83" s="1"/>
      <c r="QN83" s="1"/>
      <c r="QO83" s="1"/>
      <c r="QP83" s="1"/>
      <c r="QQ83" s="1"/>
      <c r="QR83" s="1"/>
      <c r="QS83" s="1"/>
      <c r="QT83" s="1"/>
      <c r="QU83" s="1"/>
      <c r="QV83" s="1"/>
      <c r="QW83" s="1"/>
      <c r="QX83" s="1"/>
      <c r="QY83" s="1"/>
      <c r="QZ83" s="1"/>
      <c r="RA83" s="1"/>
      <c r="RB83" s="1"/>
      <c r="RC83" s="1"/>
      <c r="RD83" s="1"/>
      <c r="RE83" s="1"/>
      <c r="RF83" s="1"/>
      <c r="RG83" s="1"/>
      <c r="RH83" s="1"/>
      <c r="RI83" s="1"/>
      <c r="RJ83" s="1"/>
      <c r="RK83" s="1"/>
      <c r="RL83" s="1"/>
      <c r="RM83" s="1"/>
      <c r="RN83" s="1"/>
      <c r="RO83" s="1"/>
      <c r="RP83" s="1"/>
      <c r="RQ83" s="1"/>
      <c r="RR83" s="1"/>
      <c r="RS83" s="1"/>
      <c r="RT83" s="1"/>
      <c r="RU83" s="1"/>
      <c r="RV83" s="1"/>
      <c r="RW83" s="1"/>
      <c r="RX83" s="1"/>
      <c r="RY83" s="1"/>
      <c r="RZ83" s="1"/>
      <c r="SA83" s="1"/>
      <c r="SB83" s="1"/>
      <c r="SC83" s="1"/>
      <c r="SD83" s="1"/>
      <c r="SE83" s="1"/>
      <c r="SF83" s="1"/>
      <c r="SG83" s="1"/>
      <c r="SH83" s="1"/>
      <c r="SI83" s="1"/>
      <c r="SJ83" s="1"/>
      <c r="SK83" s="1"/>
      <c r="SL83" s="1"/>
      <c r="SM83" s="1"/>
      <c r="SN83" s="1"/>
      <c r="SO83" s="1"/>
      <c r="SP83" s="1"/>
      <c r="SQ83" s="1"/>
      <c r="SR83" s="1"/>
      <c r="SS83" s="1"/>
      <c r="ST83" s="1"/>
      <c r="SU83" s="1"/>
      <c r="SV83" s="1"/>
      <c r="SW83" s="1"/>
      <c r="SX83" s="1"/>
      <c r="SY83" s="1"/>
      <c r="SZ83" s="1"/>
      <c r="TA83" s="1"/>
      <c r="TB83" s="1"/>
      <c r="TC83" s="1"/>
      <c r="TD83" s="1"/>
      <c r="TE83" s="1"/>
      <c r="TF83" s="1"/>
      <c r="TG83" s="1"/>
      <c r="TH83" s="1"/>
      <c r="TI83" s="1"/>
      <c r="TJ83" s="1"/>
      <c r="TK83" s="1"/>
      <c r="TL83" s="1"/>
      <c r="TM83" s="1"/>
      <c r="TN83" s="1"/>
      <c r="TO83" s="1"/>
      <c r="TP83" s="1"/>
      <c r="TQ83" s="1"/>
      <c r="TR83" s="1"/>
      <c r="TS83" s="1"/>
      <c r="TT83" s="1"/>
      <c r="TU83" s="1"/>
      <c r="TV83" s="1"/>
      <c r="TW83" s="1"/>
      <c r="TX83" s="1"/>
      <c r="TY83" s="1"/>
      <c r="TZ83" s="1"/>
      <c r="UA83" s="1"/>
      <c r="UB83" s="1"/>
      <c r="UC83" s="1"/>
      <c r="UD83" s="1"/>
      <c r="UE83" s="1"/>
      <c r="UF83" s="1"/>
      <c r="UG83" s="1"/>
      <c r="UH83" s="1"/>
      <c r="UI83" s="1"/>
      <c r="UJ83" s="1"/>
      <c r="UK83" s="1"/>
      <c r="UL83" s="1"/>
      <c r="UM83" s="1"/>
      <c r="UN83" s="1"/>
      <c r="UO83" s="1"/>
      <c r="UP83" s="1"/>
      <c r="UQ83" s="1"/>
      <c r="UR83" s="1"/>
      <c r="US83" s="1"/>
      <c r="UT83" s="1"/>
      <c r="UU83" s="1"/>
      <c r="UV83" s="1"/>
      <c r="UW83" s="1"/>
      <c r="UX83" s="1"/>
      <c r="UY83" s="1"/>
      <c r="UZ83" s="1"/>
      <c r="VA83" s="1"/>
      <c r="VB83" s="1"/>
      <c r="VC83" s="1"/>
      <c r="VD83" s="1"/>
      <c r="VE83" s="1"/>
      <c r="VF83" s="1"/>
      <c r="VG83" s="1"/>
      <c r="VH83" s="1"/>
      <c r="VI83" s="1"/>
      <c r="VJ83" s="1"/>
      <c r="VK83" s="1"/>
      <c r="VL83" s="1"/>
      <c r="VM83" s="1"/>
      <c r="VN83" s="1"/>
      <c r="VO83" s="1"/>
      <c r="VP83" s="1"/>
      <c r="VQ83" s="1"/>
      <c r="VR83" s="1"/>
      <c r="VS83" s="1"/>
      <c r="VT83" s="1"/>
      <c r="VU83" s="1"/>
      <c r="VV83" s="1"/>
      <c r="VW83" s="1"/>
      <c r="VX83" s="1"/>
      <c r="VY83" s="1"/>
      <c r="VZ83" s="1"/>
      <c r="WA83" s="1"/>
      <c r="WB83" s="1"/>
      <c r="WC83" s="1"/>
      <c r="WD83" s="1"/>
      <c r="WE83" s="1"/>
      <c r="WF83" s="1"/>
      <c r="WG83" s="1"/>
      <c r="WH83" s="1"/>
      <c r="WI83" s="1"/>
      <c r="WJ83" s="1"/>
      <c r="WK83" s="1"/>
      <c r="WL83" s="1"/>
      <c r="WM83" s="1"/>
      <c r="WN83" s="1"/>
      <c r="WO83" s="1"/>
      <c r="WP83" s="1"/>
      <c r="WQ83" s="1"/>
      <c r="WR83" s="1"/>
      <c r="WS83" s="1"/>
      <c r="WT83" s="1"/>
      <c r="WU83" s="1"/>
      <c r="WV83" s="1"/>
      <c r="WW83" s="1"/>
      <c r="WX83" s="1"/>
      <c r="WY83" s="1"/>
      <c r="WZ83" s="1"/>
      <c r="XA83" s="1"/>
      <c r="XB83" s="1"/>
      <c r="XC83" s="1"/>
      <c r="XD83" s="1"/>
      <c r="XE83" s="1"/>
      <c r="XF83" s="1"/>
      <c r="XG83" s="1"/>
      <c r="XH83" s="1"/>
      <c r="XI83" s="1"/>
      <c r="XJ83" s="1"/>
      <c r="XK83" s="1"/>
      <c r="XL83" s="1"/>
      <c r="XM83" s="1"/>
      <c r="XN83" s="1"/>
      <c r="XO83" s="1"/>
      <c r="XP83" s="1"/>
      <c r="XQ83" s="1"/>
      <c r="XR83" s="1"/>
      <c r="XS83" s="1"/>
      <c r="XT83" s="1"/>
      <c r="XU83" s="1"/>
      <c r="XV83" s="1"/>
      <c r="XW83" s="1"/>
      <c r="XX83" s="1"/>
      <c r="XY83" s="1"/>
      <c r="XZ83" s="1"/>
      <c r="YA83" s="1"/>
      <c r="YB83" s="1"/>
      <c r="YC83" s="1"/>
      <c r="YD83" s="1"/>
      <c r="YE83" s="1"/>
      <c r="YF83" s="1"/>
      <c r="YG83" s="1"/>
      <c r="YH83" s="1"/>
      <c r="YI83" s="1"/>
      <c r="YJ83" s="1"/>
      <c r="YK83" s="1"/>
      <c r="YL83" s="1"/>
      <c r="YM83" s="1"/>
      <c r="YN83" s="1"/>
      <c r="YO83" s="1"/>
      <c r="YP83" s="1"/>
      <c r="YQ83" s="1"/>
      <c r="YR83" s="1"/>
      <c r="YS83" s="1"/>
      <c r="YT83" s="1"/>
      <c r="YU83" s="1"/>
      <c r="YV83" s="1"/>
      <c r="YW83" s="1"/>
      <c r="YX83" s="1"/>
      <c r="YY83" s="1"/>
      <c r="YZ83" s="1"/>
      <c r="ZA83" s="1"/>
      <c r="ZB83" s="1"/>
      <c r="ZC83" s="1"/>
      <c r="ZD83" s="1"/>
      <c r="ZE83" s="1"/>
      <c r="ZF83" s="1"/>
      <c r="ZG83" s="1"/>
      <c r="ZH83" s="1"/>
      <c r="ZI83" s="1"/>
      <c r="ZJ83" s="1"/>
      <c r="ZK83" s="1"/>
      <c r="ZL83" s="1"/>
      <c r="ZM83" s="1"/>
      <c r="ZN83" s="1"/>
      <c r="ZO83" s="1"/>
      <c r="ZP83" s="1"/>
      <c r="ZQ83" s="1"/>
      <c r="ZR83" s="1"/>
      <c r="ZS83" s="1"/>
      <c r="ZT83" s="1"/>
      <c r="ZU83" s="1"/>
      <c r="ZV83" s="1"/>
      <c r="ZW83" s="1"/>
      <c r="ZX83" s="1"/>
      <c r="ZY83" s="1"/>
      <c r="ZZ83" s="1"/>
      <c r="AAA83" s="1"/>
      <c r="AAB83" s="1"/>
      <c r="AAC83" s="1"/>
      <c r="AAD83" s="1"/>
      <c r="AAE83" s="1"/>
      <c r="AAF83" s="1"/>
      <c r="AAG83" s="1"/>
      <c r="AAH83" s="1"/>
      <c r="AAI83" s="1"/>
      <c r="AAJ83" s="1"/>
      <c r="AAK83" s="1"/>
      <c r="AAL83" s="1"/>
      <c r="AAM83" s="1"/>
      <c r="AAN83" s="1"/>
      <c r="AAO83" s="1"/>
      <c r="AAP83" s="1"/>
      <c r="AAQ83" s="1"/>
      <c r="AAR83" s="1"/>
      <c r="AAS83" s="1"/>
      <c r="AAT83" s="1"/>
      <c r="AAU83" s="1"/>
      <c r="AAV83" s="1"/>
      <c r="AAW83" s="1"/>
      <c r="AAX83" s="1"/>
      <c r="AAY83" s="1"/>
      <c r="AAZ83" s="1"/>
      <c r="ABA83" s="1"/>
      <c r="ABB83" s="1"/>
      <c r="ABC83" s="1"/>
      <c r="ABD83" s="1"/>
      <c r="ABE83" s="1"/>
      <c r="ABF83" s="1"/>
      <c r="ABG83" s="1"/>
      <c r="ABH83" s="1"/>
      <c r="ABI83" s="1"/>
      <c r="ABJ83" s="1"/>
      <c r="ABK83" s="1"/>
      <c r="ABL83" s="1"/>
      <c r="ABM83" s="1"/>
      <c r="ABN83" s="1"/>
      <c r="ABO83" s="1"/>
      <c r="ABP83" s="1"/>
      <c r="ABQ83" s="1"/>
      <c r="ABR83" s="1"/>
      <c r="ABS83" s="1"/>
      <c r="ABT83" s="1"/>
      <c r="ABU83" s="1"/>
      <c r="ABV83" s="1"/>
      <c r="ABW83" s="1"/>
      <c r="ABX83" s="1"/>
      <c r="ABY83" s="1"/>
      <c r="ABZ83" s="1"/>
      <c r="ACA83" s="1"/>
      <c r="ACB83" s="1"/>
      <c r="ACC83" s="1"/>
      <c r="ACD83" s="1"/>
      <c r="ACE83" s="1"/>
      <c r="ACF83" s="1"/>
      <c r="ACG83" s="1"/>
      <c r="ACH83" s="1"/>
      <c r="ACI83" s="1"/>
      <c r="ACJ83" s="1"/>
      <c r="ACK83" s="1"/>
      <c r="ACL83" s="1"/>
      <c r="ACM83" s="1"/>
      <c r="ACN83" s="1"/>
      <c r="ACO83" s="1"/>
      <c r="ACP83" s="1"/>
      <c r="ACQ83" s="1"/>
      <c r="ACR83" s="1"/>
      <c r="ACS83" s="1"/>
      <c r="ACT83" s="1"/>
      <c r="ACU83" s="1"/>
      <c r="ACV83" s="1"/>
      <c r="ACW83" s="1"/>
      <c r="ACX83" s="1"/>
      <c r="ACY83" s="1"/>
      <c r="ACZ83" s="1"/>
      <c r="ADA83" s="1"/>
      <c r="ADB83" s="1"/>
      <c r="ADC83" s="1"/>
      <c r="ADD83" s="1"/>
      <c r="ADE83" s="1"/>
      <c r="ADF83" s="1"/>
      <c r="ADG83" s="1"/>
      <c r="ADH83" s="1"/>
      <c r="ADI83" s="1"/>
      <c r="ADJ83" s="1"/>
      <c r="ADK83" s="1"/>
      <c r="ADL83" s="1"/>
      <c r="ADM83" s="1"/>
      <c r="ADN83" s="1"/>
      <c r="ADO83" s="1"/>
      <c r="ADP83" s="1"/>
      <c r="ADQ83" s="1"/>
      <c r="ADR83" s="1"/>
      <c r="ADS83" s="1"/>
      <c r="ADT83" s="1"/>
      <c r="ADU83" s="1"/>
      <c r="ADV83" s="1"/>
      <c r="ADW83" s="1"/>
      <c r="ADX83" s="1"/>
      <c r="ADY83" s="1"/>
      <c r="ADZ83" s="1"/>
      <c r="AEA83" s="1"/>
      <c r="AEB83" s="1"/>
      <c r="AEC83" s="1"/>
      <c r="AED83" s="1"/>
      <c r="AEE83" s="1"/>
      <c r="AEF83" s="1"/>
      <c r="AEG83" s="1"/>
      <c r="AEH83" s="1"/>
      <c r="AEI83" s="1"/>
      <c r="AEJ83" s="1"/>
      <c r="AEK83" s="1"/>
      <c r="AEL83" s="1"/>
      <c r="AEM83" s="1"/>
      <c r="AEN83" s="1"/>
      <c r="AEO83" s="1"/>
      <c r="AEP83" s="1"/>
      <c r="AEQ83" s="1"/>
      <c r="AER83" s="1"/>
      <c r="AES83" s="1"/>
      <c r="AET83" s="1"/>
      <c r="AEU83" s="1"/>
      <c r="AEV83" s="1"/>
      <c r="AEW83" s="1"/>
      <c r="AEX83" s="1"/>
      <c r="AEY83" s="1"/>
      <c r="AEZ83" s="1"/>
      <c r="AFA83" s="1"/>
      <c r="AFB83" s="1"/>
      <c r="AFC83" s="1"/>
      <c r="AFD83" s="1"/>
      <c r="AFE83" s="1"/>
      <c r="AFF83" s="1"/>
      <c r="AFG83" s="1"/>
      <c r="AFH83" s="1"/>
      <c r="AFI83" s="1"/>
      <c r="AFJ83" s="1"/>
      <c r="AFK83" s="1"/>
      <c r="AFL83" s="1"/>
      <c r="AFM83" s="1"/>
      <c r="AFN83" s="1"/>
      <c r="AFO83" s="1"/>
      <c r="AFP83" s="1"/>
      <c r="AFQ83" s="1"/>
      <c r="AFR83" s="1"/>
      <c r="AFS83" s="1"/>
      <c r="AFT83" s="1"/>
      <c r="AFU83" s="1"/>
      <c r="AFV83" s="1"/>
      <c r="AFW83" s="1"/>
      <c r="AFX83" s="1"/>
      <c r="AFY83" s="1"/>
      <c r="AFZ83" s="1"/>
      <c r="AGA83" s="1"/>
      <c r="AGB83" s="1"/>
      <c r="AGC83" s="1"/>
      <c r="AGD83" s="1"/>
      <c r="AGE83" s="1"/>
      <c r="AGF83" s="1"/>
      <c r="AGG83" s="1"/>
      <c r="AGH83" s="1"/>
      <c r="AGI83" s="1"/>
      <c r="AGJ83" s="1"/>
      <c r="AGK83" s="1"/>
      <c r="AGL83" s="1"/>
      <c r="AGM83" s="1"/>
      <c r="AGN83" s="1"/>
      <c r="AGO83" s="1"/>
      <c r="AGP83" s="1"/>
      <c r="AGQ83" s="1"/>
      <c r="AGR83" s="1"/>
      <c r="AGS83" s="1"/>
      <c r="AGT83" s="1"/>
      <c r="AGU83" s="1"/>
      <c r="AGV83" s="1"/>
      <c r="AGW83" s="1"/>
      <c r="AGX83" s="1"/>
      <c r="AGY83" s="1"/>
      <c r="AGZ83" s="1"/>
      <c r="AHA83" s="1"/>
      <c r="AHB83" s="1"/>
      <c r="AHC83" s="1"/>
      <c r="AHD83" s="1"/>
      <c r="AHE83" s="1"/>
      <c r="AHF83" s="1"/>
      <c r="AHG83" s="1"/>
      <c r="AHH83" s="1"/>
      <c r="AHI83" s="1"/>
      <c r="AHJ83" s="1"/>
      <c r="AHK83" s="1"/>
      <c r="AHL83" s="1"/>
      <c r="AHM83" s="1"/>
      <c r="AHN83" s="1"/>
      <c r="AHO83" s="1"/>
      <c r="AHP83" s="1"/>
      <c r="AHQ83" s="1"/>
      <c r="AHR83" s="1"/>
      <c r="AHS83" s="1"/>
      <c r="AHT83" s="1"/>
      <c r="AHU83" s="1"/>
      <c r="AHV83" s="1"/>
      <c r="AHW83" s="1"/>
      <c r="AHX83" s="1"/>
      <c r="AHY83" s="1"/>
      <c r="AHZ83" s="1"/>
      <c r="AIA83" s="1"/>
      <c r="AIB83" s="1"/>
      <c r="AIC83" s="1"/>
      <c r="AID83" s="1"/>
      <c r="AIE83" s="1"/>
      <c r="AIF83" s="1"/>
      <c r="AIG83" s="1"/>
      <c r="AIH83" s="1"/>
      <c r="AII83" s="1"/>
      <c r="AIJ83" s="1"/>
      <c r="AIK83" s="1"/>
      <c r="AIL83" s="1"/>
      <c r="AIM83" s="1"/>
      <c r="AIN83" s="1"/>
      <c r="AIO83" s="1"/>
      <c r="AIP83" s="1"/>
      <c r="AIQ83" s="1"/>
      <c r="AIR83" s="1"/>
      <c r="AIS83" s="1"/>
      <c r="AIT83" s="1"/>
      <c r="AIU83" s="1"/>
      <c r="AIV83" s="1"/>
      <c r="AIW83" s="1"/>
      <c r="AIX83" s="1"/>
      <c r="AIY83" s="1"/>
      <c r="AIZ83" s="1"/>
      <c r="AJA83" s="1"/>
      <c r="AJB83" s="1"/>
      <c r="AJC83" s="1"/>
      <c r="AJD83" s="1"/>
      <c r="AJE83" s="1"/>
      <c r="AJF83" s="1"/>
      <c r="AJG83" s="1"/>
      <c r="AJH83" s="1"/>
      <c r="AJI83" s="1"/>
      <c r="AJJ83" s="1"/>
      <c r="AJK83" s="1"/>
      <c r="AJL83" s="1"/>
      <c r="AJM83" s="1"/>
      <c r="AJN83" s="1"/>
      <c r="AJO83" s="1"/>
      <c r="AJP83" s="1"/>
      <c r="AJQ83" s="1"/>
      <c r="AJR83" s="1"/>
      <c r="AJS83" s="1"/>
      <c r="AJT83" s="1"/>
      <c r="AJU83" s="1"/>
      <c r="AJV83" s="1"/>
      <c r="AJW83" s="1"/>
      <c r="AJX83" s="1"/>
      <c r="AJY83" s="1"/>
      <c r="AJZ83" s="1"/>
      <c r="AKA83" s="1"/>
      <c r="AKB83" s="1"/>
      <c r="AKC83" s="1"/>
      <c r="AKD83" s="1"/>
      <c r="AKE83" s="1"/>
      <c r="AKF83" s="1"/>
      <c r="AKG83" s="1"/>
      <c r="AKH83" s="1"/>
      <c r="AKI83" s="1"/>
      <c r="AKJ83" s="1"/>
      <c r="AKK83" s="1"/>
      <c r="AKL83" s="1"/>
      <c r="AKM83" s="1"/>
      <c r="AKN83" s="1"/>
      <c r="AKO83" s="1"/>
      <c r="AKP83" s="1"/>
      <c r="AKQ83" s="1"/>
      <c r="AKR83" s="1"/>
      <c r="AKS83" s="1"/>
      <c r="AKT83" s="1"/>
      <c r="AKU83" s="1"/>
      <c r="AKV83" s="1"/>
      <c r="AKW83" s="1"/>
      <c r="AKX83" s="1"/>
      <c r="AKY83" s="1"/>
      <c r="AKZ83" s="1"/>
      <c r="ALA83" s="1"/>
      <c r="ALB83" s="1"/>
      <c r="ALC83" s="1"/>
      <c r="ALD83" s="1"/>
      <c r="ALE83" s="1"/>
      <c r="ALF83" s="1"/>
      <c r="ALG83" s="1"/>
      <c r="ALH83" s="1"/>
      <c r="ALI83" s="1"/>
      <c r="ALJ83" s="1"/>
      <c r="ALK83" s="1"/>
      <c r="ALL83" s="1"/>
      <c r="ALM83" s="1"/>
      <c r="ALN83" s="1"/>
      <c r="ALO83" s="1"/>
      <c r="ALP83" s="1"/>
      <c r="ALQ83" s="1"/>
      <c r="ALR83" s="1"/>
      <c r="ALS83" s="1"/>
      <c r="ALT83" s="1"/>
      <c r="ALU83" s="1"/>
      <c r="ALV83" s="1"/>
      <c r="ALW83" s="1"/>
      <c r="ALX83" s="1"/>
      <c r="ALY83" s="1"/>
      <c r="ALZ83" s="1"/>
      <c r="AMA83" s="1"/>
      <c r="AMB83" s="1"/>
      <c r="AMC83" s="1"/>
      <c r="AMD83" s="1"/>
      <c r="AME83" s="1"/>
      <c r="AMF83" s="1"/>
      <c r="AMG83" s="1"/>
      <c r="AMH83" s="1"/>
      <c r="AMI83" s="1"/>
      <c r="AMJ83" s="1"/>
    </row>
    <row r="84" customFormat="false" ht="10.5" hidden="false" customHeight="true" outlineLevel="0" collapsed="false">
      <c r="A84" s="105"/>
      <c r="B84" s="106"/>
      <c r="C84" s="106"/>
      <c r="D84" s="106"/>
      <c r="E84" s="106"/>
      <c r="F84" s="106"/>
      <c r="G84" s="106"/>
      <c r="H84" s="106"/>
      <c r="I84" s="106"/>
      <c r="J84" s="106"/>
      <c r="K84" s="106"/>
      <c r="L84" s="106"/>
      <c r="M84" s="106"/>
      <c r="N84" s="106"/>
      <c r="O84" s="106"/>
      <c r="P84" s="106"/>
      <c r="Q84" s="106"/>
      <c r="R84" s="106"/>
      <c r="S84" s="107"/>
      <c r="U84" s="105"/>
      <c r="V84" s="106"/>
      <c r="W84" s="106"/>
      <c r="X84" s="106"/>
      <c r="Y84" s="106"/>
      <c r="Z84" s="106"/>
      <c r="AA84" s="106"/>
      <c r="AB84" s="106"/>
      <c r="AC84" s="106"/>
      <c r="AD84" s="106"/>
      <c r="AE84" s="106"/>
      <c r="AF84" s="106"/>
      <c r="AG84" s="106"/>
      <c r="AH84" s="106"/>
      <c r="AI84" s="106"/>
      <c r="AJ84" s="106"/>
      <c r="AK84" s="106"/>
      <c r="AL84" s="106"/>
      <c r="AM84" s="106"/>
      <c r="AN84" s="106"/>
      <c r="AO84" s="107"/>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c r="DZ84" s="1"/>
      <c r="EA84" s="1"/>
      <c r="EB84" s="1"/>
      <c r="EC84" s="1"/>
      <c r="ED84" s="1"/>
      <c r="EE84" s="1"/>
      <c r="EF84" s="1"/>
      <c r="EG84" s="1"/>
      <c r="EH84" s="1"/>
      <c r="EI84" s="1"/>
      <c r="EJ84" s="1"/>
      <c r="EK84" s="1"/>
      <c r="EL84" s="1"/>
      <c r="EM84" s="1"/>
      <c r="EN84" s="1"/>
      <c r="EO84" s="1"/>
      <c r="EP84" s="1"/>
      <c r="EQ84" s="1"/>
      <c r="ER84" s="1"/>
      <c r="ES84" s="1"/>
      <c r="ET84" s="1"/>
      <c r="EU84" s="1"/>
      <c r="EV84" s="1"/>
      <c r="EW84" s="1"/>
      <c r="EX84" s="1"/>
      <c r="EY84" s="1"/>
      <c r="EZ84" s="1"/>
      <c r="FA84" s="1"/>
      <c r="FB84" s="1"/>
      <c r="FC84" s="1"/>
      <c r="FD84" s="1"/>
      <c r="FE84" s="1"/>
      <c r="FF84" s="1"/>
      <c r="FG84" s="1"/>
      <c r="FH84" s="1"/>
      <c r="FI84" s="1"/>
      <c r="FJ84" s="1"/>
      <c r="FK84" s="1"/>
      <c r="FL84" s="1"/>
      <c r="FM84" s="1"/>
      <c r="FN84" s="1"/>
      <c r="FO84" s="1"/>
      <c r="FP84" s="1"/>
      <c r="FQ84" s="1"/>
      <c r="FR84" s="1"/>
      <c r="FS84" s="1"/>
      <c r="FT84" s="1"/>
      <c r="FU84" s="1"/>
      <c r="FV84" s="1"/>
      <c r="FW84" s="1"/>
      <c r="FX84" s="1"/>
      <c r="FY84" s="1"/>
      <c r="FZ84" s="1"/>
      <c r="GA84" s="1"/>
      <c r="GB84" s="1"/>
      <c r="GC84" s="1"/>
      <c r="GD84" s="1"/>
      <c r="GE84" s="1"/>
      <c r="GF84" s="1"/>
      <c r="GG84" s="1"/>
      <c r="GH84" s="1"/>
      <c r="GI84" s="1"/>
      <c r="GJ84" s="1"/>
      <c r="GK84" s="1"/>
      <c r="GL84" s="1"/>
      <c r="GM84" s="1"/>
      <c r="GN84" s="1"/>
      <c r="GO84" s="1"/>
      <c r="GP84" s="1"/>
      <c r="GQ84" s="1"/>
      <c r="GR84" s="1"/>
      <c r="GS84" s="1"/>
      <c r="GT84" s="1"/>
      <c r="GU84" s="1"/>
      <c r="GV84" s="1"/>
      <c r="GW84" s="1"/>
      <c r="GX84" s="1"/>
      <c r="GY84" s="1"/>
      <c r="GZ84" s="1"/>
      <c r="HA84" s="1"/>
      <c r="HB84" s="1"/>
      <c r="HC84" s="1"/>
      <c r="HD84" s="1"/>
      <c r="HE84" s="1"/>
      <c r="HF84" s="1"/>
      <c r="HG84" s="1"/>
      <c r="HH84" s="1"/>
      <c r="HI84" s="1"/>
      <c r="HJ84" s="1"/>
      <c r="HK84" s="1"/>
      <c r="HL84" s="1"/>
      <c r="HM84" s="1"/>
      <c r="HN84" s="1"/>
      <c r="HO84" s="1"/>
      <c r="HP84" s="1"/>
      <c r="HQ84" s="1"/>
      <c r="HR84" s="1"/>
      <c r="HS84" s="1"/>
      <c r="HT84" s="1"/>
      <c r="HU84" s="1"/>
      <c r="HV84" s="1"/>
      <c r="HW84" s="1"/>
      <c r="HX84" s="1"/>
      <c r="HY84" s="1"/>
      <c r="HZ84" s="1"/>
      <c r="IA84" s="1"/>
      <c r="IB84" s="1"/>
      <c r="IC84" s="1"/>
      <c r="ID84" s="1"/>
      <c r="IE84" s="1"/>
      <c r="IF84" s="1"/>
      <c r="IG84" s="1"/>
      <c r="IH84" s="1"/>
      <c r="II84" s="1"/>
      <c r="IJ84" s="1"/>
      <c r="IK84" s="1"/>
      <c r="IL84" s="1"/>
      <c r="IM84" s="1"/>
      <c r="IN84" s="1"/>
      <c r="IO84" s="1"/>
      <c r="IP84" s="1"/>
      <c r="IQ84" s="1"/>
      <c r="IR84" s="1"/>
      <c r="IS84" s="1"/>
      <c r="IT84" s="1"/>
      <c r="IU84" s="1"/>
      <c r="IV84" s="1"/>
      <c r="IW84" s="1"/>
      <c r="IX84" s="1"/>
      <c r="IY84" s="1"/>
      <c r="IZ84" s="1"/>
      <c r="JA84" s="1"/>
      <c r="JB84" s="1"/>
      <c r="JC84" s="1"/>
      <c r="JD84" s="1"/>
      <c r="JE84" s="1"/>
      <c r="JF84" s="1"/>
      <c r="JG84" s="1"/>
      <c r="JH84" s="1"/>
      <c r="JI84" s="1"/>
      <c r="JJ84" s="1"/>
      <c r="JK84" s="1"/>
      <c r="JL84" s="1"/>
      <c r="JM84" s="1"/>
      <c r="JN84" s="1"/>
      <c r="JO84" s="1"/>
      <c r="JP84" s="1"/>
      <c r="JQ84" s="1"/>
      <c r="JR84" s="1"/>
      <c r="JS84" s="1"/>
      <c r="JT84" s="1"/>
      <c r="JU84" s="1"/>
      <c r="JV84" s="1"/>
      <c r="JW84" s="1"/>
      <c r="JX84" s="1"/>
      <c r="JY84" s="1"/>
      <c r="JZ84" s="1"/>
      <c r="KA84" s="1"/>
      <c r="KB84" s="1"/>
      <c r="KC84" s="1"/>
      <c r="KD84" s="1"/>
      <c r="KE84" s="1"/>
      <c r="KF84" s="1"/>
      <c r="KG84" s="1"/>
      <c r="KH84" s="1"/>
      <c r="KI84" s="1"/>
      <c r="KJ84" s="1"/>
      <c r="KK84" s="1"/>
      <c r="KL84" s="1"/>
      <c r="KM84" s="1"/>
      <c r="KN84" s="1"/>
      <c r="KO84" s="1"/>
      <c r="KP84" s="1"/>
      <c r="KQ84" s="1"/>
      <c r="KR84" s="1"/>
      <c r="KS84" s="1"/>
      <c r="KT84" s="1"/>
      <c r="KU84" s="1"/>
      <c r="KV84" s="1"/>
      <c r="KW84" s="1"/>
      <c r="KX84" s="1"/>
      <c r="KY84" s="1"/>
      <c r="KZ84" s="1"/>
      <c r="LA84" s="1"/>
      <c r="LB84" s="1"/>
      <c r="LC84" s="1"/>
      <c r="LD84" s="1"/>
      <c r="LE84" s="1"/>
      <c r="LF84" s="1"/>
      <c r="LG84" s="1"/>
      <c r="LH84" s="1"/>
      <c r="LI84" s="1"/>
      <c r="LJ84" s="1"/>
      <c r="LK84" s="1"/>
      <c r="LL84" s="1"/>
      <c r="LM84" s="1"/>
      <c r="LN84" s="1"/>
      <c r="LO84" s="1"/>
      <c r="LP84" s="1"/>
      <c r="LQ84" s="1"/>
      <c r="LR84" s="1"/>
      <c r="LS84" s="1"/>
      <c r="LT84" s="1"/>
      <c r="LU84" s="1"/>
      <c r="LV84" s="1"/>
      <c r="LW84" s="1"/>
      <c r="LX84" s="1"/>
      <c r="LY84" s="1"/>
      <c r="LZ84" s="1"/>
      <c r="MA84" s="1"/>
      <c r="MB84" s="1"/>
      <c r="MC84" s="1"/>
      <c r="MD84" s="1"/>
      <c r="ME84" s="1"/>
      <c r="MF84" s="1"/>
      <c r="MG84" s="1"/>
      <c r="MH84" s="1"/>
      <c r="MI84" s="1"/>
      <c r="MJ84" s="1"/>
      <c r="MK84" s="1"/>
      <c r="ML84" s="1"/>
      <c r="MM84" s="1"/>
      <c r="MN84" s="1"/>
      <c r="MO84" s="1"/>
      <c r="MP84" s="1"/>
      <c r="MQ84" s="1"/>
      <c r="MR84" s="1"/>
      <c r="MS84" s="1"/>
      <c r="MT84" s="1"/>
      <c r="MU84" s="1"/>
      <c r="MV84" s="1"/>
      <c r="MW84" s="1"/>
      <c r="MX84" s="1"/>
      <c r="MY84" s="1"/>
      <c r="MZ84" s="1"/>
      <c r="NA84" s="1"/>
      <c r="NB84" s="1"/>
      <c r="NC84" s="1"/>
      <c r="ND84" s="1"/>
      <c r="NE84" s="1"/>
      <c r="NF84" s="1"/>
      <c r="NG84" s="1"/>
      <c r="NH84" s="1"/>
      <c r="NI84" s="1"/>
      <c r="NJ84" s="1"/>
      <c r="NK84" s="1"/>
      <c r="NL84" s="1"/>
      <c r="NM84" s="1"/>
      <c r="NN84" s="1"/>
      <c r="NO84" s="1"/>
      <c r="NP84" s="1"/>
      <c r="NQ84" s="1"/>
      <c r="NR84" s="1"/>
      <c r="NS84" s="1"/>
      <c r="NT84" s="1"/>
      <c r="NU84" s="1"/>
      <c r="NV84" s="1"/>
      <c r="NW84" s="1"/>
      <c r="NX84" s="1"/>
      <c r="NY84" s="1"/>
      <c r="NZ84" s="1"/>
      <c r="OA84" s="1"/>
      <c r="OB84" s="1"/>
      <c r="OC84" s="1"/>
      <c r="OD84" s="1"/>
      <c r="OE84" s="1"/>
      <c r="OF84" s="1"/>
      <c r="OG84" s="1"/>
      <c r="OH84" s="1"/>
      <c r="OI84" s="1"/>
      <c r="OJ84" s="1"/>
      <c r="OK84" s="1"/>
      <c r="OL84" s="1"/>
      <c r="OM84" s="1"/>
      <c r="ON84" s="1"/>
      <c r="OO84" s="1"/>
      <c r="OP84" s="1"/>
      <c r="OQ84" s="1"/>
      <c r="OR84" s="1"/>
      <c r="OS84" s="1"/>
      <c r="OT84" s="1"/>
      <c r="OU84" s="1"/>
      <c r="OV84" s="1"/>
      <c r="OW84" s="1"/>
      <c r="OX84" s="1"/>
      <c r="OY84" s="1"/>
      <c r="OZ84" s="1"/>
      <c r="PA84" s="1"/>
      <c r="PB84" s="1"/>
      <c r="PC84" s="1"/>
      <c r="PD84" s="1"/>
      <c r="PE84" s="1"/>
      <c r="PF84" s="1"/>
      <c r="PG84" s="1"/>
      <c r="PH84" s="1"/>
      <c r="PI84" s="1"/>
      <c r="PJ84" s="1"/>
      <c r="PK84" s="1"/>
      <c r="PL84" s="1"/>
      <c r="PM84" s="1"/>
      <c r="PN84" s="1"/>
      <c r="PO84" s="1"/>
      <c r="PP84" s="1"/>
      <c r="PQ84" s="1"/>
      <c r="PR84" s="1"/>
      <c r="PS84" s="1"/>
      <c r="PT84" s="1"/>
      <c r="PU84" s="1"/>
      <c r="PV84" s="1"/>
      <c r="PW84" s="1"/>
      <c r="PX84" s="1"/>
      <c r="PY84" s="1"/>
      <c r="PZ84" s="1"/>
      <c r="QA84" s="1"/>
      <c r="QB84" s="1"/>
      <c r="QC84" s="1"/>
      <c r="QD84" s="1"/>
      <c r="QE84" s="1"/>
      <c r="QF84" s="1"/>
      <c r="QG84" s="1"/>
      <c r="QH84" s="1"/>
      <c r="QI84" s="1"/>
      <c r="QJ84" s="1"/>
      <c r="QK84" s="1"/>
      <c r="QL84" s="1"/>
      <c r="QM84" s="1"/>
      <c r="QN84" s="1"/>
      <c r="QO84" s="1"/>
      <c r="QP84" s="1"/>
      <c r="QQ84" s="1"/>
      <c r="QR84" s="1"/>
      <c r="QS84" s="1"/>
      <c r="QT84" s="1"/>
      <c r="QU84" s="1"/>
      <c r="QV84" s="1"/>
      <c r="QW84" s="1"/>
      <c r="QX84" s="1"/>
      <c r="QY84" s="1"/>
      <c r="QZ84" s="1"/>
      <c r="RA84" s="1"/>
      <c r="RB84" s="1"/>
      <c r="RC84" s="1"/>
      <c r="RD84" s="1"/>
      <c r="RE84" s="1"/>
      <c r="RF84" s="1"/>
      <c r="RG84" s="1"/>
      <c r="RH84" s="1"/>
      <c r="RI84" s="1"/>
      <c r="RJ84" s="1"/>
      <c r="RK84" s="1"/>
      <c r="RL84" s="1"/>
      <c r="RM84" s="1"/>
      <c r="RN84" s="1"/>
      <c r="RO84" s="1"/>
      <c r="RP84" s="1"/>
      <c r="RQ84" s="1"/>
      <c r="RR84" s="1"/>
      <c r="RS84" s="1"/>
      <c r="RT84" s="1"/>
      <c r="RU84" s="1"/>
      <c r="RV84" s="1"/>
      <c r="RW84" s="1"/>
      <c r="RX84" s="1"/>
      <c r="RY84" s="1"/>
      <c r="RZ84" s="1"/>
      <c r="SA84" s="1"/>
      <c r="SB84" s="1"/>
      <c r="SC84" s="1"/>
      <c r="SD84" s="1"/>
      <c r="SE84" s="1"/>
      <c r="SF84" s="1"/>
      <c r="SG84" s="1"/>
      <c r="SH84" s="1"/>
      <c r="SI84" s="1"/>
      <c r="SJ84" s="1"/>
      <c r="SK84" s="1"/>
      <c r="SL84" s="1"/>
      <c r="SM84" s="1"/>
      <c r="SN84" s="1"/>
      <c r="SO84" s="1"/>
      <c r="SP84" s="1"/>
      <c r="SQ84" s="1"/>
      <c r="SR84" s="1"/>
      <c r="SS84" s="1"/>
      <c r="ST84" s="1"/>
      <c r="SU84" s="1"/>
      <c r="SV84" s="1"/>
      <c r="SW84" s="1"/>
      <c r="SX84" s="1"/>
      <c r="SY84" s="1"/>
      <c r="SZ84" s="1"/>
      <c r="TA84" s="1"/>
      <c r="TB84" s="1"/>
      <c r="TC84" s="1"/>
      <c r="TD84" s="1"/>
      <c r="TE84" s="1"/>
      <c r="TF84" s="1"/>
      <c r="TG84" s="1"/>
      <c r="TH84" s="1"/>
      <c r="TI84" s="1"/>
      <c r="TJ84" s="1"/>
      <c r="TK84" s="1"/>
      <c r="TL84" s="1"/>
      <c r="TM84" s="1"/>
      <c r="TN84" s="1"/>
      <c r="TO84" s="1"/>
      <c r="TP84" s="1"/>
      <c r="TQ84" s="1"/>
      <c r="TR84" s="1"/>
      <c r="TS84" s="1"/>
      <c r="TT84" s="1"/>
      <c r="TU84" s="1"/>
      <c r="TV84" s="1"/>
      <c r="TW84" s="1"/>
      <c r="TX84" s="1"/>
      <c r="TY84" s="1"/>
      <c r="TZ84" s="1"/>
      <c r="UA84" s="1"/>
      <c r="UB84" s="1"/>
      <c r="UC84" s="1"/>
      <c r="UD84" s="1"/>
      <c r="UE84" s="1"/>
      <c r="UF84" s="1"/>
      <c r="UG84" s="1"/>
      <c r="UH84" s="1"/>
      <c r="UI84" s="1"/>
      <c r="UJ84" s="1"/>
      <c r="UK84" s="1"/>
      <c r="UL84" s="1"/>
      <c r="UM84" s="1"/>
      <c r="UN84" s="1"/>
      <c r="UO84" s="1"/>
      <c r="UP84" s="1"/>
      <c r="UQ84" s="1"/>
      <c r="UR84" s="1"/>
      <c r="US84" s="1"/>
      <c r="UT84" s="1"/>
      <c r="UU84" s="1"/>
      <c r="UV84" s="1"/>
      <c r="UW84" s="1"/>
      <c r="UX84" s="1"/>
      <c r="UY84" s="1"/>
      <c r="UZ84" s="1"/>
      <c r="VA84" s="1"/>
      <c r="VB84" s="1"/>
      <c r="VC84" s="1"/>
      <c r="VD84" s="1"/>
      <c r="VE84" s="1"/>
      <c r="VF84" s="1"/>
      <c r="VG84" s="1"/>
      <c r="VH84" s="1"/>
      <c r="VI84" s="1"/>
      <c r="VJ84" s="1"/>
      <c r="VK84" s="1"/>
      <c r="VL84" s="1"/>
      <c r="VM84" s="1"/>
      <c r="VN84" s="1"/>
      <c r="VO84" s="1"/>
      <c r="VP84" s="1"/>
      <c r="VQ84" s="1"/>
      <c r="VR84" s="1"/>
      <c r="VS84" s="1"/>
      <c r="VT84" s="1"/>
      <c r="VU84" s="1"/>
      <c r="VV84" s="1"/>
      <c r="VW84" s="1"/>
      <c r="VX84" s="1"/>
      <c r="VY84" s="1"/>
      <c r="VZ84" s="1"/>
      <c r="WA84" s="1"/>
      <c r="WB84" s="1"/>
      <c r="WC84" s="1"/>
      <c r="WD84" s="1"/>
      <c r="WE84" s="1"/>
      <c r="WF84" s="1"/>
      <c r="WG84" s="1"/>
      <c r="WH84" s="1"/>
      <c r="WI84" s="1"/>
      <c r="WJ84" s="1"/>
      <c r="WK84" s="1"/>
      <c r="WL84" s="1"/>
      <c r="WM84" s="1"/>
      <c r="WN84" s="1"/>
      <c r="WO84" s="1"/>
      <c r="WP84" s="1"/>
      <c r="WQ84" s="1"/>
      <c r="WR84" s="1"/>
      <c r="WS84" s="1"/>
      <c r="WT84" s="1"/>
      <c r="WU84" s="1"/>
      <c r="WV84" s="1"/>
      <c r="WW84" s="1"/>
      <c r="WX84" s="1"/>
      <c r="WY84" s="1"/>
      <c r="WZ84" s="1"/>
      <c r="XA84" s="1"/>
      <c r="XB84" s="1"/>
      <c r="XC84" s="1"/>
      <c r="XD84" s="1"/>
      <c r="XE84" s="1"/>
      <c r="XF84" s="1"/>
      <c r="XG84" s="1"/>
      <c r="XH84" s="1"/>
      <c r="XI84" s="1"/>
      <c r="XJ84" s="1"/>
      <c r="XK84" s="1"/>
      <c r="XL84" s="1"/>
      <c r="XM84" s="1"/>
      <c r="XN84" s="1"/>
      <c r="XO84" s="1"/>
      <c r="XP84" s="1"/>
      <c r="XQ84" s="1"/>
      <c r="XR84" s="1"/>
      <c r="XS84" s="1"/>
      <c r="XT84" s="1"/>
      <c r="XU84" s="1"/>
      <c r="XV84" s="1"/>
      <c r="XW84" s="1"/>
      <c r="XX84" s="1"/>
      <c r="XY84" s="1"/>
      <c r="XZ84" s="1"/>
      <c r="YA84" s="1"/>
      <c r="YB84" s="1"/>
      <c r="YC84" s="1"/>
      <c r="YD84" s="1"/>
      <c r="YE84" s="1"/>
      <c r="YF84" s="1"/>
      <c r="YG84" s="1"/>
      <c r="YH84" s="1"/>
      <c r="YI84" s="1"/>
      <c r="YJ84" s="1"/>
      <c r="YK84" s="1"/>
      <c r="YL84" s="1"/>
      <c r="YM84" s="1"/>
      <c r="YN84" s="1"/>
      <c r="YO84" s="1"/>
      <c r="YP84" s="1"/>
      <c r="YQ84" s="1"/>
      <c r="YR84" s="1"/>
      <c r="YS84" s="1"/>
      <c r="YT84" s="1"/>
      <c r="YU84" s="1"/>
      <c r="YV84" s="1"/>
      <c r="YW84" s="1"/>
      <c r="YX84" s="1"/>
      <c r="YY84" s="1"/>
      <c r="YZ84" s="1"/>
      <c r="ZA84" s="1"/>
      <c r="ZB84" s="1"/>
      <c r="ZC84" s="1"/>
      <c r="ZD84" s="1"/>
      <c r="ZE84" s="1"/>
      <c r="ZF84" s="1"/>
      <c r="ZG84" s="1"/>
      <c r="ZH84" s="1"/>
      <c r="ZI84" s="1"/>
      <c r="ZJ84" s="1"/>
      <c r="ZK84" s="1"/>
      <c r="ZL84" s="1"/>
      <c r="ZM84" s="1"/>
      <c r="ZN84" s="1"/>
      <c r="ZO84" s="1"/>
      <c r="ZP84" s="1"/>
      <c r="ZQ84" s="1"/>
      <c r="ZR84" s="1"/>
      <c r="ZS84" s="1"/>
      <c r="ZT84" s="1"/>
      <c r="ZU84" s="1"/>
      <c r="ZV84" s="1"/>
      <c r="ZW84" s="1"/>
      <c r="ZX84" s="1"/>
      <c r="ZY84" s="1"/>
      <c r="ZZ84" s="1"/>
      <c r="AAA84" s="1"/>
      <c r="AAB84" s="1"/>
      <c r="AAC84" s="1"/>
      <c r="AAD84" s="1"/>
      <c r="AAE84" s="1"/>
      <c r="AAF84" s="1"/>
      <c r="AAG84" s="1"/>
      <c r="AAH84" s="1"/>
      <c r="AAI84" s="1"/>
      <c r="AAJ84" s="1"/>
      <c r="AAK84" s="1"/>
      <c r="AAL84" s="1"/>
      <c r="AAM84" s="1"/>
      <c r="AAN84" s="1"/>
      <c r="AAO84" s="1"/>
      <c r="AAP84" s="1"/>
      <c r="AAQ84" s="1"/>
      <c r="AAR84" s="1"/>
      <c r="AAS84" s="1"/>
      <c r="AAT84" s="1"/>
      <c r="AAU84" s="1"/>
      <c r="AAV84" s="1"/>
      <c r="AAW84" s="1"/>
      <c r="AAX84" s="1"/>
      <c r="AAY84" s="1"/>
      <c r="AAZ84" s="1"/>
      <c r="ABA84" s="1"/>
      <c r="ABB84" s="1"/>
      <c r="ABC84" s="1"/>
      <c r="ABD84" s="1"/>
      <c r="ABE84" s="1"/>
      <c r="ABF84" s="1"/>
      <c r="ABG84" s="1"/>
      <c r="ABH84" s="1"/>
      <c r="ABI84" s="1"/>
      <c r="ABJ84" s="1"/>
      <c r="ABK84" s="1"/>
      <c r="ABL84" s="1"/>
      <c r="ABM84" s="1"/>
      <c r="ABN84" s="1"/>
      <c r="ABO84" s="1"/>
      <c r="ABP84" s="1"/>
      <c r="ABQ84" s="1"/>
      <c r="ABR84" s="1"/>
      <c r="ABS84" s="1"/>
      <c r="ABT84" s="1"/>
      <c r="ABU84" s="1"/>
      <c r="ABV84" s="1"/>
      <c r="ABW84" s="1"/>
      <c r="ABX84" s="1"/>
      <c r="ABY84" s="1"/>
      <c r="ABZ84" s="1"/>
      <c r="ACA84" s="1"/>
      <c r="ACB84" s="1"/>
      <c r="ACC84" s="1"/>
      <c r="ACD84" s="1"/>
      <c r="ACE84" s="1"/>
      <c r="ACF84" s="1"/>
      <c r="ACG84" s="1"/>
      <c r="ACH84" s="1"/>
      <c r="ACI84" s="1"/>
      <c r="ACJ84" s="1"/>
      <c r="ACK84" s="1"/>
      <c r="ACL84" s="1"/>
      <c r="ACM84" s="1"/>
      <c r="ACN84" s="1"/>
      <c r="ACO84" s="1"/>
      <c r="ACP84" s="1"/>
      <c r="ACQ84" s="1"/>
      <c r="ACR84" s="1"/>
      <c r="ACS84" s="1"/>
      <c r="ACT84" s="1"/>
      <c r="ACU84" s="1"/>
      <c r="ACV84" s="1"/>
      <c r="ACW84" s="1"/>
      <c r="ACX84" s="1"/>
      <c r="ACY84" s="1"/>
      <c r="ACZ84" s="1"/>
      <c r="ADA84" s="1"/>
      <c r="ADB84" s="1"/>
      <c r="ADC84" s="1"/>
      <c r="ADD84" s="1"/>
      <c r="ADE84" s="1"/>
      <c r="ADF84" s="1"/>
      <c r="ADG84" s="1"/>
      <c r="ADH84" s="1"/>
      <c r="ADI84" s="1"/>
      <c r="ADJ84" s="1"/>
      <c r="ADK84" s="1"/>
      <c r="ADL84" s="1"/>
      <c r="ADM84" s="1"/>
      <c r="ADN84" s="1"/>
      <c r="ADO84" s="1"/>
      <c r="ADP84" s="1"/>
      <c r="ADQ84" s="1"/>
      <c r="ADR84" s="1"/>
      <c r="ADS84" s="1"/>
      <c r="ADT84" s="1"/>
      <c r="ADU84" s="1"/>
      <c r="ADV84" s="1"/>
      <c r="ADW84" s="1"/>
      <c r="ADX84" s="1"/>
      <c r="ADY84" s="1"/>
      <c r="ADZ84" s="1"/>
      <c r="AEA84" s="1"/>
      <c r="AEB84" s="1"/>
      <c r="AEC84" s="1"/>
      <c r="AED84" s="1"/>
      <c r="AEE84" s="1"/>
      <c r="AEF84" s="1"/>
      <c r="AEG84" s="1"/>
      <c r="AEH84" s="1"/>
      <c r="AEI84" s="1"/>
      <c r="AEJ84" s="1"/>
      <c r="AEK84" s="1"/>
      <c r="AEL84" s="1"/>
      <c r="AEM84" s="1"/>
      <c r="AEN84" s="1"/>
      <c r="AEO84" s="1"/>
      <c r="AEP84" s="1"/>
      <c r="AEQ84" s="1"/>
      <c r="AER84" s="1"/>
      <c r="AES84" s="1"/>
      <c r="AET84" s="1"/>
      <c r="AEU84" s="1"/>
      <c r="AEV84" s="1"/>
      <c r="AEW84" s="1"/>
      <c r="AEX84" s="1"/>
      <c r="AEY84" s="1"/>
      <c r="AEZ84" s="1"/>
      <c r="AFA84" s="1"/>
      <c r="AFB84" s="1"/>
      <c r="AFC84" s="1"/>
      <c r="AFD84" s="1"/>
      <c r="AFE84" s="1"/>
      <c r="AFF84" s="1"/>
      <c r="AFG84" s="1"/>
      <c r="AFH84" s="1"/>
      <c r="AFI84" s="1"/>
      <c r="AFJ84" s="1"/>
      <c r="AFK84" s="1"/>
      <c r="AFL84" s="1"/>
      <c r="AFM84" s="1"/>
      <c r="AFN84" s="1"/>
      <c r="AFO84" s="1"/>
      <c r="AFP84" s="1"/>
      <c r="AFQ84" s="1"/>
      <c r="AFR84" s="1"/>
      <c r="AFS84" s="1"/>
      <c r="AFT84" s="1"/>
      <c r="AFU84" s="1"/>
      <c r="AFV84" s="1"/>
      <c r="AFW84" s="1"/>
      <c r="AFX84" s="1"/>
      <c r="AFY84" s="1"/>
      <c r="AFZ84" s="1"/>
      <c r="AGA84" s="1"/>
      <c r="AGB84" s="1"/>
      <c r="AGC84" s="1"/>
      <c r="AGD84" s="1"/>
      <c r="AGE84" s="1"/>
      <c r="AGF84" s="1"/>
      <c r="AGG84" s="1"/>
      <c r="AGH84" s="1"/>
      <c r="AGI84" s="1"/>
      <c r="AGJ84" s="1"/>
      <c r="AGK84" s="1"/>
      <c r="AGL84" s="1"/>
      <c r="AGM84" s="1"/>
      <c r="AGN84" s="1"/>
      <c r="AGO84" s="1"/>
      <c r="AGP84" s="1"/>
      <c r="AGQ84" s="1"/>
      <c r="AGR84" s="1"/>
      <c r="AGS84" s="1"/>
      <c r="AGT84" s="1"/>
      <c r="AGU84" s="1"/>
      <c r="AGV84" s="1"/>
      <c r="AGW84" s="1"/>
      <c r="AGX84" s="1"/>
      <c r="AGY84" s="1"/>
      <c r="AGZ84" s="1"/>
      <c r="AHA84" s="1"/>
      <c r="AHB84" s="1"/>
      <c r="AHC84" s="1"/>
      <c r="AHD84" s="1"/>
      <c r="AHE84" s="1"/>
      <c r="AHF84" s="1"/>
      <c r="AHG84" s="1"/>
      <c r="AHH84" s="1"/>
      <c r="AHI84" s="1"/>
      <c r="AHJ84" s="1"/>
      <c r="AHK84" s="1"/>
      <c r="AHL84" s="1"/>
      <c r="AHM84" s="1"/>
      <c r="AHN84" s="1"/>
      <c r="AHO84" s="1"/>
      <c r="AHP84" s="1"/>
      <c r="AHQ84" s="1"/>
      <c r="AHR84" s="1"/>
      <c r="AHS84" s="1"/>
      <c r="AHT84" s="1"/>
      <c r="AHU84" s="1"/>
      <c r="AHV84" s="1"/>
      <c r="AHW84" s="1"/>
      <c r="AHX84" s="1"/>
      <c r="AHY84" s="1"/>
      <c r="AHZ84" s="1"/>
      <c r="AIA84" s="1"/>
      <c r="AIB84" s="1"/>
      <c r="AIC84" s="1"/>
      <c r="AID84" s="1"/>
      <c r="AIE84" s="1"/>
      <c r="AIF84" s="1"/>
      <c r="AIG84" s="1"/>
      <c r="AIH84" s="1"/>
      <c r="AII84" s="1"/>
      <c r="AIJ84" s="1"/>
      <c r="AIK84" s="1"/>
      <c r="AIL84" s="1"/>
      <c r="AIM84" s="1"/>
      <c r="AIN84" s="1"/>
      <c r="AIO84" s="1"/>
      <c r="AIP84" s="1"/>
      <c r="AIQ84" s="1"/>
      <c r="AIR84" s="1"/>
      <c r="AIS84" s="1"/>
      <c r="AIT84" s="1"/>
      <c r="AIU84" s="1"/>
      <c r="AIV84" s="1"/>
      <c r="AIW84" s="1"/>
      <c r="AIX84" s="1"/>
      <c r="AIY84" s="1"/>
      <c r="AIZ84" s="1"/>
      <c r="AJA84" s="1"/>
      <c r="AJB84" s="1"/>
      <c r="AJC84" s="1"/>
      <c r="AJD84" s="1"/>
      <c r="AJE84" s="1"/>
      <c r="AJF84" s="1"/>
      <c r="AJG84" s="1"/>
      <c r="AJH84" s="1"/>
      <c r="AJI84" s="1"/>
      <c r="AJJ84" s="1"/>
      <c r="AJK84" s="1"/>
      <c r="AJL84" s="1"/>
      <c r="AJM84" s="1"/>
      <c r="AJN84" s="1"/>
      <c r="AJO84" s="1"/>
      <c r="AJP84" s="1"/>
      <c r="AJQ84" s="1"/>
      <c r="AJR84" s="1"/>
      <c r="AJS84" s="1"/>
      <c r="AJT84" s="1"/>
      <c r="AJU84" s="1"/>
      <c r="AJV84" s="1"/>
      <c r="AJW84" s="1"/>
      <c r="AJX84" s="1"/>
      <c r="AJY84" s="1"/>
      <c r="AJZ84" s="1"/>
      <c r="AKA84" s="1"/>
      <c r="AKB84" s="1"/>
      <c r="AKC84" s="1"/>
      <c r="AKD84" s="1"/>
      <c r="AKE84" s="1"/>
      <c r="AKF84" s="1"/>
      <c r="AKG84" s="1"/>
      <c r="AKH84" s="1"/>
      <c r="AKI84" s="1"/>
      <c r="AKJ84" s="1"/>
      <c r="AKK84" s="1"/>
      <c r="AKL84" s="1"/>
      <c r="AKM84" s="1"/>
      <c r="AKN84" s="1"/>
      <c r="AKO84" s="1"/>
      <c r="AKP84" s="1"/>
      <c r="AKQ84" s="1"/>
      <c r="AKR84" s="1"/>
      <c r="AKS84" s="1"/>
      <c r="AKT84" s="1"/>
      <c r="AKU84" s="1"/>
      <c r="AKV84" s="1"/>
      <c r="AKW84" s="1"/>
      <c r="AKX84" s="1"/>
      <c r="AKY84" s="1"/>
      <c r="AKZ84" s="1"/>
      <c r="ALA84" s="1"/>
      <c r="ALB84" s="1"/>
      <c r="ALC84" s="1"/>
      <c r="ALD84" s="1"/>
      <c r="ALE84" s="1"/>
      <c r="ALF84" s="1"/>
      <c r="ALG84" s="1"/>
      <c r="ALH84" s="1"/>
      <c r="ALI84" s="1"/>
      <c r="ALJ84" s="1"/>
      <c r="ALK84" s="1"/>
      <c r="ALL84" s="1"/>
      <c r="ALM84" s="1"/>
      <c r="ALN84" s="1"/>
      <c r="ALO84" s="1"/>
      <c r="ALP84" s="1"/>
      <c r="ALQ84" s="1"/>
      <c r="ALR84" s="1"/>
      <c r="ALS84" s="1"/>
      <c r="ALT84" s="1"/>
      <c r="ALU84" s="1"/>
      <c r="ALV84" s="1"/>
      <c r="ALW84" s="1"/>
      <c r="ALX84" s="1"/>
      <c r="ALY84" s="1"/>
      <c r="ALZ84" s="1"/>
      <c r="AMA84" s="1"/>
      <c r="AMB84" s="1"/>
      <c r="AMC84" s="1"/>
      <c r="AMD84" s="1"/>
      <c r="AME84" s="1"/>
      <c r="AMF84" s="1"/>
      <c r="AMG84" s="1"/>
      <c r="AMH84" s="1"/>
      <c r="AMI84" s="1"/>
      <c r="AMJ84" s="1"/>
    </row>
    <row r="85" customFormat="false" ht="10.5" hidden="false" customHeight="true" outlineLevel="0" collapsed="false">
      <c r="A85" s="105"/>
      <c r="B85" s="106"/>
      <c r="C85" s="106"/>
      <c r="D85" s="106"/>
      <c r="E85" s="106"/>
      <c r="F85" s="106"/>
      <c r="G85" s="106"/>
      <c r="H85" s="106"/>
      <c r="I85" s="106"/>
      <c r="J85" s="106"/>
      <c r="K85" s="106"/>
      <c r="L85" s="106"/>
      <c r="M85" s="106"/>
      <c r="N85" s="106"/>
      <c r="O85" s="106"/>
      <c r="P85" s="106"/>
      <c r="Q85" s="106"/>
      <c r="R85" s="106"/>
      <c r="S85" s="108"/>
      <c r="U85" s="105"/>
      <c r="V85" s="106"/>
      <c r="W85" s="106"/>
      <c r="X85" s="106"/>
      <c r="Y85" s="106"/>
      <c r="Z85" s="106"/>
      <c r="AA85" s="106"/>
      <c r="AB85" s="106"/>
      <c r="AC85" s="106"/>
      <c r="AD85" s="106"/>
      <c r="AE85" s="106"/>
      <c r="AF85" s="106"/>
      <c r="AG85" s="106"/>
      <c r="AH85" s="106"/>
      <c r="AI85" s="106"/>
      <c r="AJ85" s="106"/>
      <c r="AK85" s="106"/>
      <c r="AL85" s="106"/>
      <c r="AM85" s="106"/>
      <c r="AN85" s="106"/>
      <c r="AO85" s="107"/>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c r="IX85" s="1"/>
      <c r="IY85" s="1"/>
      <c r="IZ85" s="1"/>
      <c r="JA85" s="1"/>
      <c r="JB85" s="1"/>
      <c r="JC85" s="1"/>
      <c r="JD85" s="1"/>
      <c r="JE85" s="1"/>
      <c r="JF85" s="1"/>
      <c r="JG85" s="1"/>
      <c r="JH85" s="1"/>
      <c r="JI85" s="1"/>
      <c r="JJ85" s="1"/>
      <c r="JK85" s="1"/>
      <c r="JL85" s="1"/>
      <c r="JM85" s="1"/>
      <c r="JN85" s="1"/>
      <c r="JO85" s="1"/>
      <c r="JP85" s="1"/>
      <c r="JQ85" s="1"/>
      <c r="JR85" s="1"/>
      <c r="JS85" s="1"/>
      <c r="JT85" s="1"/>
      <c r="JU85" s="1"/>
      <c r="JV85" s="1"/>
      <c r="JW85" s="1"/>
      <c r="JX85" s="1"/>
      <c r="JY85" s="1"/>
      <c r="JZ85" s="1"/>
      <c r="KA85" s="1"/>
      <c r="KB85" s="1"/>
      <c r="KC85" s="1"/>
      <c r="KD85" s="1"/>
      <c r="KE85" s="1"/>
      <c r="KF85" s="1"/>
      <c r="KG85" s="1"/>
      <c r="KH85" s="1"/>
      <c r="KI85" s="1"/>
      <c r="KJ85" s="1"/>
      <c r="KK85" s="1"/>
      <c r="KL85" s="1"/>
      <c r="KM85" s="1"/>
      <c r="KN85" s="1"/>
      <c r="KO85" s="1"/>
      <c r="KP85" s="1"/>
      <c r="KQ85" s="1"/>
      <c r="KR85" s="1"/>
      <c r="KS85" s="1"/>
      <c r="KT85" s="1"/>
      <c r="KU85" s="1"/>
      <c r="KV85" s="1"/>
      <c r="KW85" s="1"/>
      <c r="KX85" s="1"/>
      <c r="KY85" s="1"/>
      <c r="KZ85" s="1"/>
      <c r="LA85" s="1"/>
      <c r="LB85" s="1"/>
      <c r="LC85" s="1"/>
      <c r="LD85" s="1"/>
      <c r="LE85" s="1"/>
      <c r="LF85" s="1"/>
      <c r="LG85" s="1"/>
      <c r="LH85" s="1"/>
      <c r="LI85" s="1"/>
      <c r="LJ85" s="1"/>
      <c r="LK85" s="1"/>
      <c r="LL85" s="1"/>
      <c r="LM85" s="1"/>
      <c r="LN85" s="1"/>
      <c r="LO85" s="1"/>
      <c r="LP85" s="1"/>
      <c r="LQ85" s="1"/>
      <c r="LR85" s="1"/>
      <c r="LS85" s="1"/>
      <c r="LT85" s="1"/>
      <c r="LU85" s="1"/>
      <c r="LV85" s="1"/>
      <c r="LW85" s="1"/>
      <c r="LX85" s="1"/>
      <c r="LY85" s="1"/>
      <c r="LZ85" s="1"/>
      <c r="MA85" s="1"/>
      <c r="MB85" s="1"/>
      <c r="MC85" s="1"/>
      <c r="MD85" s="1"/>
      <c r="ME85" s="1"/>
      <c r="MF85" s="1"/>
      <c r="MG85" s="1"/>
      <c r="MH85" s="1"/>
      <c r="MI85" s="1"/>
      <c r="MJ85" s="1"/>
      <c r="MK85" s="1"/>
      <c r="ML85" s="1"/>
      <c r="MM85" s="1"/>
      <c r="MN85" s="1"/>
      <c r="MO85" s="1"/>
      <c r="MP85" s="1"/>
      <c r="MQ85" s="1"/>
      <c r="MR85" s="1"/>
      <c r="MS85" s="1"/>
      <c r="MT85" s="1"/>
      <c r="MU85" s="1"/>
      <c r="MV85" s="1"/>
      <c r="MW85" s="1"/>
      <c r="MX85" s="1"/>
      <c r="MY85" s="1"/>
      <c r="MZ85" s="1"/>
      <c r="NA85" s="1"/>
      <c r="NB85" s="1"/>
      <c r="NC85" s="1"/>
      <c r="ND85" s="1"/>
      <c r="NE85" s="1"/>
      <c r="NF85" s="1"/>
      <c r="NG85" s="1"/>
      <c r="NH85" s="1"/>
      <c r="NI85" s="1"/>
      <c r="NJ85" s="1"/>
      <c r="NK85" s="1"/>
      <c r="NL85" s="1"/>
      <c r="NM85" s="1"/>
      <c r="NN85" s="1"/>
      <c r="NO85" s="1"/>
      <c r="NP85" s="1"/>
      <c r="NQ85" s="1"/>
      <c r="NR85" s="1"/>
      <c r="NS85" s="1"/>
      <c r="NT85" s="1"/>
      <c r="NU85" s="1"/>
      <c r="NV85" s="1"/>
      <c r="NW85" s="1"/>
      <c r="NX85" s="1"/>
      <c r="NY85" s="1"/>
      <c r="NZ85" s="1"/>
      <c r="OA85" s="1"/>
      <c r="OB85" s="1"/>
      <c r="OC85" s="1"/>
      <c r="OD85" s="1"/>
      <c r="OE85" s="1"/>
      <c r="OF85" s="1"/>
      <c r="OG85" s="1"/>
      <c r="OH85" s="1"/>
      <c r="OI85" s="1"/>
      <c r="OJ85" s="1"/>
      <c r="OK85" s="1"/>
      <c r="OL85" s="1"/>
      <c r="OM85" s="1"/>
      <c r="ON85" s="1"/>
      <c r="OO85" s="1"/>
      <c r="OP85" s="1"/>
      <c r="OQ85" s="1"/>
      <c r="OR85" s="1"/>
      <c r="OS85" s="1"/>
      <c r="OT85" s="1"/>
      <c r="OU85" s="1"/>
      <c r="OV85" s="1"/>
      <c r="OW85" s="1"/>
      <c r="OX85" s="1"/>
      <c r="OY85" s="1"/>
      <c r="OZ85" s="1"/>
      <c r="PA85" s="1"/>
      <c r="PB85" s="1"/>
      <c r="PC85" s="1"/>
      <c r="PD85" s="1"/>
      <c r="PE85" s="1"/>
      <c r="PF85" s="1"/>
      <c r="PG85" s="1"/>
      <c r="PH85" s="1"/>
      <c r="PI85" s="1"/>
      <c r="PJ85" s="1"/>
      <c r="PK85" s="1"/>
      <c r="PL85" s="1"/>
      <c r="PM85" s="1"/>
      <c r="PN85" s="1"/>
      <c r="PO85" s="1"/>
      <c r="PP85" s="1"/>
      <c r="PQ85" s="1"/>
      <c r="PR85" s="1"/>
      <c r="PS85" s="1"/>
      <c r="PT85" s="1"/>
      <c r="PU85" s="1"/>
      <c r="PV85" s="1"/>
      <c r="PW85" s="1"/>
      <c r="PX85" s="1"/>
      <c r="PY85" s="1"/>
      <c r="PZ85" s="1"/>
      <c r="QA85" s="1"/>
      <c r="QB85" s="1"/>
      <c r="QC85" s="1"/>
      <c r="QD85" s="1"/>
      <c r="QE85" s="1"/>
      <c r="QF85" s="1"/>
      <c r="QG85" s="1"/>
      <c r="QH85" s="1"/>
      <c r="QI85" s="1"/>
      <c r="QJ85" s="1"/>
      <c r="QK85" s="1"/>
      <c r="QL85" s="1"/>
      <c r="QM85" s="1"/>
      <c r="QN85" s="1"/>
      <c r="QO85" s="1"/>
      <c r="QP85" s="1"/>
      <c r="QQ85" s="1"/>
      <c r="QR85" s="1"/>
      <c r="QS85" s="1"/>
      <c r="QT85" s="1"/>
      <c r="QU85" s="1"/>
      <c r="QV85" s="1"/>
      <c r="QW85" s="1"/>
      <c r="QX85" s="1"/>
      <c r="QY85" s="1"/>
      <c r="QZ85" s="1"/>
      <c r="RA85" s="1"/>
      <c r="RB85" s="1"/>
      <c r="RC85" s="1"/>
      <c r="RD85" s="1"/>
      <c r="RE85" s="1"/>
      <c r="RF85" s="1"/>
      <c r="RG85" s="1"/>
      <c r="RH85" s="1"/>
      <c r="RI85" s="1"/>
      <c r="RJ85" s="1"/>
      <c r="RK85" s="1"/>
      <c r="RL85" s="1"/>
      <c r="RM85" s="1"/>
      <c r="RN85" s="1"/>
      <c r="RO85" s="1"/>
      <c r="RP85" s="1"/>
      <c r="RQ85" s="1"/>
      <c r="RR85" s="1"/>
      <c r="RS85" s="1"/>
      <c r="RT85" s="1"/>
      <c r="RU85" s="1"/>
      <c r="RV85" s="1"/>
      <c r="RW85" s="1"/>
      <c r="RX85" s="1"/>
      <c r="RY85" s="1"/>
      <c r="RZ85" s="1"/>
      <c r="SA85" s="1"/>
      <c r="SB85" s="1"/>
      <c r="SC85" s="1"/>
      <c r="SD85" s="1"/>
      <c r="SE85" s="1"/>
      <c r="SF85" s="1"/>
      <c r="SG85" s="1"/>
      <c r="SH85" s="1"/>
      <c r="SI85" s="1"/>
      <c r="SJ85" s="1"/>
      <c r="SK85" s="1"/>
      <c r="SL85" s="1"/>
      <c r="SM85" s="1"/>
      <c r="SN85" s="1"/>
      <c r="SO85" s="1"/>
      <c r="SP85" s="1"/>
      <c r="SQ85" s="1"/>
      <c r="SR85" s="1"/>
      <c r="SS85" s="1"/>
      <c r="ST85" s="1"/>
      <c r="SU85" s="1"/>
      <c r="SV85" s="1"/>
      <c r="SW85" s="1"/>
      <c r="SX85" s="1"/>
      <c r="SY85" s="1"/>
      <c r="SZ85" s="1"/>
      <c r="TA85" s="1"/>
      <c r="TB85" s="1"/>
      <c r="TC85" s="1"/>
      <c r="TD85" s="1"/>
      <c r="TE85" s="1"/>
      <c r="TF85" s="1"/>
      <c r="TG85" s="1"/>
      <c r="TH85" s="1"/>
      <c r="TI85" s="1"/>
      <c r="TJ85" s="1"/>
      <c r="TK85" s="1"/>
      <c r="TL85" s="1"/>
      <c r="TM85" s="1"/>
      <c r="TN85" s="1"/>
      <c r="TO85" s="1"/>
      <c r="TP85" s="1"/>
      <c r="TQ85" s="1"/>
      <c r="TR85" s="1"/>
      <c r="TS85" s="1"/>
      <c r="TT85" s="1"/>
      <c r="TU85" s="1"/>
      <c r="TV85" s="1"/>
      <c r="TW85" s="1"/>
      <c r="TX85" s="1"/>
      <c r="TY85" s="1"/>
      <c r="TZ85" s="1"/>
      <c r="UA85" s="1"/>
      <c r="UB85" s="1"/>
      <c r="UC85" s="1"/>
      <c r="UD85" s="1"/>
      <c r="UE85" s="1"/>
      <c r="UF85" s="1"/>
      <c r="UG85" s="1"/>
      <c r="UH85" s="1"/>
      <c r="UI85" s="1"/>
      <c r="UJ85" s="1"/>
      <c r="UK85" s="1"/>
      <c r="UL85" s="1"/>
      <c r="UM85" s="1"/>
      <c r="UN85" s="1"/>
      <c r="UO85" s="1"/>
      <c r="UP85" s="1"/>
      <c r="UQ85" s="1"/>
      <c r="UR85" s="1"/>
      <c r="US85" s="1"/>
      <c r="UT85" s="1"/>
      <c r="UU85" s="1"/>
      <c r="UV85" s="1"/>
      <c r="UW85" s="1"/>
      <c r="UX85" s="1"/>
      <c r="UY85" s="1"/>
      <c r="UZ85" s="1"/>
      <c r="VA85" s="1"/>
      <c r="VB85" s="1"/>
      <c r="VC85" s="1"/>
      <c r="VD85" s="1"/>
      <c r="VE85" s="1"/>
      <c r="VF85" s="1"/>
      <c r="VG85" s="1"/>
      <c r="VH85" s="1"/>
      <c r="VI85" s="1"/>
      <c r="VJ85" s="1"/>
      <c r="VK85" s="1"/>
      <c r="VL85" s="1"/>
      <c r="VM85" s="1"/>
      <c r="VN85" s="1"/>
      <c r="VO85" s="1"/>
      <c r="VP85" s="1"/>
      <c r="VQ85" s="1"/>
      <c r="VR85" s="1"/>
      <c r="VS85" s="1"/>
      <c r="VT85" s="1"/>
      <c r="VU85" s="1"/>
      <c r="VV85" s="1"/>
      <c r="VW85" s="1"/>
      <c r="VX85" s="1"/>
      <c r="VY85" s="1"/>
      <c r="VZ85" s="1"/>
      <c r="WA85" s="1"/>
      <c r="WB85" s="1"/>
      <c r="WC85" s="1"/>
      <c r="WD85" s="1"/>
      <c r="WE85" s="1"/>
      <c r="WF85" s="1"/>
      <c r="WG85" s="1"/>
      <c r="WH85" s="1"/>
      <c r="WI85" s="1"/>
      <c r="WJ85" s="1"/>
      <c r="WK85" s="1"/>
      <c r="WL85" s="1"/>
      <c r="WM85" s="1"/>
      <c r="WN85" s="1"/>
      <c r="WO85" s="1"/>
      <c r="WP85" s="1"/>
      <c r="WQ85" s="1"/>
      <c r="WR85" s="1"/>
      <c r="WS85" s="1"/>
      <c r="WT85" s="1"/>
      <c r="WU85" s="1"/>
      <c r="WV85" s="1"/>
      <c r="WW85" s="1"/>
      <c r="WX85" s="1"/>
      <c r="WY85" s="1"/>
      <c r="WZ85" s="1"/>
      <c r="XA85" s="1"/>
      <c r="XB85" s="1"/>
      <c r="XC85" s="1"/>
      <c r="XD85" s="1"/>
      <c r="XE85" s="1"/>
      <c r="XF85" s="1"/>
      <c r="XG85" s="1"/>
      <c r="XH85" s="1"/>
      <c r="XI85" s="1"/>
      <c r="XJ85" s="1"/>
      <c r="XK85" s="1"/>
      <c r="XL85" s="1"/>
      <c r="XM85" s="1"/>
      <c r="XN85" s="1"/>
      <c r="XO85" s="1"/>
      <c r="XP85" s="1"/>
      <c r="XQ85" s="1"/>
      <c r="XR85" s="1"/>
      <c r="XS85" s="1"/>
      <c r="XT85" s="1"/>
      <c r="XU85" s="1"/>
      <c r="XV85" s="1"/>
      <c r="XW85" s="1"/>
      <c r="XX85" s="1"/>
      <c r="XY85" s="1"/>
      <c r="XZ85" s="1"/>
      <c r="YA85" s="1"/>
      <c r="YB85" s="1"/>
      <c r="YC85" s="1"/>
      <c r="YD85" s="1"/>
      <c r="YE85" s="1"/>
      <c r="YF85" s="1"/>
      <c r="YG85" s="1"/>
      <c r="YH85" s="1"/>
      <c r="YI85" s="1"/>
      <c r="YJ85" s="1"/>
      <c r="YK85" s="1"/>
      <c r="YL85" s="1"/>
      <c r="YM85" s="1"/>
      <c r="YN85" s="1"/>
      <c r="YO85" s="1"/>
      <c r="YP85" s="1"/>
      <c r="YQ85" s="1"/>
      <c r="YR85" s="1"/>
      <c r="YS85" s="1"/>
      <c r="YT85" s="1"/>
      <c r="YU85" s="1"/>
      <c r="YV85" s="1"/>
      <c r="YW85" s="1"/>
      <c r="YX85" s="1"/>
      <c r="YY85" s="1"/>
      <c r="YZ85" s="1"/>
      <c r="ZA85" s="1"/>
      <c r="ZB85" s="1"/>
      <c r="ZC85" s="1"/>
      <c r="ZD85" s="1"/>
      <c r="ZE85" s="1"/>
      <c r="ZF85" s="1"/>
      <c r="ZG85" s="1"/>
      <c r="ZH85" s="1"/>
      <c r="ZI85" s="1"/>
      <c r="ZJ85" s="1"/>
      <c r="ZK85" s="1"/>
      <c r="ZL85" s="1"/>
      <c r="ZM85" s="1"/>
      <c r="ZN85" s="1"/>
      <c r="ZO85" s="1"/>
      <c r="ZP85" s="1"/>
      <c r="ZQ85" s="1"/>
      <c r="ZR85" s="1"/>
      <c r="ZS85" s="1"/>
      <c r="ZT85" s="1"/>
      <c r="ZU85" s="1"/>
      <c r="ZV85" s="1"/>
      <c r="ZW85" s="1"/>
      <c r="ZX85" s="1"/>
      <c r="ZY85" s="1"/>
      <c r="ZZ85" s="1"/>
      <c r="AAA85" s="1"/>
      <c r="AAB85" s="1"/>
      <c r="AAC85" s="1"/>
      <c r="AAD85" s="1"/>
      <c r="AAE85" s="1"/>
      <c r="AAF85" s="1"/>
      <c r="AAG85" s="1"/>
      <c r="AAH85" s="1"/>
      <c r="AAI85" s="1"/>
      <c r="AAJ85" s="1"/>
      <c r="AAK85" s="1"/>
      <c r="AAL85" s="1"/>
      <c r="AAM85" s="1"/>
      <c r="AAN85" s="1"/>
      <c r="AAO85" s="1"/>
      <c r="AAP85" s="1"/>
      <c r="AAQ85" s="1"/>
      <c r="AAR85" s="1"/>
      <c r="AAS85" s="1"/>
      <c r="AAT85" s="1"/>
      <c r="AAU85" s="1"/>
      <c r="AAV85" s="1"/>
      <c r="AAW85" s="1"/>
      <c r="AAX85" s="1"/>
      <c r="AAY85" s="1"/>
      <c r="AAZ85" s="1"/>
      <c r="ABA85" s="1"/>
      <c r="ABB85" s="1"/>
      <c r="ABC85" s="1"/>
      <c r="ABD85" s="1"/>
      <c r="ABE85" s="1"/>
      <c r="ABF85" s="1"/>
      <c r="ABG85" s="1"/>
      <c r="ABH85" s="1"/>
      <c r="ABI85" s="1"/>
      <c r="ABJ85" s="1"/>
      <c r="ABK85" s="1"/>
      <c r="ABL85" s="1"/>
      <c r="ABM85" s="1"/>
      <c r="ABN85" s="1"/>
      <c r="ABO85" s="1"/>
      <c r="ABP85" s="1"/>
      <c r="ABQ85" s="1"/>
      <c r="ABR85" s="1"/>
      <c r="ABS85" s="1"/>
      <c r="ABT85" s="1"/>
      <c r="ABU85" s="1"/>
      <c r="ABV85" s="1"/>
      <c r="ABW85" s="1"/>
      <c r="ABX85" s="1"/>
      <c r="ABY85" s="1"/>
      <c r="ABZ85" s="1"/>
      <c r="ACA85" s="1"/>
      <c r="ACB85" s="1"/>
      <c r="ACC85" s="1"/>
      <c r="ACD85" s="1"/>
      <c r="ACE85" s="1"/>
      <c r="ACF85" s="1"/>
      <c r="ACG85" s="1"/>
      <c r="ACH85" s="1"/>
      <c r="ACI85" s="1"/>
      <c r="ACJ85" s="1"/>
      <c r="ACK85" s="1"/>
      <c r="ACL85" s="1"/>
      <c r="ACM85" s="1"/>
      <c r="ACN85" s="1"/>
      <c r="ACO85" s="1"/>
      <c r="ACP85" s="1"/>
      <c r="ACQ85" s="1"/>
      <c r="ACR85" s="1"/>
      <c r="ACS85" s="1"/>
      <c r="ACT85" s="1"/>
      <c r="ACU85" s="1"/>
      <c r="ACV85" s="1"/>
      <c r="ACW85" s="1"/>
      <c r="ACX85" s="1"/>
      <c r="ACY85" s="1"/>
      <c r="ACZ85" s="1"/>
      <c r="ADA85" s="1"/>
      <c r="ADB85" s="1"/>
      <c r="ADC85" s="1"/>
      <c r="ADD85" s="1"/>
      <c r="ADE85" s="1"/>
      <c r="ADF85" s="1"/>
      <c r="ADG85" s="1"/>
      <c r="ADH85" s="1"/>
      <c r="ADI85" s="1"/>
      <c r="ADJ85" s="1"/>
      <c r="ADK85" s="1"/>
      <c r="ADL85" s="1"/>
      <c r="ADM85" s="1"/>
      <c r="ADN85" s="1"/>
      <c r="ADO85" s="1"/>
      <c r="ADP85" s="1"/>
      <c r="ADQ85" s="1"/>
      <c r="ADR85" s="1"/>
      <c r="ADS85" s="1"/>
      <c r="ADT85" s="1"/>
      <c r="ADU85" s="1"/>
      <c r="ADV85" s="1"/>
      <c r="ADW85" s="1"/>
      <c r="ADX85" s="1"/>
      <c r="ADY85" s="1"/>
      <c r="ADZ85" s="1"/>
      <c r="AEA85" s="1"/>
      <c r="AEB85" s="1"/>
      <c r="AEC85" s="1"/>
      <c r="AED85" s="1"/>
      <c r="AEE85" s="1"/>
      <c r="AEF85" s="1"/>
      <c r="AEG85" s="1"/>
      <c r="AEH85" s="1"/>
      <c r="AEI85" s="1"/>
      <c r="AEJ85" s="1"/>
      <c r="AEK85" s="1"/>
      <c r="AEL85" s="1"/>
      <c r="AEM85" s="1"/>
      <c r="AEN85" s="1"/>
      <c r="AEO85" s="1"/>
      <c r="AEP85" s="1"/>
      <c r="AEQ85" s="1"/>
      <c r="AER85" s="1"/>
      <c r="AES85" s="1"/>
      <c r="AET85" s="1"/>
      <c r="AEU85" s="1"/>
      <c r="AEV85" s="1"/>
      <c r="AEW85" s="1"/>
      <c r="AEX85" s="1"/>
      <c r="AEY85" s="1"/>
      <c r="AEZ85" s="1"/>
      <c r="AFA85" s="1"/>
      <c r="AFB85" s="1"/>
      <c r="AFC85" s="1"/>
      <c r="AFD85" s="1"/>
      <c r="AFE85" s="1"/>
      <c r="AFF85" s="1"/>
      <c r="AFG85" s="1"/>
      <c r="AFH85" s="1"/>
      <c r="AFI85" s="1"/>
      <c r="AFJ85" s="1"/>
      <c r="AFK85" s="1"/>
      <c r="AFL85" s="1"/>
      <c r="AFM85" s="1"/>
      <c r="AFN85" s="1"/>
      <c r="AFO85" s="1"/>
      <c r="AFP85" s="1"/>
      <c r="AFQ85" s="1"/>
      <c r="AFR85" s="1"/>
      <c r="AFS85" s="1"/>
      <c r="AFT85" s="1"/>
      <c r="AFU85" s="1"/>
      <c r="AFV85" s="1"/>
      <c r="AFW85" s="1"/>
      <c r="AFX85" s="1"/>
      <c r="AFY85" s="1"/>
      <c r="AFZ85" s="1"/>
      <c r="AGA85" s="1"/>
      <c r="AGB85" s="1"/>
      <c r="AGC85" s="1"/>
      <c r="AGD85" s="1"/>
      <c r="AGE85" s="1"/>
      <c r="AGF85" s="1"/>
      <c r="AGG85" s="1"/>
      <c r="AGH85" s="1"/>
      <c r="AGI85" s="1"/>
      <c r="AGJ85" s="1"/>
      <c r="AGK85" s="1"/>
      <c r="AGL85" s="1"/>
      <c r="AGM85" s="1"/>
      <c r="AGN85" s="1"/>
      <c r="AGO85" s="1"/>
      <c r="AGP85" s="1"/>
      <c r="AGQ85" s="1"/>
      <c r="AGR85" s="1"/>
      <c r="AGS85" s="1"/>
      <c r="AGT85" s="1"/>
      <c r="AGU85" s="1"/>
      <c r="AGV85" s="1"/>
      <c r="AGW85" s="1"/>
      <c r="AGX85" s="1"/>
      <c r="AGY85" s="1"/>
      <c r="AGZ85" s="1"/>
      <c r="AHA85" s="1"/>
      <c r="AHB85" s="1"/>
      <c r="AHC85" s="1"/>
      <c r="AHD85" s="1"/>
      <c r="AHE85" s="1"/>
      <c r="AHF85" s="1"/>
      <c r="AHG85" s="1"/>
      <c r="AHH85" s="1"/>
      <c r="AHI85" s="1"/>
      <c r="AHJ85" s="1"/>
      <c r="AHK85" s="1"/>
      <c r="AHL85" s="1"/>
      <c r="AHM85" s="1"/>
      <c r="AHN85" s="1"/>
      <c r="AHO85" s="1"/>
      <c r="AHP85" s="1"/>
      <c r="AHQ85" s="1"/>
      <c r="AHR85" s="1"/>
      <c r="AHS85" s="1"/>
      <c r="AHT85" s="1"/>
      <c r="AHU85" s="1"/>
      <c r="AHV85" s="1"/>
      <c r="AHW85" s="1"/>
      <c r="AHX85" s="1"/>
      <c r="AHY85" s="1"/>
      <c r="AHZ85" s="1"/>
      <c r="AIA85" s="1"/>
      <c r="AIB85" s="1"/>
      <c r="AIC85" s="1"/>
      <c r="AID85" s="1"/>
      <c r="AIE85" s="1"/>
      <c r="AIF85" s="1"/>
      <c r="AIG85" s="1"/>
      <c r="AIH85" s="1"/>
      <c r="AII85" s="1"/>
      <c r="AIJ85" s="1"/>
      <c r="AIK85" s="1"/>
      <c r="AIL85" s="1"/>
      <c r="AIM85" s="1"/>
      <c r="AIN85" s="1"/>
      <c r="AIO85" s="1"/>
      <c r="AIP85" s="1"/>
      <c r="AIQ85" s="1"/>
      <c r="AIR85" s="1"/>
      <c r="AIS85" s="1"/>
      <c r="AIT85" s="1"/>
      <c r="AIU85" s="1"/>
      <c r="AIV85" s="1"/>
      <c r="AIW85" s="1"/>
      <c r="AIX85" s="1"/>
      <c r="AIY85" s="1"/>
      <c r="AIZ85" s="1"/>
      <c r="AJA85" s="1"/>
      <c r="AJB85" s="1"/>
      <c r="AJC85" s="1"/>
      <c r="AJD85" s="1"/>
      <c r="AJE85" s="1"/>
      <c r="AJF85" s="1"/>
      <c r="AJG85" s="1"/>
      <c r="AJH85" s="1"/>
      <c r="AJI85" s="1"/>
      <c r="AJJ85" s="1"/>
      <c r="AJK85" s="1"/>
      <c r="AJL85" s="1"/>
      <c r="AJM85" s="1"/>
      <c r="AJN85" s="1"/>
      <c r="AJO85" s="1"/>
      <c r="AJP85" s="1"/>
      <c r="AJQ85" s="1"/>
      <c r="AJR85" s="1"/>
      <c r="AJS85" s="1"/>
      <c r="AJT85" s="1"/>
      <c r="AJU85" s="1"/>
      <c r="AJV85" s="1"/>
      <c r="AJW85" s="1"/>
      <c r="AJX85" s="1"/>
      <c r="AJY85" s="1"/>
      <c r="AJZ85" s="1"/>
      <c r="AKA85" s="1"/>
      <c r="AKB85" s="1"/>
      <c r="AKC85" s="1"/>
      <c r="AKD85" s="1"/>
      <c r="AKE85" s="1"/>
      <c r="AKF85" s="1"/>
      <c r="AKG85" s="1"/>
      <c r="AKH85" s="1"/>
      <c r="AKI85" s="1"/>
      <c r="AKJ85" s="1"/>
      <c r="AKK85" s="1"/>
      <c r="AKL85" s="1"/>
      <c r="AKM85" s="1"/>
      <c r="AKN85" s="1"/>
      <c r="AKO85" s="1"/>
      <c r="AKP85" s="1"/>
      <c r="AKQ85" s="1"/>
      <c r="AKR85" s="1"/>
      <c r="AKS85" s="1"/>
      <c r="AKT85" s="1"/>
      <c r="AKU85" s="1"/>
      <c r="AKV85" s="1"/>
      <c r="AKW85" s="1"/>
      <c r="AKX85" s="1"/>
      <c r="AKY85" s="1"/>
      <c r="AKZ85" s="1"/>
      <c r="ALA85" s="1"/>
      <c r="ALB85" s="1"/>
      <c r="ALC85" s="1"/>
      <c r="ALD85" s="1"/>
      <c r="ALE85" s="1"/>
      <c r="ALF85" s="1"/>
      <c r="ALG85" s="1"/>
      <c r="ALH85" s="1"/>
      <c r="ALI85" s="1"/>
      <c r="ALJ85" s="1"/>
      <c r="ALK85" s="1"/>
      <c r="ALL85" s="1"/>
      <c r="ALM85" s="1"/>
      <c r="ALN85" s="1"/>
      <c r="ALO85" s="1"/>
      <c r="ALP85" s="1"/>
      <c r="ALQ85" s="1"/>
      <c r="ALR85" s="1"/>
      <c r="ALS85" s="1"/>
      <c r="ALT85" s="1"/>
      <c r="ALU85" s="1"/>
      <c r="ALV85" s="1"/>
      <c r="ALW85" s="1"/>
      <c r="ALX85" s="1"/>
      <c r="ALY85" s="1"/>
      <c r="ALZ85" s="1"/>
      <c r="AMA85" s="1"/>
      <c r="AMB85" s="1"/>
      <c r="AMC85" s="1"/>
      <c r="AMD85" s="1"/>
      <c r="AME85" s="1"/>
      <c r="AMF85" s="1"/>
      <c r="AMG85" s="1"/>
      <c r="AMH85" s="1"/>
      <c r="AMI85" s="1"/>
      <c r="AMJ85" s="1"/>
    </row>
    <row r="86" customFormat="false" ht="10.5" hidden="false" customHeight="true" outlineLevel="0" collapsed="false">
      <c r="A86" s="109"/>
      <c r="B86" s="110"/>
      <c r="C86" s="110"/>
      <c r="D86" s="110"/>
      <c r="E86" s="110"/>
      <c r="F86" s="110"/>
      <c r="G86" s="110"/>
      <c r="H86" s="110"/>
      <c r="I86" s="110"/>
      <c r="J86" s="110"/>
      <c r="K86" s="110"/>
      <c r="L86" s="110"/>
      <c r="M86" s="110"/>
      <c r="N86" s="110"/>
      <c r="O86" s="110"/>
      <c r="P86" s="110"/>
      <c r="Q86" s="110"/>
      <c r="R86" s="110"/>
      <c r="S86" s="111"/>
      <c r="U86" s="109"/>
      <c r="V86" s="110"/>
      <c r="W86" s="110"/>
      <c r="X86" s="110"/>
      <c r="Y86" s="110"/>
      <c r="Z86" s="110"/>
      <c r="AA86" s="110"/>
      <c r="AB86" s="110"/>
      <c r="AC86" s="110"/>
      <c r="AD86" s="110"/>
      <c r="AE86" s="110"/>
      <c r="AF86" s="110"/>
      <c r="AG86" s="110"/>
      <c r="AH86" s="110"/>
      <c r="AI86" s="110"/>
      <c r="AJ86" s="110"/>
      <c r="AK86" s="110"/>
      <c r="AL86" s="110"/>
      <c r="AM86" s="110"/>
      <c r="AN86" s="110"/>
      <c r="AO86" s="112"/>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c r="FT86" s="1"/>
      <c r="FU86" s="1"/>
      <c r="FV86" s="1"/>
      <c r="FW86" s="1"/>
      <c r="FX86" s="1"/>
      <c r="FY86" s="1"/>
      <c r="FZ86" s="1"/>
      <c r="GA86" s="1"/>
      <c r="GB86" s="1"/>
      <c r="GC86" s="1"/>
      <c r="GD86" s="1"/>
      <c r="GE86" s="1"/>
      <c r="GF86" s="1"/>
      <c r="GG86" s="1"/>
      <c r="GH86" s="1"/>
      <c r="GI86" s="1"/>
      <c r="GJ86" s="1"/>
      <c r="GK86" s="1"/>
      <c r="GL86" s="1"/>
      <c r="GM86" s="1"/>
      <c r="GN86" s="1"/>
      <c r="GO86" s="1"/>
      <c r="GP86" s="1"/>
      <c r="GQ86" s="1"/>
      <c r="GR86" s="1"/>
      <c r="GS86" s="1"/>
      <c r="GT86" s="1"/>
      <c r="GU86" s="1"/>
      <c r="GV86" s="1"/>
      <c r="GW86" s="1"/>
      <c r="GX86" s="1"/>
      <c r="GY86" s="1"/>
      <c r="GZ86" s="1"/>
      <c r="HA86" s="1"/>
      <c r="HB86" s="1"/>
      <c r="HC86" s="1"/>
      <c r="HD86" s="1"/>
      <c r="HE86" s="1"/>
      <c r="HF86" s="1"/>
      <c r="HG86" s="1"/>
      <c r="HH86" s="1"/>
      <c r="HI86" s="1"/>
      <c r="HJ86" s="1"/>
      <c r="HK86" s="1"/>
      <c r="HL86" s="1"/>
      <c r="HM86" s="1"/>
      <c r="HN86" s="1"/>
      <c r="HO86" s="1"/>
      <c r="HP86" s="1"/>
      <c r="HQ86" s="1"/>
      <c r="HR86" s="1"/>
      <c r="HS86" s="1"/>
      <c r="HT86" s="1"/>
      <c r="HU86" s="1"/>
      <c r="HV86" s="1"/>
      <c r="HW86" s="1"/>
      <c r="HX86" s="1"/>
      <c r="HY86" s="1"/>
      <c r="HZ86" s="1"/>
      <c r="IA86" s="1"/>
      <c r="IB86" s="1"/>
      <c r="IC86" s="1"/>
      <c r="ID86" s="1"/>
      <c r="IE86" s="1"/>
      <c r="IF86" s="1"/>
      <c r="IG86" s="1"/>
      <c r="IH86" s="1"/>
      <c r="II86" s="1"/>
      <c r="IJ86" s="1"/>
      <c r="IK86" s="1"/>
      <c r="IL86" s="1"/>
      <c r="IM86" s="1"/>
      <c r="IN86" s="1"/>
      <c r="IO86" s="1"/>
      <c r="IP86" s="1"/>
      <c r="IQ86" s="1"/>
      <c r="IR86" s="1"/>
      <c r="IS86" s="1"/>
      <c r="IT86" s="1"/>
      <c r="IU86" s="1"/>
      <c r="IV86" s="1"/>
      <c r="IW86" s="1"/>
      <c r="IX86" s="1"/>
      <c r="IY86" s="1"/>
      <c r="IZ86" s="1"/>
      <c r="JA86" s="1"/>
      <c r="JB86" s="1"/>
      <c r="JC86" s="1"/>
      <c r="JD86" s="1"/>
      <c r="JE86" s="1"/>
      <c r="JF86" s="1"/>
      <c r="JG86" s="1"/>
      <c r="JH86" s="1"/>
      <c r="JI86" s="1"/>
      <c r="JJ86" s="1"/>
      <c r="JK86" s="1"/>
      <c r="JL86" s="1"/>
      <c r="JM86" s="1"/>
      <c r="JN86" s="1"/>
      <c r="JO86" s="1"/>
      <c r="JP86" s="1"/>
      <c r="JQ86" s="1"/>
      <c r="JR86" s="1"/>
      <c r="JS86" s="1"/>
      <c r="JT86" s="1"/>
      <c r="JU86" s="1"/>
      <c r="JV86" s="1"/>
      <c r="JW86" s="1"/>
      <c r="JX86" s="1"/>
      <c r="JY86" s="1"/>
      <c r="JZ86" s="1"/>
      <c r="KA86" s="1"/>
      <c r="KB86" s="1"/>
      <c r="KC86" s="1"/>
      <c r="KD86" s="1"/>
      <c r="KE86" s="1"/>
      <c r="KF86" s="1"/>
      <c r="KG86" s="1"/>
      <c r="KH86" s="1"/>
      <c r="KI86" s="1"/>
      <c r="KJ86" s="1"/>
      <c r="KK86" s="1"/>
      <c r="KL86" s="1"/>
      <c r="KM86" s="1"/>
      <c r="KN86" s="1"/>
      <c r="KO86" s="1"/>
      <c r="KP86" s="1"/>
      <c r="KQ86" s="1"/>
      <c r="KR86" s="1"/>
      <c r="KS86" s="1"/>
      <c r="KT86" s="1"/>
      <c r="KU86" s="1"/>
      <c r="KV86" s="1"/>
      <c r="KW86" s="1"/>
      <c r="KX86" s="1"/>
      <c r="KY86" s="1"/>
      <c r="KZ86" s="1"/>
      <c r="LA86" s="1"/>
      <c r="LB86" s="1"/>
      <c r="LC86" s="1"/>
      <c r="LD86" s="1"/>
      <c r="LE86" s="1"/>
      <c r="LF86" s="1"/>
      <c r="LG86" s="1"/>
      <c r="LH86" s="1"/>
      <c r="LI86" s="1"/>
      <c r="LJ86" s="1"/>
      <c r="LK86" s="1"/>
      <c r="LL86" s="1"/>
      <c r="LM86" s="1"/>
      <c r="LN86" s="1"/>
      <c r="LO86" s="1"/>
      <c r="LP86" s="1"/>
      <c r="LQ86" s="1"/>
      <c r="LR86" s="1"/>
      <c r="LS86" s="1"/>
      <c r="LT86" s="1"/>
      <c r="LU86" s="1"/>
      <c r="LV86" s="1"/>
      <c r="LW86" s="1"/>
      <c r="LX86" s="1"/>
      <c r="LY86" s="1"/>
      <c r="LZ86" s="1"/>
      <c r="MA86" s="1"/>
      <c r="MB86" s="1"/>
      <c r="MC86" s="1"/>
      <c r="MD86" s="1"/>
      <c r="ME86" s="1"/>
      <c r="MF86" s="1"/>
      <c r="MG86" s="1"/>
      <c r="MH86" s="1"/>
      <c r="MI86" s="1"/>
      <c r="MJ86" s="1"/>
      <c r="MK86" s="1"/>
      <c r="ML86" s="1"/>
      <c r="MM86" s="1"/>
      <c r="MN86" s="1"/>
      <c r="MO86" s="1"/>
      <c r="MP86" s="1"/>
      <c r="MQ86" s="1"/>
      <c r="MR86" s="1"/>
      <c r="MS86" s="1"/>
      <c r="MT86" s="1"/>
      <c r="MU86" s="1"/>
      <c r="MV86" s="1"/>
      <c r="MW86" s="1"/>
      <c r="MX86" s="1"/>
      <c r="MY86" s="1"/>
      <c r="MZ86" s="1"/>
      <c r="NA86" s="1"/>
      <c r="NB86" s="1"/>
      <c r="NC86" s="1"/>
      <c r="ND86" s="1"/>
      <c r="NE86" s="1"/>
      <c r="NF86" s="1"/>
      <c r="NG86" s="1"/>
      <c r="NH86" s="1"/>
      <c r="NI86" s="1"/>
      <c r="NJ86" s="1"/>
      <c r="NK86" s="1"/>
      <c r="NL86" s="1"/>
      <c r="NM86" s="1"/>
      <c r="NN86" s="1"/>
      <c r="NO86" s="1"/>
      <c r="NP86" s="1"/>
      <c r="NQ86" s="1"/>
      <c r="NR86" s="1"/>
      <c r="NS86" s="1"/>
      <c r="NT86" s="1"/>
      <c r="NU86" s="1"/>
      <c r="NV86" s="1"/>
      <c r="NW86" s="1"/>
      <c r="NX86" s="1"/>
      <c r="NY86" s="1"/>
      <c r="NZ86" s="1"/>
      <c r="OA86" s="1"/>
      <c r="OB86" s="1"/>
      <c r="OC86" s="1"/>
      <c r="OD86" s="1"/>
      <c r="OE86" s="1"/>
      <c r="OF86" s="1"/>
      <c r="OG86" s="1"/>
      <c r="OH86" s="1"/>
      <c r="OI86" s="1"/>
      <c r="OJ86" s="1"/>
      <c r="OK86" s="1"/>
      <c r="OL86" s="1"/>
      <c r="OM86" s="1"/>
      <c r="ON86" s="1"/>
      <c r="OO86" s="1"/>
      <c r="OP86" s="1"/>
      <c r="OQ86" s="1"/>
      <c r="OR86" s="1"/>
      <c r="OS86" s="1"/>
      <c r="OT86" s="1"/>
      <c r="OU86" s="1"/>
      <c r="OV86" s="1"/>
      <c r="OW86" s="1"/>
      <c r="OX86" s="1"/>
      <c r="OY86" s="1"/>
      <c r="OZ86" s="1"/>
      <c r="PA86" s="1"/>
      <c r="PB86" s="1"/>
      <c r="PC86" s="1"/>
      <c r="PD86" s="1"/>
      <c r="PE86" s="1"/>
      <c r="PF86" s="1"/>
      <c r="PG86" s="1"/>
      <c r="PH86" s="1"/>
      <c r="PI86" s="1"/>
      <c r="PJ86" s="1"/>
      <c r="PK86" s="1"/>
      <c r="PL86" s="1"/>
      <c r="PM86" s="1"/>
      <c r="PN86" s="1"/>
      <c r="PO86" s="1"/>
      <c r="PP86" s="1"/>
      <c r="PQ86" s="1"/>
      <c r="PR86" s="1"/>
      <c r="PS86" s="1"/>
      <c r="PT86" s="1"/>
      <c r="PU86" s="1"/>
      <c r="PV86" s="1"/>
      <c r="PW86" s="1"/>
      <c r="PX86" s="1"/>
      <c r="PY86" s="1"/>
      <c r="PZ86" s="1"/>
      <c r="QA86" s="1"/>
      <c r="QB86" s="1"/>
      <c r="QC86" s="1"/>
      <c r="QD86" s="1"/>
      <c r="QE86" s="1"/>
      <c r="QF86" s="1"/>
      <c r="QG86" s="1"/>
      <c r="QH86" s="1"/>
      <c r="QI86" s="1"/>
      <c r="QJ86" s="1"/>
      <c r="QK86" s="1"/>
      <c r="QL86" s="1"/>
      <c r="QM86" s="1"/>
      <c r="QN86" s="1"/>
      <c r="QO86" s="1"/>
      <c r="QP86" s="1"/>
      <c r="QQ86" s="1"/>
      <c r="QR86" s="1"/>
      <c r="QS86" s="1"/>
      <c r="QT86" s="1"/>
      <c r="QU86" s="1"/>
      <c r="QV86" s="1"/>
      <c r="QW86" s="1"/>
      <c r="QX86" s="1"/>
      <c r="QY86" s="1"/>
      <c r="QZ86" s="1"/>
      <c r="RA86" s="1"/>
      <c r="RB86" s="1"/>
      <c r="RC86" s="1"/>
      <c r="RD86" s="1"/>
      <c r="RE86" s="1"/>
      <c r="RF86" s="1"/>
      <c r="RG86" s="1"/>
      <c r="RH86" s="1"/>
      <c r="RI86" s="1"/>
      <c r="RJ86" s="1"/>
      <c r="RK86" s="1"/>
      <c r="RL86" s="1"/>
      <c r="RM86" s="1"/>
      <c r="RN86" s="1"/>
      <c r="RO86" s="1"/>
      <c r="RP86" s="1"/>
      <c r="RQ86" s="1"/>
      <c r="RR86" s="1"/>
      <c r="RS86" s="1"/>
      <c r="RT86" s="1"/>
      <c r="RU86" s="1"/>
      <c r="RV86" s="1"/>
      <c r="RW86" s="1"/>
      <c r="RX86" s="1"/>
      <c r="RY86" s="1"/>
      <c r="RZ86" s="1"/>
      <c r="SA86" s="1"/>
      <c r="SB86" s="1"/>
      <c r="SC86" s="1"/>
      <c r="SD86" s="1"/>
      <c r="SE86" s="1"/>
      <c r="SF86" s="1"/>
      <c r="SG86" s="1"/>
      <c r="SH86" s="1"/>
      <c r="SI86" s="1"/>
      <c r="SJ86" s="1"/>
      <c r="SK86" s="1"/>
      <c r="SL86" s="1"/>
      <c r="SM86" s="1"/>
      <c r="SN86" s="1"/>
      <c r="SO86" s="1"/>
      <c r="SP86" s="1"/>
      <c r="SQ86" s="1"/>
      <c r="SR86" s="1"/>
      <c r="SS86" s="1"/>
      <c r="ST86" s="1"/>
      <c r="SU86" s="1"/>
      <c r="SV86" s="1"/>
      <c r="SW86" s="1"/>
      <c r="SX86" s="1"/>
      <c r="SY86" s="1"/>
      <c r="SZ86" s="1"/>
      <c r="TA86" s="1"/>
      <c r="TB86" s="1"/>
      <c r="TC86" s="1"/>
      <c r="TD86" s="1"/>
      <c r="TE86" s="1"/>
      <c r="TF86" s="1"/>
      <c r="TG86" s="1"/>
      <c r="TH86" s="1"/>
      <c r="TI86" s="1"/>
      <c r="TJ86" s="1"/>
      <c r="TK86" s="1"/>
      <c r="TL86" s="1"/>
      <c r="TM86" s="1"/>
      <c r="TN86" s="1"/>
      <c r="TO86" s="1"/>
      <c r="TP86" s="1"/>
      <c r="TQ86" s="1"/>
      <c r="TR86" s="1"/>
      <c r="TS86" s="1"/>
      <c r="TT86" s="1"/>
      <c r="TU86" s="1"/>
      <c r="TV86" s="1"/>
      <c r="TW86" s="1"/>
      <c r="TX86" s="1"/>
      <c r="TY86" s="1"/>
      <c r="TZ86" s="1"/>
      <c r="UA86" s="1"/>
      <c r="UB86" s="1"/>
      <c r="UC86" s="1"/>
      <c r="UD86" s="1"/>
      <c r="UE86" s="1"/>
      <c r="UF86" s="1"/>
      <c r="UG86" s="1"/>
      <c r="UH86" s="1"/>
      <c r="UI86" s="1"/>
      <c r="UJ86" s="1"/>
      <c r="UK86" s="1"/>
      <c r="UL86" s="1"/>
      <c r="UM86" s="1"/>
      <c r="UN86" s="1"/>
      <c r="UO86" s="1"/>
      <c r="UP86" s="1"/>
      <c r="UQ86" s="1"/>
      <c r="UR86" s="1"/>
      <c r="US86" s="1"/>
      <c r="UT86" s="1"/>
      <c r="UU86" s="1"/>
      <c r="UV86" s="1"/>
      <c r="UW86" s="1"/>
      <c r="UX86" s="1"/>
      <c r="UY86" s="1"/>
      <c r="UZ86" s="1"/>
      <c r="VA86" s="1"/>
      <c r="VB86" s="1"/>
      <c r="VC86" s="1"/>
      <c r="VD86" s="1"/>
      <c r="VE86" s="1"/>
      <c r="VF86" s="1"/>
      <c r="VG86" s="1"/>
      <c r="VH86" s="1"/>
      <c r="VI86" s="1"/>
      <c r="VJ86" s="1"/>
      <c r="VK86" s="1"/>
      <c r="VL86" s="1"/>
      <c r="VM86" s="1"/>
      <c r="VN86" s="1"/>
      <c r="VO86" s="1"/>
      <c r="VP86" s="1"/>
      <c r="VQ86" s="1"/>
      <c r="VR86" s="1"/>
      <c r="VS86" s="1"/>
      <c r="VT86" s="1"/>
      <c r="VU86" s="1"/>
      <c r="VV86" s="1"/>
      <c r="VW86" s="1"/>
      <c r="VX86" s="1"/>
      <c r="VY86" s="1"/>
      <c r="VZ86" s="1"/>
      <c r="WA86" s="1"/>
      <c r="WB86" s="1"/>
      <c r="WC86" s="1"/>
      <c r="WD86" s="1"/>
      <c r="WE86" s="1"/>
      <c r="WF86" s="1"/>
      <c r="WG86" s="1"/>
      <c r="WH86" s="1"/>
      <c r="WI86" s="1"/>
      <c r="WJ86" s="1"/>
      <c r="WK86" s="1"/>
      <c r="WL86" s="1"/>
      <c r="WM86" s="1"/>
      <c r="WN86" s="1"/>
      <c r="WO86" s="1"/>
      <c r="WP86" s="1"/>
      <c r="WQ86" s="1"/>
      <c r="WR86" s="1"/>
      <c r="WS86" s="1"/>
      <c r="WT86" s="1"/>
      <c r="WU86" s="1"/>
      <c r="WV86" s="1"/>
      <c r="WW86" s="1"/>
      <c r="WX86" s="1"/>
      <c r="WY86" s="1"/>
      <c r="WZ86" s="1"/>
      <c r="XA86" s="1"/>
      <c r="XB86" s="1"/>
      <c r="XC86" s="1"/>
      <c r="XD86" s="1"/>
      <c r="XE86" s="1"/>
      <c r="XF86" s="1"/>
      <c r="XG86" s="1"/>
      <c r="XH86" s="1"/>
      <c r="XI86" s="1"/>
      <c r="XJ86" s="1"/>
      <c r="XK86" s="1"/>
      <c r="XL86" s="1"/>
      <c r="XM86" s="1"/>
      <c r="XN86" s="1"/>
      <c r="XO86" s="1"/>
      <c r="XP86" s="1"/>
      <c r="XQ86" s="1"/>
      <c r="XR86" s="1"/>
      <c r="XS86" s="1"/>
      <c r="XT86" s="1"/>
      <c r="XU86" s="1"/>
      <c r="XV86" s="1"/>
      <c r="XW86" s="1"/>
      <c r="XX86" s="1"/>
      <c r="XY86" s="1"/>
      <c r="XZ86" s="1"/>
      <c r="YA86" s="1"/>
      <c r="YB86" s="1"/>
      <c r="YC86" s="1"/>
      <c r="YD86" s="1"/>
      <c r="YE86" s="1"/>
      <c r="YF86" s="1"/>
      <c r="YG86" s="1"/>
      <c r="YH86" s="1"/>
      <c r="YI86" s="1"/>
      <c r="YJ86" s="1"/>
      <c r="YK86" s="1"/>
      <c r="YL86" s="1"/>
      <c r="YM86" s="1"/>
      <c r="YN86" s="1"/>
      <c r="YO86" s="1"/>
      <c r="YP86" s="1"/>
      <c r="YQ86" s="1"/>
      <c r="YR86" s="1"/>
      <c r="YS86" s="1"/>
      <c r="YT86" s="1"/>
      <c r="YU86" s="1"/>
      <c r="YV86" s="1"/>
      <c r="YW86" s="1"/>
      <c r="YX86" s="1"/>
      <c r="YY86" s="1"/>
      <c r="YZ86" s="1"/>
      <c r="ZA86" s="1"/>
      <c r="ZB86" s="1"/>
      <c r="ZC86" s="1"/>
      <c r="ZD86" s="1"/>
      <c r="ZE86" s="1"/>
      <c r="ZF86" s="1"/>
      <c r="ZG86" s="1"/>
      <c r="ZH86" s="1"/>
      <c r="ZI86" s="1"/>
      <c r="ZJ86" s="1"/>
      <c r="ZK86" s="1"/>
      <c r="ZL86" s="1"/>
      <c r="ZM86" s="1"/>
      <c r="ZN86" s="1"/>
      <c r="ZO86" s="1"/>
      <c r="ZP86" s="1"/>
      <c r="ZQ86" s="1"/>
      <c r="ZR86" s="1"/>
      <c r="ZS86" s="1"/>
      <c r="ZT86" s="1"/>
      <c r="ZU86" s="1"/>
      <c r="ZV86" s="1"/>
      <c r="ZW86" s="1"/>
      <c r="ZX86" s="1"/>
      <c r="ZY86" s="1"/>
      <c r="ZZ86" s="1"/>
      <c r="AAA86" s="1"/>
      <c r="AAB86" s="1"/>
      <c r="AAC86" s="1"/>
      <c r="AAD86" s="1"/>
      <c r="AAE86" s="1"/>
      <c r="AAF86" s="1"/>
      <c r="AAG86" s="1"/>
      <c r="AAH86" s="1"/>
      <c r="AAI86" s="1"/>
      <c r="AAJ86" s="1"/>
      <c r="AAK86" s="1"/>
      <c r="AAL86" s="1"/>
      <c r="AAM86" s="1"/>
      <c r="AAN86" s="1"/>
      <c r="AAO86" s="1"/>
      <c r="AAP86" s="1"/>
      <c r="AAQ86" s="1"/>
      <c r="AAR86" s="1"/>
      <c r="AAS86" s="1"/>
      <c r="AAT86" s="1"/>
      <c r="AAU86" s="1"/>
      <c r="AAV86" s="1"/>
      <c r="AAW86" s="1"/>
      <c r="AAX86" s="1"/>
      <c r="AAY86" s="1"/>
      <c r="AAZ86" s="1"/>
      <c r="ABA86" s="1"/>
      <c r="ABB86" s="1"/>
      <c r="ABC86" s="1"/>
      <c r="ABD86" s="1"/>
      <c r="ABE86" s="1"/>
      <c r="ABF86" s="1"/>
      <c r="ABG86" s="1"/>
      <c r="ABH86" s="1"/>
      <c r="ABI86" s="1"/>
      <c r="ABJ86" s="1"/>
      <c r="ABK86" s="1"/>
      <c r="ABL86" s="1"/>
      <c r="ABM86" s="1"/>
      <c r="ABN86" s="1"/>
      <c r="ABO86" s="1"/>
      <c r="ABP86" s="1"/>
      <c r="ABQ86" s="1"/>
      <c r="ABR86" s="1"/>
      <c r="ABS86" s="1"/>
      <c r="ABT86" s="1"/>
      <c r="ABU86" s="1"/>
      <c r="ABV86" s="1"/>
      <c r="ABW86" s="1"/>
      <c r="ABX86" s="1"/>
      <c r="ABY86" s="1"/>
      <c r="ABZ86" s="1"/>
      <c r="ACA86" s="1"/>
      <c r="ACB86" s="1"/>
      <c r="ACC86" s="1"/>
      <c r="ACD86" s="1"/>
      <c r="ACE86" s="1"/>
      <c r="ACF86" s="1"/>
      <c r="ACG86" s="1"/>
      <c r="ACH86" s="1"/>
      <c r="ACI86" s="1"/>
      <c r="ACJ86" s="1"/>
      <c r="ACK86" s="1"/>
      <c r="ACL86" s="1"/>
      <c r="ACM86" s="1"/>
      <c r="ACN86" s="1"/>
      <c r="ACO86" s="1"/>
      <c r="ACP86" s="1"/>
      <c r="ACQ86" s="1"/>
      <c r="ACR86" s="1"/>
      <c r="ACS86" s="1"/>
      <c r="ACT86" s="1"/>
      <c r="ACU86" s="1"/>
      <c r="ACV86" s="1"/>
      <c r="ACW86" s="1"/>
      <c r="ACX86" s="1"/>
      <c r="ACY86" s="1"/>
      <c r="ACZ86" s="1"/>
      <c r="ADA86" s="1"/>
      <c r="ADB86" s="1"/>
      <c r="ADC86" s="1"/>
      <c r="ADD86" s="1"/>
      <c r="ADE86" s="1"/>
      <c r="ADF86" s="1"/>
      <c r="ADG86" s="1"/>
      <c r="ADH86" s="1"/>
      <c r="ADI86" s="1"/>
      <c r="ADJ86" s="1"/>
      <c r="ADK86" s="1"/>
      <c r="ADL86" s="1"/>
      <c r="ADM86" s="1"/>
      <c r="ADN86" s="1"/>
      <c r="ADO86" s="1"/>
      <c r="ADP86" s="1"/>
      <c r="ADQ86" s="1"/>
      <c r="ADR86" s="1"/>
      <c r="ADS86" s="1"/>
      <c r="ADT86" s="1"/>
      <c r="ADU86" s="1"/>
      <c r="ADV86" s="1"/>
      <c r="ADW86" s="1"/>
      <c r="ADX86" s="1"/>
      <c r="ADY86" s="1"/>
      <c r="ADZ86" s="1"/>
      <c r="AEA86" s="1"/>
      <c r="AEB86" s="1"/>
      <c r="AEC86" s="1"/>
      <c r="AED86" s="1"/>
      <c r="AEE86" s="1"/>
      <c r="AEF86" s="1"/>
      <c r="AEG86" s="1"/>
      <c r="AEH86" s="1"/>
      <c r="AEI86" s="1"/>
      <c r="AEJ86" s="1"/>
      <c r="AEK86" s="1"/>
      <c r="AEL86" s="1"/>
      <c r="AEM86" s="1"/>
      <c r="AEN86" s="1"/>
      <c r="AEO86" s="1"/>
      <c r="AEP86" s="1"/>
      <c r="AEQ86" s="1"/>
      <c r="AER86" s="1"/>
      <c r="AES86" s="1"/>
      <c r="AET86" s="1"/>
      <c r="AEU86" s="1"/>
      <c r="AEV86" s="1"/>
      <c r="AEW86" s="1"/>
      <c r="AEX86" s="1"/>
      <c r="AEY86" s="1"/>
      <c r="AEZ86" s="1"/>
      <c r="AFA86" s="1"/>
      <c r="AFB86" s="1"/>
      <c r="AFC86" s="1"/>
      <c r="AFD86" s="1"/>
      <c r="AFE86" s="1"/>
      <c r="AFF86" s="1"/>
      <c r="AFG86" s="1"/>
      <c r="AFH86" s="1"/>
      <c r="AFI86" s="1"/>
      <c r="AFJ86" s="1"/>
      <c r="AFK86" s="1"/>
      <c r="AFL86" s="1"/>
      <c r="AFM86" s="1"/>
      <c r="AFN86" s="1"/>
      <c r="AFO86" s="1"/>
      <c r="AFP86" s="1"/>
      <c r="AFQ86" s="1"/>
      <c r="AFR86" s="1"/>
      <c r="AFS86" s="1"/>
      <c r="AFT86" s="1"/>
      <c r="AFU86" s="1"/>
      <c r="AFV86" s="1"/>
      <c r="AFW86" s="1"/>
      <c r="AFX86" s="1"/>
      <c r="AFY86" s="1"/>
      <c r="AFZ86" s="1"/>
      <c r="AGA86" s="1"/>
      <c r="AGB86" s="1"/>
      <c r="AGC86" s="1"/>
      <c r="AGD86" s="1"/>
      <c r="AGE86" s="1"/>
      <c r="AGF86" s="1"/>
      <c r="AGG86" s="1"/>
      <c r="AGH86" s="1"/>
      <c r="AGI86" s="1"/>
      <c r="AGJ86" s="1"/>
      <c r="AGK86" s="1"/>
      <c r="AGL86" s="1"/>
      <c r="AGM86" s="1"/>
      <c r="AGN86" s="1"/>
      <c r="AGO86" s="1"/>
      <c r="AGP86" s="1"/>
      <c r="AGQ86" s="1"/>
      <c r="AGR86" s="1"/>
      <c r="AGS86" s="1"/>
      <c r="AGT86" s="1"/>
      <c r="AGU86" s="1"/>
      <c r="AGV86" s="1"/>
      <c r="AGW86" s="1"/>
      <c r="AGX86" s="1"/>
      <c r="AGY86" s="1"/>
      <c r="AGZ86" s="1"/>
      <c r="AHA86" s="1"/>
      <c r="AHB86" s="1"/>
      <c r="AHC86" s="1"/>
      <c r="AHD86" s="1"/>
      <c r="AHE86" s="1"/>
      <c r="AHF86" s="1"/>
      <c r="AHG86" s="1"/>
      <c r="AHH86" s="1"/>
      <c r="AHI86" s="1"/>
      <c r="AHJ86" s="1"/>
      <c r="AHK86" s="1"/>
      <c r="AHL86" s="1"/>
      <c r="AHM86" s="1"/>
      <c r="AHN86" s="1"/>
      <c r="AHO86" s="1"/>
      <c r="AHP86" s="1"/>
      <c r="AHQ86" s="1"/>
      <c r="AHR86" s="1"/>
      <c r="AHS86" s="1"/>
      <c r="AHT86" s="1"/>
      <c r="AHU86" s="1"/>
      <c r="AHV86" s="1"/>
      <c r="AHW86" s="1"/>
      <c r="AHX86" s="1"/>
      <c r="AHY86" s="1"/>
      <c r="AHZ86" s="1"/>
      <c r="AIA86" s="1"/>
      <c r="AIB86" s="1"/>
      <c r="AIC86" s="1"/>
      <c r="AID86" s="1"/>
      <c r="AIE86" s="1"/>
      <c r="AIF86" s="1"/>
      <c r="AIG86" s="1"/>
      <c r="AIH86" s="1"/>
      <c r="AII86" s="1"/>
      <c r="AIJ86" s="1"/>
      <c r="AIK86" s="1"/>
      <c r="AIL86" s="1"/>
      <c r="AIM86" s="1"/>
      <c r="AIN86" s="1"/>
      <c r="AIO86" s="1"/>
      <c r="AIP86" s="1"/>
      <c r="AIQ86" s="1"/>
      <c r="AIR86" s="1"/>
      <c r="AIS86" s="1"/>
      <c r="AIT86" s="1"/>
      <c r="AIU86" s="1"/>
      <c r="AIV86" s="1"/>
      <c r="AIW86" s="1"/>
      <c r="AIX86" s="1"/>
      <c r="AIY86" s="1"/>
      <c r="AIZ86" s="1"/>
      <c r="AJA86" s="1"/>
      <c r="AJB86" s="1"/>
      <c r="AJC86" s="1"/>
      <c r="AJD86" s="1"/>
      <c r="AJE86" s="1"/>
      <c r="AJF86" s="1"/>
      <c r="AJG86" s="1"/>
      <c r="AJH86" s="1"/>
      <c r="AJI86" s="1"/>
      <c r="AJJ86" s="1"/>
      <c r="AJK86" s="1"/>
      <c r="AJL86" s="1"/>
      <c r="AJM86" s="1"/>
      <c r="AJN86" s="1"/>
      <c r="AJO86" s="1"/>
      <c r="AJP86" s="1"/>
      <c r="AJQ86" s="1"/>
      <c r="AJR86" s="1"/>
      <c r="AJS86" s="1"/>
      <c r="AJT86" s="1"/>
      <c r="AJU86" s="1"/>
      <c r="AJV86" s="1"/>
      <c r="AJW86" s="1"/>
      <c r="AJX86" s="1"/>
      <c r="AJY86" s="1"/>
      <c r="AJZ86" s="1"/>
      <c r="AKA86" s="1"/>
      <c r="AKB86" s="1"/>
      <c r="AKC86" s="1"/>
      <c r="AKD86" s="1"/>
      <c r="AKE86" s="1"/>
      <c r="AKF86" s="1"/>
      <c r="AKG86" s="1"/>
      <c r="AKH86" s="1"/>
      <c r="AKI86" s="1"/>
      <c r="AKJ86" s="1"/>
      <c r="AKK86" s="1"/>
      <c r="AKL86" s="1"/>
      <c r="AKM86" s="1"/>
      <c r="AKN86" s="1"/>
      <c r="AKO86" s="1"/>
      <c r="AKP86" s="1"/>
      <c r="AKQ86" s="1"/>
      <c r="AKR86" s="1"/>
      <c r="AKS86" s="1"/>
      <c r="AKT86" s="1"/>
      <c r="AKU86" s="1"/>
      <c r="AKV86" s="1"/>
      <c r="AKW86" s="1"/>
      <c r="AKX86" s="1"/>
      <c r="AKY86" s="1"/>
      <c r="AKZ86" s="1"/>
      <c r="ALA86" s="1"/>
      <c r="ALB86" s="1"/>
      <c r="ALC86" s="1"/>
      <c r="ALD86" s="1"/>
      <c r="ALE86" s="1"/>
      <c r="ALF86" s="1"/>
      <c r="ALG86" s="1"/>
      <c r="ALH86" s="1"/>
      <c r="ALI86" s="1"/>
      <c r="ALJ86" s="1"/>
      <c r="ALK86" s="1"/>
      <c r="ALL86" s="1"/>
      <c r="ALM86" s="1"/>
      <c r="ALN86" s="1"/>
      <c r="ALO86" s="1"/>
      <c r="ALP86" s="1"/>
      <c r="ALQ86" s="1"/>
      <c r="ALR86" s="1"/>
      <c r="ALS86" s="1"/>
      <c r="ALT86" s="1"/>
      <c r="ALU86" s="1"/>
      <c r="ALV86" s="1"/>
      <c r="ALW86" s="1"/>
      <c r="ALX86" s="1"/>
      <c r="ALY86" s="1"/>
      <c r="ALZ86" s="1"/>
      <c r="AMA86" s="1"/>
      <c r="AMB86" s="1"/>
      <c r="AMC86" s="1"/>
      <c r="AMD86" s="1"/>
      <c r="AME86" s="1"/>
      <c r="AMF86" s="1"/>
      <c r="AMG86" s="1"/>
      <c r="AMH86" s="1"/>
      <c r="AMI86" s="1"/>
      <c r="AMJ86" s="1"/>
    </row>
    <row r="87" customFormat="false" ht="18" hidden="false" customHeight="true" outlineLevel="0" collapsed="false">
      <c r="A87" s="113" t="s">
        <v>221</v>
      </c>
      <c r="B87" s="113"/>
      <c r="C87" s="113"/>
      <c r="D87" s="113"/>
      <c r="E87" s="113"/>
      <c r="F87" s="113"/>
      <c r="G87" s="113"/>
      <c r="H87" s="113"/>
      <c r="I87" s="113"/>
      <c r="J87" s="113"/>
      <c r="K87" s="113"/>
      <c r="L87" s="113"/>
      <c r="M87" s="113"/>
      <c r="N87" s="113"/>
      <c r="O87" s="113"/>
      <c r="P87" s="113"/>
      <c r="Q87" s="113"/>
      <c r="R87" s="113"/>
      <c r="S87" s="113"/>
      <c r="T87" s="113"/>
      <c r="U87" s="113"/>
      <c r="V87" s="113"/>
      <c r="W87" s="113"/>
      <c r="X87" s="113"/>
      <c r="Y87" s="113"/>
      <c r="Z87" s="113"/>
      <c r="AA87" s="113"/>
      <c r="AB87" s="113"/>
      <c r="AC87" s="113"/>
      <c r="AD87" s="113"/>
      <c r="AE87" s="113"/>
      <c r="AF87" s="113"/>
      <c r="AG87" s="113"/>
      <c r="AH87" s="113"/>
      <c r="AI87" s="113"/>
      <c r="AJ87" s="113"/>
      <c r="AK87" s="113"/>
      <c r="AL87" s="113"/>
      <c r="AM87" s="113"/>
      <c r="AN87" s="113"/>
      <c r="AO87" s="113"/>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c r="IY87" s="1"/>
      <c r="IZ87" s="1"/>
      <c r="JA87" s="1"/>
      <c r="JB87" s="1"/>
      <c r="JC87" s="1"/>
      <c r="JD87" s="1"/>
      <c r="JE87" s="1"/>
      <c r="JF87" s="1"/>
      <c r="JG87" s="1"/>
      <c r="JH87" s="1"/>
      <c r="JI87" s="1"/>
      <c r="JJ87" s="1"/>
      <c r="JK87" s="1"/>
      <c r="JL87" s="1"/>
      <c r="JM87" s="1"/>
      <c r="JN87" s="1"/>
      <c r="JO87" s="1"/>
      <c r="JP87" s="1"/>
      <c r="JQ87" s="1"/>
      <c r="JR87" s="1"/>
      <c r="JS87" s="1"/>
      <c r="JT87" s="1"/>
      <c r="JU87" s="1"/>
      <c r="JV87" s="1"/>
      <c r="JW87" s="1"/>
      <c r="JX87" s="1"/>
      <c r="JY87" s="1"/>
      <c r="JZ87" s="1"/>
      <c r="KA87" s="1"/>
      <c r="KB87" s="1"/>
      <c r="KC87" s="1"/>
      <c r="KD87" s="1"/>
      <c r="KE87" s="1"/>
      <c r="KF87" s="1"/>
      <c r="KG87" s="1"/>
      <c r="KH87" s="1"/>
      <c r="KI87" s="1"/>
      <c r="KJ87" s="1"/>
      <c r="KK87" s="1"/>
      <c r="KL87" s="1"/>
      <c r="KM87" s="1"/>
      <c r="KN87" s="1"/>
      <c r="KO87" s="1"/>
      <c r="KP87" s="1"/>
      <c r="KQ87" s="1"/>
      <c r="KR87" s="1"/>
      <c r="KS87" s="1"/>
      <c r="KT87" s="1"/>
      <c r="KU87" s="1"/>
      <c r="KV87" s="1"/>
      <c r="KW87" s="1"/>
      <c r="KX87" s="1"/>
      <c r="KY87" s="1"/>
      <c r="KZ87" s="1"/>
      <c r="LA87" s="1"/>
      <c r="LB87" s="1"/>
      <c r="LC87" s="1"/>
      <c r="LD87" s="1"/>
      <c r="LE87" s="1"/>
      <c r="LF87" s="1"/>
      <c r="LG87" s="1"/>
      <c r="LH87" s="1"/>
      <c r="LI87" s="1"/>
      <c r="LJ87" s="1"/>
      <c r="LK87" s="1"/>
      <c r="LL87" s="1"/>
      <c r="LM87" s="1"/>
      <c r="LN87" s="1"/>
      <c r="LO87" s="1"/>
      <c r="LP87" s="1"/>
      <c r="LQ87" s="1"/>
      <c r="LR87" s="1"/>
      <c r="LS87" s="1"/>
      <c r="LT87" s="1"/>
      <c r="LU87" s="1"/>
      <c r="LV87" s="1"/>
      <c r="LW87" s="1"/>
      <c r="LX87" s="1"/>
      <c r="LY87" s="1"/>
      <c r="LZ87" s="1"/>
      <c r="MA87" s="1"/>
      <c r="MB87" s="1"/>
      <c r="MC87" s="1"/>
      <c r="MD87" s="1"/>
      <c r="ME87" s="1"/>
      <c r="MF87" s="1"/>
      <c r="MG87" s="1"/>
      <c r="MH87" s="1"/>
      <c r="MI87" s="1"/>
      <c r="MJ87" s="1"/>
      <c r="MK87" s="1"/>
      <c r="ML87" s="1"/>
      <c r="MM87" s="1"/>
      <c r="MN87" s="1"/>
      <c r="MO87" s="1"/>
      <c r="MP87" s="1"/>
      <c r="MQ87" s="1"/>
      <c r="MR87" s="1"/>
      <c r="MS87" s="1"/>
      <c r="MT87" s="1"/>
      <c r="MU87" s="1"/>
      <c r="MV87" s="1"/>
      <c r="MW87" s="1"/>
      <c r="MX87" s="1"/>
      <c r="MY87" s="1"/>
      <c r="MZ87" s="1"/>
      <c r="NA87" s="1"/>
      <c r="NB87" s="1"/>
      <c r="NC87" s="1"/>
      <c r="ND87" s="1"/>
      <c r="NE87" s="1"/>
      <c r="NF87" s="1"/>
      <c r="NG87" s="1"/>
      <c r="NH87" s="1"/>
      <c r="NI87" s="1"/>
      <c r="NJ87" s="1"/>
      <c r="NK87" s="1"/>
      <c r="NL87" s="1"/>
      <c r="NM87" s="1"/>
      <c r="NN87" s="1"/>
      <c r="NO87" s="1"/>
      <c r="NP87" s="1"/>
      <c r="NQ87" s="1"/>
      <c r="NR87" s="1"/>
      <c r="NS87" s="1"/>
      <c r="NT87" s="1"/>
      <c r="NU87" s="1"/>
      <c r="NV87" s="1"/>
      <c r="NW87" s="1"/>
      <c r="NX87" s="1"/>
      <c r="NY87" s="1"/>
      <c r="NZ87" s="1"/>
      <c r="OA87" s="1"/>
      <c r="OB87" s="1"/>
      <c r="OC87" s="1"/>
      <c r="OD87" s="1"/>
      <c r="OE87" s="1"/>
      <c r="OF87" s="1"/>
      <c r="OG87" s="1"/>
      <c r="OH87" s="1"/>
      <c r="OI87" s="1"/>
      <c r="OJ87" s="1"/>
      <c r="OK87" s="1"/>
      <c r="OL87" s="1"/>
      <c r="OM87" s="1"/>
      <c r="ON87" s="1"/>
      <c r="OO87" s="1"/>
      <c r="OP87" s="1"/>
      <c r="OQ87" s="1"/>
      <c r="OR87" s="1"/>
      <c r="OS87" s="1"/>
      <c r="OT87" s="1"/>
      <c r="OU87" s="1"/>
      <c r="OV87" s="1"/>
      <c r="OW87" s="1"/>
      <c r="OX87" s="1"/>
      <c r="OY87" s="1"/>
      <c r="OZ87" s="1"/>
      <c r="PA87" s="1"/>
      <c r="PB87" s="1"/>
      <c r="PC87" s="1"/>
      <c r="PD87" s="1"/>
      <c r="PE87" s="1"/>
      <c r="PF87" s="1"/>
      <c r="PG87" s="1"/>
      <c r="PH87" s="1"/>
      <c r="PI87" s="1"/>
      <c r="PJ87" s="1"/>
      <c r="PK87" s="1"/>
      <c r="PL87" s="1"/>
      <c r="PM87" s="1"/>
      <c r="PN87" s="1"/>
      <c r="PO87" s="1"/>
      <c r="PP87" s="1"/>
      <c r="PQ87" s="1"/>
      <c r="PR87" s="1"/>
      <c r="PS87" s="1"/>
      <c r="PT87" s="1"/>
      <c r="PU87" s="1"/>
      <c r="PV87" s="1"/>
      <c r="PW87" s="1"/>
      <c r="PX87" s="1"/>
      <c r="PY87" s="1"/>
      <c r="PZ87" s="1"/>
      <c r="QA87" s="1"/>
      <c r="QB87" s="1"/>
      <c r="QC87" s="1"/>
      <c r="QD87" s="1"/>
      <c r="QE87" s="1"/>
      <c r="QF87" s="1"/>
      <c r="QG87" s="1"/>
      <c r="QH87" s="1"/>
      <c r="QI87" s="1"/>
      <c r="QJ87" s="1"/>
      <c r="QK87" s="1"/>
      <c r="QL87" s="1"/>
      <c r="QM87" s="1"/>
      <c r="QN87" s="1"/>
      <c r="QO87" s="1"/>
      <c r="QP87" s="1"/>
      <c r="QQ87" s="1"/>
      <c r="QR87" s="1"/>
      <c r="QS87" s="1"/>
      <c r="QT87" s="1"/>
      <c r="QU87" s="1"/>
      <c r="QV87" s="1"/>
      <c r="QW87" s="1"/>
      <c r="QX87" s="1"/>
      <c r="QY87" s="1"/>
      <c r="QZ87" s="1"/>
      <c r="RA87" s="1"/>
      <c r="RB87" s="1"/>
      <c r="RC87" s="1"/>
      <c r="RD87" s="1"/>
      <c r="RE87" s="1"/>
      <c r="RF87" s="1"/>
      <c r="RG87" s="1"/>
      <c r="RH87" s="1"/>
      <c r="RI87" s="1"/>
      <c r="RJ87" s="1"/>
      <c r="RK87" s="1"/>
      <c r="RL87" s="1"/>
      <c r="RM87" s="1"/>
      <c r="RN87" s="1"/>
      <c r="RO87" s="1"/>
      <c r="RP87" s="1"/>
      <c r="RQ87" s="1"/>
      <c r="RR87" s="1"/>
      <c r="RS87" s="1"/>
      <c r="RT87" s="1"/>
      <c r="RU87" s="1"/>
      <c r="RV87" s="1"/>
      <c r="RW87" s="1"/>
      <c r="RX87" s="1"/>
      <c r="RY87" s="1"/>
      <c r="RZ87" s="1"/>
      <c r="SA87" s="1"/>
      <c r="SB87" s="1"/>
      <c r="SC87" s="1"/>
      <c r="SD87" s="1"/>
      <c r="SE87" s="1"/>
      <c r="SF87" s="1"/>
      <c r="SG87" s="1"/>
      <c r="SH87" s="1"/>
      <c r="SI87" s="1"/>
      <c r="SJ87" s="1"/>
      <c r="SK87" s="1"/>
      <c r="SL87" s="1"/>
      <c r="SM87" s="1"/>
      <c r="SN87" s="1"/>
      <c r="SO87" s="1"/>
      <c r="SP87" s="1"/>
      <c r="SQ87" s="1"/>
      <c r="SR87" s="1"/>
      <c r="SS87" s="1"/>
      <c r="ST87" s="1"/>
      <c r="SU87" s="1"/>
      <c r="SV87" s="1"/>
      <c r="SW87" s="1"/>
      <c r="SX87" s="1"/>
      <c r="SY87" s="1"/>
      <c r="SZ87" s="1"/>
      <c r="TA87" s="1"/>
      <c r="TB87" s="1"/>
      <c r="TC87" s="1"/>
      <c r="TD87" s="1"/>
      <c r="TE87" s="1"/>
      <c r="TF87" s="1"/>
      <c r="TG87" s="1"/>
      <c r="TH87" s="1"/>
      <c r="TI87" s="1"/>
      <c r="TJ87" s="1"/>
      <c r="TK87" s="1"/>
      <c r="TL87" s="1"/>
      <c r="TM87" s="1"/>
      <c r="TN87" s="1"/>
      <c r="TO87" s="1"/>
      <c r="TP87" s="1"/>
      <c r="TQ87" s="1"/>
      <c r="TR87" s="1"/>
      <c r="TS87" s="1"/>
      <c r="TT87" s="1"/>
      <c r="TU87" s="1"/>
      <c r="TV87" s="1"/>
      <c r="TW87" s="1"/>
      <c r="TX87" s="1"/>
      <c r="TY87" s="1"/>
      <c r="TZ87" s="1"/>
      <c r="UA87" s="1"/>
      <c r="UB87" s="1"/>
      <c r="UC87" s="1"/>
      <c r="UD87" s="1"/>
      <c r="UE87" s="1"/>
      <c r="UF87" s="1"/>
      <c r="UG87" s="1"/>
      <c r="UH87" s="1"/>
      <c r="UI87" s="1"/>
      <c r="UJ87" s="1"/>
      <c r="UK87" s="1"/>
      <c r="UL87" s="1"/>
      <c r="UM87" s="1"/>
      <c r="UN87" s="1"/>
      <c r="UO87" s="1"/>
      <c r="UP87" s="1"/>
      <c r="UQ87" s="1"/>
      <c r="UR87" s="1"/>
      <c r="US87" s="1"/>
      <c r="UT87" s="1"/>
      <c r="UU87" s="1"/>
      <c r="UV87" s="1"/>
      <c r="UW87" s="1"/>
      <c r="UX87" s="1"/>
      <c r="UY87" s="1"/>
      <c r="UZ87" s="1"/>
      <c r="VA87" s="1"/>
      <c r="VB87" s="1"/>
      <c r="VC87" s="1"/>
      <c r="VD87" s="1"/>
      <c r="VE87" s="1"/>
      <c r="VF87" s="1"/>
      <c r="VG87" s="1"/>
      <c r="VH87" s="1"/>
      <c r="VI87" s="1"/>
      <c r="VJ87" s="1"/>
      <c r="VK87" s="1"/>
      <c r="VL87" s="1"/>
      <c r="VM87" s="1"/>
      <c r="VN87" s="1"/>
      <c r="VO87" s="1"/>
      <c r="VP87" s="1"/>
      <c r="VQ87" s="1"/>
      <c r="VR87" s="1"/>
      <c r="VS87" s="1"/>
      <c r="VT87" s="1"/>
      <c r="VU87" s="1"/>
      <c r="VV87" s="1"/>
      <c r="VW87" s="1"/>
      <c r="VX87" s="1"/>
      <c r="VY87" s="1"/>
      <c r="VZ87" s="1"/>
      <c r="WA87" s="1"/>
      <c r="WB87" s="1"/>
      <c r="WC87" s="1"/>
      <c r="WD87" s="1"/>
      <c r="WE87" s="1"/>
      <c r="WF87" s="1"/>
      <c r="WG87" s="1"/>
      <c r="WH87" s="1"/>
      <c r="WI87" s="1"/>
      <c r="WJ87" s="1"/>
      <c r="WK87" s="1"/>
      <c r="WL87" s="1"/>
      <c r="WM87" s="1"/>
      <c r="WN87" s="1"/>
      <c r="WO87" s="1"/>
      <c r="WP87" s="1"/>
      <c r="WQ87" s="1"/>
      <c r="WR87" s="1"/>
      <c r="WS87" s="1"/>
      <c r="WT87" s="1"/>
      <c r="WU87" s="1"/>
      <c r="WV87" s="1"/>
      <c r="WW87" s="1"/>
      <c r="WX87" s="1"/>
      <c r="WY87" s="1"/>
      <c r="WZ87" s="1"/>
      <c r="XA87" s="1"/>
      <c r="XB87" s="1"/>
      <c r="XC87" s="1"/>
      <c r="XD87" s="1"/>
      <c r="XE87" s="1"/>
      <c r="XF87" s="1"/>
      <c r="XG87" s="1"/>
      <c r="XH87" s="1"/>
      <c r="XI87" s="1"/>
      <c r="XJ87" s="1"/>
      <c r="XK87" s="1"/>
      <c r="XL87" s="1"/>
      <c r="XM87" s="1"/>
      <c r="XN87" s="1"/>
      <c r="XO87" s="1"/>
      <c r="XP87" s="1"/>
      <c r="XQ87" s="1"/>
      <c r="XR87" s="1"/>
      <c r="XS87" s="1"/>
      <c r="XT87" s="1"/>
      <c r="XU87" s="1"/>
      <c r="XV87" s="1"/>
      <c r="XW87" s="1"/>
      <c r="XX87" s="1"/>
      <c r="XY87" s="1"/>
      <c r="XZ87" s="1"/>
      <c r="YA87" s="1"/>
      <c r="YB87" s="1"/>
      <c r="YC87" s="1"/>
      <c r="YD87" s="1"/>
      <c r="YE87" s="1"/>
      <c r="YF87" s="1"/>
      <c r="YG87" s="1"/>
      <c r="YH87" s="1"/>
      <c r="YI87" s="1"/>
      <c r="YJ87" s="1"/>
      <c r="YK87" s="1"/>
      <c r="YL87" s="1"/>
      <c r="YM87" s="1"/>
      <c r="YN87" s="1"/>
      <c r="YO87" s="1"/>
      <c r="YP87" s="1"/>
      <c r="YQ87" s="1"/>
      <c r="YR87" s="1"/>
      <c r="YS87" s="1"/>
      <c r="YT87" s="1"/>
      <c r="YU87" s="1"/>
      <c r="YV87" s="1"/>
      <c r="YW87" s="1"/>
      <c r="YX87" s="1"/>
      <c r="YY87" s="1"/>
      <c r="YZ87" s="1"/>
      <c r="ZA87" s="1"/>
      <c r="ZB87" s="1"/>
      <c r="ZC87" s="1"/>
      <c r="ZD87" s="1"/>
      <c r="ZE87" s="1"/>
      <c r="ZF87" s="1"/>
      <c r="ZG87" s="1"/>
      <c r="ZH87" s="1"/>
      <c r="ZI87" s="1"/>
      <c r="ZJ87" s="1"/>
      <c r="ZK87" s="1"/>
      <c r="ZL87" s="1"/>
      <c r="ZM87" s="1"/>
      <c r="ZN87" s="1"/>
      <c r="ZO87" s="1"/>
      <c r="ZP87" s="1"/>
      <c r="ZQ87" s="1"/>
      <c r="ZR87" s="1"/>
      <c r="ZS87" s="1"/>
      <c r="ZT87" s="1"/>
      <c r="ZU87" s="1"/>
      <c r="ZV87" s="1"/>
      <c r="ZW87" s="1"/>
      <c r="ZX87" s="1"/>
      <c r="ZY87" s="1"/>
      <c r="ZZ87" s="1"/>
      <c r="AAA87" s="1"/>
      <c r="AAB87" s="1"/>
      <c r="AAC87" s="1"/>
      <c r="AAD87" s="1"/>
      <c r="AAE87" s="1"/>
      <c r="AAF87" s="1"/>
      <c r="AAG87" s="1"/>
      <c r="AAH87" s="1"/>
      <c r="AAI87" s="1"/>
      <c r="AAJ87" s="1"/>
      <c r="AAK87" s="1"/>
      <c r="AAL87" s="1"/>
      <c r="AAM87" s="1"/>
      <c r="AAN87" s="1"/>
      <c r="AAO87" s="1"/>
      <c r="AAP87" s="1"/>
      <c r="AAQ87" s="1"/>
      <c r="AAR87" s="1"/>
      <c r="AAS87" s="1"/>
      <c r="AAT87" s="1"/>
      <c r="AAU87" s="1"/>
      <c r="AAV87" s="1"/>
      <c r="AAW87" s="1"/>
      <c r="AAX87" s="1"/>
      <c r="AAY87" s="1"/>
      <c r="AAZ87" s="1"/>
      <c r="ABA87" s="1"/>
      <c r="ABB87" s="1"/>
      <c r="ABC87" s="1"/>
      <c r="ABD87" s="1"/>
      <c r="ABE87" s="1"/>
      <c r="ABF87" s="1"/>
      <c r="ABG87" s="1"/>
      <c r="ABH87" s="1"/>
      <c r="ABI87" s="1"/>
      <c r="ABJ87" s="1"/>
      <c r="ABK87" s="1"/>
      <c r="ABL87" s="1"/>
      <c r="ABM87" s="1"/>
      <c r="ABN87" s="1"/>
      <c r="ABO87" s="1"/>
      <c r="ABP87" s="1"/>
      <c r="ABQ87" s="1"/>
      <c r="ABR87" s="1"/>
      <c r="ABS87" s="1"/>
      <c r="ABT87" s="1"/>
      <c r="ABU87" s="1"/>
      <c r="ABV87" s="1"/>
      <c r="ABW87" s="1"/>
      <c r="ABX87" s="1"/>
      <c r="ABY87" s="1"/>
      <c r="ABZ87" s="1"/>
      <c r="ACA87" s="1"/>
      <c r="ACB87" s="1"/>
      <c r="ACC87" s="1"/>
      <c r="ACD87" s="1"/>
      <c r="ACE87" s="1"/>
      <c r="ACF87" s="1"/>
      <c r="ACG87" s="1"/>
      <c r="ACH87" s="1"/>
      <c r="ACI87" s="1"/>
      <c r="ACJ87" s="1"/>
      <c r="ACK87" s="1"/>
      <c r="ACL87" s="1"/>
      <c r="ACM87" s="1"/>
      <c r="ACN87" s="1"/>
      <c r="ACO87" s="1"/>
      <c r="ACP87" s="1"/>
      <c r="ACQ87" s="1"/>
      <c r="ACR87" s="1"/>
      <c r="ACS87" s="1"/>
      <c r="ACT87" s="1"/>
      <c r="ACU87" s="1"/>
      <c r="ACV87" s="1"/>
      <c r="ACW87" s="1"/>
      <c r="ACX87" s="1"/>
      <c r="ACY87" s="1"/>
      <c r="ACZ87" s="1"/>
      <c r="ADA87" s="1"/>
      <c r="ADB87" s="1"/>
      <c r="ADC87" s="1"/>
      <c r="ADD87" s="1"/>
      <c r="ADE87" s="1"/>
      <c r="ADF87" s="1"/>
      <c r="ADG87" s="1"/>
      <c r="ADH87" s="1"/>
      <c r="ADI87" s="1"/>
      <c r="ADJ87" s="1"/>
      <c r="ADK87" s="1"/>
      <c r="ADL87" s="1"/>
      <c r="ADM87" s="1"/>
      <c r="ADN87" s="1"/>
      <c r="ADO87" s="1"/>
      <c r="ADP87" s="1"/>
      <c r="ADQ87" s="1"/>
      <c r="ADR87" s="1"/>
      <c r="ADS87" s="1"/>
      <c r="ADT87" s="1"/>
      <c r="ADU87" s="1"/>
      <c r="ADV87" s="1"/>
      <c r="ADW87" s="1"/>
      <c r="ADX87" s="1"/>
      <c r="ADY87" s="1"/>
      <c r="ADZ87" s="1"/>
      <c r="AEA87" s="1"/>
      <c r="AEB87" s="1"/>
      <c r="AEC87" s="1"/>
      <c r="AED87" s="1"/>
      <c r="AEE87" s="1"/>
      <c r="AEF87" s="1"/>
      <c r="AEG87" s="1"/>
      <c r="AEH87" s="1"/>
      <c r="AEI87" s="1"/>
      <c r="AEJ87" s="1"/>
      <c r="AEK87" s="1"/>
      <c r="AEL87" s="1"/>
      <c r="AEM87" s="1"/>
      <c r="AEN87" s="1"/>
      <c r="AEO87" s="1"/>
      <c r="AEP87" s="1"/>
      <c r="AEQ87" s="1"/>
      <c r="AER87" s="1"/>
      <c r="AES87" s="1"/>
      <c r="AET87" s="1"/>
      <c r="AEU87" s="1"/>
      <c r="AEV87" s="1"/>
      <c r="AEW87" s="1"/>
      <c r="AEX87" s="1"/>
      <c r="AEY87" s="1"/>
      <c r="AEZ87" s="1"/>
      <c r="AFA87" s="1"/>
      <c r="AFB87" s="1"/>
      <c r="AFC87" s="1"/>
      <c r="AFD87" s="1"/>
      <c r="AFE87" s="1"/>
      <c r="AFF87" s="1"/>
      <c r="AFG87" s="1"/>
      <c r="AFH87" s="1"/>
      <c r="AFI87" s="1"/>
      <c r="AFJ87" s="1"/>
      <c r="AFK87" s="1"/>
      <c r="AFL87" s="1"/>
      <c r="AFM87" s="1"/>
      <c r="AFN87" s="1"/>
      <c r="AFO87" s="1"/>
      <c r="AFP87" s="1"/>
      <c r="AFQ87" s="1"/>
      <c r="AFR87" s="1"/>
      <c r="AFS87" s="1"/>
      <c r="AFT87" s="1"/>
      <c r="AFU87" s="1"/>
      <c r="AFV87" s="1"/>
      <c r="AFW87" s="1"/>
      <c r="AFX87" s="1"/>
      <c r="AFY87" s="1"/>
      <c r="AFZ87" s="1"/>
      <c r="AGA87" s="1"/>
      <c r="AGB87" s="1"/>
      <c r="AGC87" s="1"/>
      <c r="AGD87" s="1"/>
      <c r="AGE87" s="1"/>
      <c r="AGF87" s="1"/>
      <c r="AGG87" s="1"/>
      <c r="AGH87" s="1"/>
      <c r="AGI87" s="1"/>
      <c r="AGJ87" s="1"/>
      <c r="AGK87" s="1"/>
      <c r="AGL87" s="1"/>
      <c r="AGM87" s="1"/>
      <c r="AGN87" s="1"/>
      <c r="AGO87" s="1"/>
      <c r="AGP87" s="1"/>
      <c r="AGQ87" s="1"/>
      <c r="AGR87" s="1"/>
      <c r="AGS87" s="1"/>
      <c r="AGT87" s="1"/>
      <c r="AGU87" s="1"/>
      <c r="AGV87" s="1"/>
      <c r="AGW87" s="1"/>
      <c r="AGX87" s="1"/>
      <c r="AGY87" s="1"/>
      <c r="AGZ87" s="1"/>
      <c r="AHA87" s="1"/>
      <c r="AHB87" s="1"/>
      <c r="AHC87" s="1"/>
      <c r="AHD87" s="1"/>
      <c r="AHE87" s="1"/>
      <c r="AHF87" s="1"/>
      <c r="AHG87" s="1"/>
      <c r="AHH87" s="1"/>
      <c r="AHI87" s="1"/>
      <c r="AHJ87" s="1"/>
      <c r="AHK87" s="1"/>
      <c r="AHL87" s="1"/>
      <c r="AHM87" s="1"/>
      <c r="AHN87" s="1"/>
      <c r="AHO87" s="1"/>
      <c r="AHP87" s="1"/>
      <c r="AHQ87" s="1"/>
      <c r="AHR87" s="1"/>
      <c r="AHS87" s="1"/>
      <c r="AHT87" s="1"/>
      <c r="AHU87" s="1"/>
      <c r="AHV87" s="1"/>
      <c r="AHW87" s="1"/>
      <c r="AHX87" s="1"/>
      <c r="AHY87" s="1"/>
      <c r="AHZ87" s="1"/>
      <c r="AIA87" s="1"/>
      <c r="AIB87" s="1"/>
      <c r="AIC87" s="1"/>
      <c r="AID87" s="1"/>
      <c r="AIE87" s="1"/>
      <c r="AIF87" s="1"/>
      <c r="AIG87" s="1"/>
      <c r="AIH87" s="1"/>
      <c r="AII87" s="1"/>
      <c r="AIJ87" s="1"/>
      <c r="AIK87" s="1"/>
      <c r="AIL87" s="1"/>
      <c r="AIM87" s="1"/>
      <c r="AIN87" s="1"/>
      <c r="AIO87" s="1"/>
      <c r="AIP87" s="1"/>
      <c r="AIQ87" s="1"/>
      <c r="AIR87" s="1"/>
      <c r="AIS87" s="1"/>
      <c r="AIT87" s="1"/>
      <c r="AIU87" s="1"/>
      <c r="AIV87" s="1"/>
      <c r="AIW87" s="1"/>
      <c r="AIX87" s="1"/>
      <c r="AIY87" s="1"/>
      <c r="AIZ87" s="1"/>
      <c r="AJA87" s="1"/>
      <c r="AJB87" s="1"/>
      <c r="AJC87" s="1"/>
      <c r="AJD87" s="1"/>
      <c r="AJE87" s="1"/>
      <c r="AJF87" s="1"/>
      <c r="AJG87" s="1"/>
      <c r="AJH87" s="1"/>
      <c r="AJI87" s="1"/>
      <c r="AJJ87" s="1"/>
      <c r="AJK87" s="1"/>
      <c r="AJL87" s="1"/>
      <c r="AJM87" s="1"/>
      <c r="AJN87" s="1"/>
      <c r="AJO87" s="1"/>
      <c r="AJP87" s="1"/>
      <c r="AJQ87" s="1"/>
      <c r="AJR87" s="1"/>
      <c r="AJS87" s="1"/>
      <c r="AJT87" s="1"/>
      <c r="AJU87" s="1"/>
      <c r="AJV87" s="1"/>
      <c r="AJW87" s="1"/>
      <c r="AJX87" s="1"/>
      <c r="AJY87" s="1"/>
      <c r="AJZ87" s="1"/>
      <c r="AKA87" s="1"/>
      <c r="AKB87" s="1"/>
      <c r="AKC87" s="1"/>
      <c r="AKD87" s="1"/>
      <c r="AKE87" s="1"/>
      <c r="AKF87" s="1"/>
      <c r="AKG87" s="1"/>
      <c r="AKH87" s="1"/>
      <c r="AKI87" s="1"/>
      <c r="AKJ87" s="1"/>
      <c r="AKK87" s="1"/>
      <c r="AKL87" s="1"/>
      <c r="AKM87" s="1"/>
      <c r="AKN87" s="1"/>
      <c r="AKO87" s="1"/>
      <c r="AKP87" s="1"/>
      <c r="AKQ87" s="1"/>
      <c r="AKR87" s="1"/>
      <c r="AKS87" s="1"/>
      <c r="AKT87" s="1"/>
      <c r="AKU87" s="1"/>
      <c r="AKV87" s="1"/>
      <c r="AKW87" s="1"/>
      <c r="AKX87" s="1"/>
      <c r="AKY87" s="1"/>
      <c r="AKZ87" s="1"/>
      <c r="ALA87" s="1"/>
      <c r="ALB87" s="1"/>
      <c r="ALC87" s="1"/>
      <c r="ALD87" s="1"/>
      <c r="ALE87" s="1"/>
      <c r="ALF87" s="1"/>
      <c r="ALG87" s="1"/>
      <c r="ALH87" s="1"/>
      <c r="ALI87" s="1"/>
      <c r="ALJ87" s="1"/>
      <c r="ALK87" s="1"/>
      <c r="ALL87" s="1"/>
      <c r="ALM87" s="1"/>
      <c r="ALN87" s="1"/>
      <c r="ALO87" s="1"/>
      <c r="ALP87" s="1"/>
      <c r="ALQ87" s="1"/>
      <c r="ALR87" s="1"/>
      <c r="ALS87" s="1"/>
      <c r="ALT87" s="1"/>
      <c r="ALU87" s="1"/>
      <c r="ALV87" s="1"/>
      <c r="ALW87" s="1"/>
      <c r="ALX87" s="1"/>
      <c r="ALY87" s="1"/>
      <c r="ALZ87" s="1"/>
      <c r="AMA87" s="1"/>
      <c r="AMB87" s="1"/>
      <c r="AMC87" s="1"/>
      <c r="AMD87" s="1"/>
      <c r="AME87" s="1"/>
      <c r="AMF87" s="1"/>
      <c r="AMG87" s="1"/>
      <c r="AMH87" s="1"/>
      <c r="AMI87" s="1"/>
      <c r="AMJ87" s="1"/>
    </row>
    <row r="88" customFormat="false" ht="18" hidden="false" customHeight="true" outlineLevel="0" collapsed="false">
      <c r="A88" s="113"/>
      <c r="B88" s="113"/>
      <c r="C88" s="113"/>
      <c r="D88" s="113"/>
      <c r="E88" s="113"/>
      <c r="F88" s="113"/>
      <c r="G88" s="113"/>
      <c r="H88" s="113"/>
      <c r="I88" s="113"/>
      <c r="J88" s="113"/>
      <c r="K88" s="113"/>
      <c r="L88" s="113"/>
      <c r="M88" s="113"/>
      <c r="N88" s="113"/>
      <c r="O88" s="113"/>
      <c r="P88" s="113"/>
      <c r="Q88" s="113"/>
      <c r="R88" s="113"/>
      <c r="S88" s="113"/>
      <c r="T88" s="113"/>
      <c r="U88" s="113"/>
      <c r="V88" s="113"/>
      <c r="W88" s="113"/>
      <c r="X88" s="113"/>
      <c r="Y88" s="113"/>
      <c r="Z88" s="113"/>
      <c r="AA88" s="113"/>
      <c r="AB88" s="113"/>
      <c r="AC88" s="113"/>
      <c r="AD88" s="113"/>
      <c r="AE88" s="113"/>
      <c r="AF88" s="113"/>
      <c r="AG88" s="113"/>
      <c r="AH88" s="113"/>
      <c r="AI88" s="113"/>
      <c r="AJ88" s="113"/>
      <c r="AK88" s="113"/>
      <c r="AL88" s="113"/>
      <c r="AM88" s="113"/>
      <c r="AN88" s="113"/>
      <c r="AO88" s="113"/>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c r="IY88" s="1"/>
      <c r="IZ88" s="1"/>
      <c r="JA88" s="1"/>
      <c r="JB88" s="1"/>
      <c r="JC88" s="1"/>
      <c r="JD88" s="1"/>
      <c r="JE88" s="1"/>
      <c r="JF88" s="1"/>
      <c r="JG88" s="1"/>
      <c r="JH88" s="1"/>
      <c r="JI88" s="1"/>
      <c r="JJ88" s="1"/>
      <c r="JK88" s="1"/>
      <c r="JL88" s="1"/>
      <c r="JM88" s="1"/>
      <c r="JN88" s="1"/>
      <c r="JO88" s="1"/>
      <c r="JP88" s="1"/>
      <c r="JQ88" s="1"/>
      <c r="JR88" s="1"/>
      <c r="JS88" s="1"/>
      <c r="JT88" s="1"/>
      <c r="JU88" s="1"/>
      <c r="JV88" s="1"/>
      <c r="JW88" s="1"/>
      <c r="JX88" s="1"/>
      <c r="JY88" s="1"/>
      <c r="JZ88" s="1"/>
      <c r="KA88" s="1"/>
      <c r="KB88" s="1"/>
      <c r="KC88" s="1"/>
      <c r="KD88" s="1"/>
      <c r="KE88" s="1"/>
      <c r="KF88" s="1"/>
      <c r="KG88" s="1"/>
      <c r="KH88" s="1"/>
      <c r="KI88" s="1"/>
      <c r="KJ88" s="1"/>
      <c r="KK88" s="1"/>
      <c r="KL88" s="1"/>
      <c r="KM88" s="1"/>
      <c r="KN88" s="1"/>
      <c r="KO88" s="1"/>
      <c r="KP88" s="1"/>
      <c r="KQ88" s="1"/>
      <c r="KR88" s="1"/>
      <c r="KS88" s="1"/>
      <c r="KT88" s="1"/>
      <c r="KU88" s="1"/>
      <c r="KV88" s="1"/>
      <c r="KW88" s="1"/>
      <c r="KX88" s="1"/>
      <c r="KY88" s="1"/>
      <c r="KZ88" s="1"/>
      <c r="LA88" s="1"/>
      <c r="LB88" s="1"/>
      <c r="LC88" s="1"/>
      <c r="LD88" s="1"/>
      <c r="LE88" s="1"/>
      <c r="LF88" s="1"/>
      <c r="LG88" s="1"/>
      <c r="LH88" s="1"/>
      <c r="LI88" s="1"/>
      <c r="LJ88" s="1"/>
      <c r="LK88" s="1"/>
      <c r="LL88" s="1"/>
      <c r="LM88" s="1"/>
      <c r="LN88" s="1"/>
      <c r="LO88" s="1"/>
      <c r="LP88" s="1"/>
      <c r="LQ88" s="1"/>
      <c r="LR88" s="1"/>
      <c r="LS88" s="1"/>
      <c r="LT88" s="1"/>
      <c r="LU88" s="1"/>
      <c r="LV88" s="1"/>
      <c r="LW88" s="1"/>
      <c r="LX88" s="1"/>
      <c r="LY88" s="1"/>
      <c r="LZ88" s="1"/>
      <c r="MA88" s="1"/>
      <c r="MB88" s="1"/>
      <c r="MC88" s="1"/>
      <c r="MD88" s="1"/>
      <c r="ME88" s="1"/>
      <c r="MF88" s="1"/>
      <c r="MG88" s="1"/>
      <c r="MH88" s="1"/>
      <c r="MI88" s="1"/>
      <c r="MJ88" s="1"/>
      <c r="MK88" s="1"/>
      <c r="ML88" s="1"/>
      <c r="MM88" s="1"/>
      <c r="MN88" s="1"/>
      <c r="MO88" s="1"/>
      <c r="MP88" s="1"/>
      <c r="MQ88" s="1"/>
      <c r="MR88" s="1"/>
      <c r="MS88" s="1"/>
      <c r="MT88" s="1"/>
      <c r="MU88" s="1"/>
      <c r="MV88" s="1"/>
      <c r="MW88" s="1"/>
      <c r="MX88" s="1"/>
      <c r="MY88" s="1"/>
      <c r="MZ88" s="1"/>
      <c r="NA88" s="1"/>
      <c r="NB88" s="1"/>
      <c r="NC88" s="1"/>
      <c r="ND88" s="1"/>
      <c r="NE88" s="1"/>
      <c r="NF88" s="1"/>
      <c r="NG88" s="1"/>
      <c r="NH88" s="1"/>
      <c r="NI88" s="1"/>
      <c r="NJ88" s="1"/>
      <c r="NK88" s="1"/>
      <c r="NL88" s="1"/>
      <c r="NM88" s="1"/>
      <c r="NN88" s="1"/>
      <c r="NO88" s="1"/>
      <c r="NP88" s="1"/>
      <c r="NQ88" s="1"/>
      <c r="NR88" s="1"/>
      <c r="NS88" s="1"/>
      <c r="NT88" s="1"/>
      <c r="NU88" s="1"/>
      <c r="NV88" s="1"/>
      <c r="NW88" s="1"/>
      <c r="NX88" s="1"/>
      <c r="NY88" s="1"/>
      <c r="NZ88" s="1"/>
      <c r="OA88" s="1"/>
      <c r="OB88" s="1"/>
      <c r="OC88" s="1"/>
      <c r="OD88" s="1"/>
      <c r="OE88" s="1"/>
      <c r="OF88" s="1"/>
      <c r="OG88" s="1"/>
      <c r="OH88" s="1"/>
      <c r="OI88" s="1"/>
      <c r="OJ88" s="1"/>
      <c r="OK88" s="1"/>
      <c r="OL88" s="1"/>
      <c r="OM88" s="1"/>
      <c r="ON88" s="1"/>
      <c r="OO88" s="1"/>
      <c r="OP88" s="1"/>
      <c r="OQ88" s="1"/>
      <c r="OR88" s="1"/>
      <c r="OS88" s="1"/>
      <c r="OT88" s="1"/>
      <c r="OU88" s="1"/>
      <c r="OV88" s="1"/>
      <c r="OW88" s="1"/>
      <c r="OX88" s="1"/>
      <c r="OY88" s="1"/>
      <c r="OZ88" s="1"/>
      <c r="PA88" s="1"/>
      <c r="PB88" s="1"/>
      <c r="PC88" s="1"/>
      <c r="PD88" s="1"/>
      <c r="PE88" s="1"/>
      <c r="PF88" s="1"/>
      <c r="PG88" s="1"/>
      <c r="PH88" s="1"/>
      <c r="PI88" s="1"/>
      <c r="PJ88" s="1"/>
      <c r="PK88" s="1"/>
      <c r="PL88" s="1"/>
      <c r="PM88" s="1"/>
      <c r="PN88" s="1"/>
      <c r="PO88" s="1"/>
      <c r="PP88" s="1"/>
      <c r="PQ88" s="1"/>
      <c r="PR88" s="1"/>
      <c r="PS88" s="1"/>
      <c r="PT88" s="1"/>
      <c r="PU88" s="1"/>
      <c r="PV88" s="1"/>
      <c r="PW88" s="1"/>
      <c r="PX88" s="1"/>
      <c r="PY88" s="1"/>
      <c r="PZ88" s="1"/>
      <c r="QA88" s="1"/>
      <c r="QB88" s="1"/>
      <c r="QC88" s="1"/>
      <c r="QD88" s="1"/>
      <c r="QE88" s="1"/>
      <c r="QF88" s="1"/>
      <c r="QG88" s="1"/>
      <c r="QH88" s="1"/>
      <c r="QI88" s="1"/>
      <c r="QJ88" s="1"/>
      <c r="QK88" s="1"/>
      <c r="QL88" s="1"/>
      <c r="QM88" s="1"/>
      <c r="QN88" s="1"/>
      <c r="QO88" s="1"/>
      <c r="QP88" s="1"/>
      <c r="QQ88" s="1"/>
      <c r="QR88" s="1"/>
      <c r="QS88" s="1"/>
      <c r="QT88" s="1"/>
      <c r="QU88" s="1"/>
      <c r="QV88" s="1"/>
      <c r="QW88" s="1"/>
      <c r="QX88" s="1"/>
      <c r="QY88" s="1"/>
      <c r="QZ88" s="1"/>
      <c r="RA88" s="1"/>
      <c r="RB88" s="1"/>
      <c r="RC88" s="1"/>
      <c r="RD88" s="1"/>
      <c r="RE88" s="1"/>
      <c r="RF88" s="1"/>
      <c r="RG88" s="1"/>
      <c r="RH88" s="1"/>
      <c r="RI88" s="1"/>
      <c r="RJ88" s="1"/>
      <c r="RK88" s="1"/>
      <c r="RL88" s="1"/>
      <c r="RM88" s="1"/>
      <c r="RN88" s="1"/>
      <c r="RO88" s="1"/>
      <c r="RP88" s="1"/>
      <c r="RQ88" s="1"/>
      <c r="RR88" s="1"/>
      <c r="RS88" s="1"/>
      <c r="RT88" s="1"/>
      <c r="RU88" s="1"/>
      <c r="RV88" s="1"/>
      <c r="RW88" s="1"/>
      <c r="RX88" s="1"/>
      <c r="RY88" s="1"/>
      <c r="RZ88" s="1"/>
      <c r="SA88" s="1"/>
      <c r="SB88" s="1"/>
      <c r="SC88" s="1"/>
      <c r="SD88" s="1"/>
      <c r="SE88" s="1"/>
      <c r="SF88" s="1"/>
      <c r="SG88" s="1"/>
      <c r="SH88" s="1"/>
      <c r="SI88" s="1"/>
      <c r="SJ88" s="1"/>
      <c r="SK88" s="1"/>
      <c r="SL88" s="1"/>
      <c r="SM88" s="1"/>
      <c r="SN88" s="1"/>
      <c r="SO88" s="1"/>
      <c r="SP88" s="1"/>
      <c r="SQ88" s="1"/>
      <c r="SR88" s="1"/>
      <c r="SS88" s="1"/>
      <c r="ST88" s="1"/>
      <c r="SU88" s="1"/>
      <c r="SV88" s="1"/>
      <c r="SW88" s="1"/>
      <c r="SX88" s="1"/>
      <c r="SY88" s="1"/>
      <c r="SZ88" s="1"/>
      <c r="TA88" s="1"/>
      <c r="TB88" s="1"/>
      <c r="TC88" s="1"/>
      <c r="TD88" s="1"/>
      <c r="TE88" s="1"/>
      <c r="TF88" s="1"/>
      <c r="TG88" s="1"/>
      <c r="TH88" s="1"/>
      <c r="TI88" s="1"/>
      <c r="TJ88" s="1"/>
      <c r="TK88" s="1"/>
      <c r="TL88" s="1"/>
      <c r="TM88" s="1"/>
      <c r="TN88" s="1"/>
      <c r="TO88" s="1"/>
      <c r="TP88" s="1"/>
      <c r="TQ88" s="1"/>
      <c r="TR88" s="1"/>
      <c r="TS88" s="1"/>
      <c r="TT88" s="1"/>
      <c r="TU88" s="1"/>
      <c r="TV88" s="1"/>
      <c r="TW88" s="1"/>
      <c r="TX88" s="1"/>
      <c r="TY88" s="1"/>
      <c r="TZ88" s="1"/>
      <c r="UA88" s="1"/>
      <c r="UB88" s="1"/>
      <c r="UC88" s="1"/>
      <c r="UD88" s="1"/>
      <c r="UE88" s="1"/>
      <c r="UF88" s="1"/>
      <c r="UG88" s="1"/>
      <c r="UH88" s="1"/>
      <c r="UI88" s="1"/>
      <c r="UJ88" s="1"/>
      <c r="UK88" s="1"/>
      <c r="UL88" s="1"/>
      <c r="UM88" s="1"/>
      <c r="UN88" s="1"/>
      <c r="UO88" s="1"/>
      <c r="UP88" s="1"/>
      <c r="UQ88" s="1"/>
      <c r="UR88" s="1"/>
      <c r="US88" s="1"/>
      <c r="UT88" s="1"/>
      <c r="UU88" s="1"/>
      <c r="UV88" s="1"/>
      <c r="UW88" s="1"/>
      <c r="UX88" s="1"/>
      <c r="UY88" s="1"/>
      <c r="UZ88" s="1"/>
      <c r="VA88" s="1"/>
      <c r="VB88" s="1"/>
      <c r="VC88" s="1"/>
      <c r="VD88" s="1"/>
      <c r="VE88" s="1"/>
      <c r="VF88" s="1"/>
      <c r="VG88" s="1"/>
      <c r="VH88" s="1"/>
      <c r="VI88" s="1"/>
      <c r="VJ88" s="1"/>
      <c r="VK88" s="1"/>
      <c r="VL88" s="1"/>
      <c r="VM88" s="1"/>
      <c r="VN88" s="1"/>
      <c r="VO88" s="1"/>
      <c r="VP88" s="1"/>
      <c r="VQ88" s="1"/>
      <c r="VR88" s="1"/>
      <c r="VS88" s="1"/>
      <c r="VT88" s="1"/>
      <c r="VU88" s="1"/>
      <c r="VV88" s="1"/>
      <c r="VW88" s="1"/>
      <c r="VX88" s="1"/>
      <c r="VY88" s="1"/>
      <c r="VZ88" s="1"/>
      <c r="WA88" s="1"/>
      <c r="WB88" s="1"/>
      <c r="WC88" s="1"/>
      <c r="WD88" s="1"/>
      <c r="WE88" s="1"/>
      <c r="WF88" s="1"/>
      <c r="WG88" s="1"/>
      <c r="WH88" s="1"/>
      <c r="WI88" s="1"/>
      <c r="WJ88" s="1"/>
      <c r="WK88" s="1"/>
      <c r="WL88" s="1"/>
      <c r="WM88" s="1"/>
      <c r="WN88" s="1"/>
      <c r="WO88" s="1"/>
      <c r="WP88" s="1"/>
      <c r="WQ88" s="1"/>
      <c r="WR88" s="1"/>
      <c r="WS88" s="1"/>
      <c r="WT88" s="1"/>
      <c r="WU88" s="1"/>
      <c r="WV88" s="1"/>
      <c r="WW88" s="1"/>
      <c r="WX88" s="1"/>
      <c r="WY88" s="1"/>
      <c r="WZ88" s="1"/>
      <c r="XA88" s="1"/>
      <c r="XB88" s="1"/>
      <c r="XC88" s="1"/>
      <c r="XD88" s="1"/>
      <c r="XE88" s="1"/>
      <c r="XF88" s="1"/>
      <c r="XG88" s="1"/>
      <c r="XH88" s="1"/>
      <c r="XI88" s="1"/>
      <c r="XJ88" s="1"/>
      <c r="XK88" s="1"/>
      <c r="XL88" s="1"/>
      <c r="XM88" s="1"/>
      <c r="XN88" s="1"/>
      <c r="XO88" s="1"/>
      <c r="XP88" s="1"/>
      <c r="XQ88" s="1"/>
      <c r="XR88" s="1"/>
      <c r="XS88" s="1"/>
      <c r="XT88" s="1"/>
      <c r="XU88" s="1"/>
      <c r="XV88" s="1"/>
      <c r="XW88" s="1"/>
      <c r="XX88" s="1"/>
      <c r="XY88" s="1"/>
      <c r="XZ88" s="1"/>
      <c r="YA88" s="1"/>
      <c r="YB88" s="1"/>
      <c r="YC88" s="1"/>
      <c r="YD88" s="1"/>
      <c r="YE88" s="1"/>
      <c r="YF88" s="1"/>
      <c r="YG88" s="1"/>
      <c r="YH88" s="1"/>
      <c r="YI88" s="1"/>
      <c r="YJ88" s="1"/>
      <c r="YK88" s="1"/>
      <c r="YL88" s="1"/>
      <c r="YM88" s="1"/>
      <c r="YN88" s="1"/>
      <c r="YO88" s="1"/>
      <c r="YP88" s="1"/>
      <c r="YQ88" s="1"/>
      <c r="YR88" s="1"/>
      <c r="YS88" s="1"/>
      <c r="YT88" s="1"/>
      <c r="YU88" s="1"/>
      <c r="YV88" s="1"/>
      <c r="YW88" s="1"/>
      <c r="YX88" s="1"/>
      <c r="YY88" s="1"/>
      <c r="YZ88" s="1"/>
      <c r="ZA88" s="1"/>
      <c r="ZB88" s="1"/>
      <c r="ZC88" s="1"/>
      <c r="ZD88" s="1"/>
      <c r="ZE88" s="1"/>
      <c r="ZF88" s="1"/>
      <c r="ZG88" s="1"/>
      <c r="ZH88" s="1"/>
      <c r="ZI88" s="1"/>
      <c r="ZJ88" s="1"/>
      <c r="ZK88" s="1"/>
      <c r="ZL88" s="1"/>
      <c r="ZM88" s="1"/>
      <c r="ZN88" s="1"/>
      <c r="ZO88" s="1"/>
      <c r="ZP88" s="1"/>
      <c r="ZQ88" s="1"/>
      <c r="ZR88" s="1"/>
      <c r="ZS88" s="1"/>
      <c r="ZT88" s="1"/>
      <c r="ZU88" s="1"/>
      <c r="ZV88" s="1"/>
      <c r="ZW88" s="1"/>
      <c r="ZX88" s="1"/>
      <c r="ZY88" s="1"/>
      <c r="ZZ88" s="1"/>
      <c r="AAA88" s="1"/>
      <c r="AAB88" s="1"/>
      <c r="AAC88" s="1"/>
      <c r="AAD88" s="1"/>
      <c r="AAE88" s="1"/>
      <c r="AAF88" s="1"/>
      <c r="AAG88" s="1"/>
      <c r="AAH88" s="1"/>
      <c r="AAI88" s="1"/>
      <c r="AAJ88" s="1"/>
      <c r="AAK88" s="1"/>
      <c r="AAL88" s="1"/>
      <c r="AAM88" s="1"/>
      <c r="AAN88" s="1"/>
      <c r="AAO88" s="1"/>
      <c r="AAP88" s="1"/>
      <c r="AAQ88" s="1"/>
      <c r="AAR88" s="1"/>
      <c r="AAS88" s="1"/>
      <c r="AAT88" s="1"/>
      <c r="AAU88" s="1"/>
      <c r="AAV88" s="1"/>
      <c r="AAW88" s="1"/>
      <c r="AAX88" s="1"/>
      <c r="AAY88" s="1"/>
      <c r="AAZ88" s="1"/>
      <c r="ABA88" s="1"/>
      <c r="ABB88" s="1"/>
      <c r="ABC88" s="1"/>
      <c r="ABD88" s="1"/>
      <c r="ABE88" s="1"/>
      <c r="ABF88" s="1"/>
      <c r="ABG88" s="1"/>
      <c r="ABH88" s="1"/>
      <c r="ABI88" s="1"/>
      <c r="ABJ88" s="1"/>
      <c r="ABK88" s="1"/>
      <c r="ABL88" s="1"/>
      <c r="ABM88" s="1"/>
      <c r="ABN88" s="1"/>
      <c r="ABO88" s="1"/>
      <c r="ABP88" s="1"/>
      <c r="ABQ88" s="1"/>
      <c r="ABR88" s="1"/>
      <c r="ABS88" s="1"/>
      <c r="ABT88" s="1"/>
      <c r="ABU88" s="1"/>
      <c r="ABV88" s="1"/>
      <c r="ABW88" s="1"/>
      <c r="ABX88" s="1"/>
      <c r="ABY88" s="1"/>
      <c r="ABZ88" s="1"/>
      <c r="ACA88" s="1"/>
      <c r="ACB88" s="1"/>
      <c r="ACC88" s="1"/>
      <c r="ACD88" s="1"/>
      <c r="ACE88" s="1"/>
      <c r="ACF88" s="1"/>
      <c r="ACG88" s="1"/>
      <c r="ACH88" s="1"/>
      <c r="ACI88" s="1"/>
      <c r="ACJ88" s="1"/>
      <c r="ACK88" s="1"/>
      <c r="ACL88" s="1"/>
      <c r="ACM88" s="1"/>
      <c r="ACN88" s="1"/>
      <c r="ACO88" s="1"/>
      <c r="ACP88" s="1"/>
      <c r="ACQ88" s="1"/>
      <c r="ACR88" s="1"/>
      <c r="ACS88" s="1"/>
      <c r="ACT88" s="1"/>
      <c r="ACU88" s="1"/>
      <c r="ACV88" s="1"/>
      <c r="ACW88" s="1"/>
      <c r="ACX88" s="1"/>
      <c r="ACY88" s="1"/>
      <c r="ACZ88" s="1"/>
      <c r="ADA88" s="1"/>
      <c r="ADB88" s="1"/>
      <c r="ADC88" s="1"/>
      <c r="ADD88" s="1"/>
      <c r="ADE88" s="1"/>
      <c r="ADF88" s="1"/>
      <c r="ADG88" s="1"/>
      <c r="ADH88" s="1"/>
      <c r="ADI88" s="1"/>
      <c r="ADJ88" s="1"/>
      <c r="ADK88" s="1"/>
      <c r="ADL88" s="1"/>
      <c r="ADM88" s="1"/>
      <c r="ADN88" s="1"/>
      <c r="ADO88" s="1"/>
      <c r="ADP88" s="1"/>
      <c r="ADQ88" s="1"/>
      <c r="ADR88" s="1"/>
      <c r="ADS88" s="1"/>
      <c r="ADT88" s="1"/>
      <c r="ADU88" s="1"/>
      <c r="ADV88" s="1"/>
      <c r="ADW88" s="1"/>
      <c r="ADX88" s="1"/>
      <c r="ADY88" s="1"/>
      <c r="ADZ88" s="1"/>
      <c r="AEA88" s="1"/>
      <c r="AEB88" s="1"/>
      <c r="AEC88" s="1"/>
      <c r="AED88" s="1"/>
      <c r="AEE88" s="1"/>
      <c r="AEF88" s="1"/>
      <c r="AEG88" s="1"/>
      <c r="AEH88" s="1"/>
      <c r="AEI88" s="1"/>
      <c r="AEJ88" s="1"/>
      <c r="AEK88" s="1"/>
      <c r="AEL88" s="1"/>
      <c r="AEM88" s="1"/>
      <c r="AEN88" s="1"/>
      <c r="AEO88" s="1"/>
      <c r="AEP88" s="1"/>
      <c r="AEQ88" s="1"/>
      <c r="AER88" s="1"/>
      <c r="AES88" s="1"/>
      <c r="AET88" s="1"/>
      <c r="AEU88" s="1"/>
      <c r="AEV88" s="1"/>
      <c r="AEW88" s="1"/>
      <c r="AEX88" s="1"/>
      <c r="AEY88" s="1"/>
      <c r="AEZ88" s="1"/>
      <c r="AFA88" s="1"/>
      <c r="AFB88" s="1"/>
      <c r="AFC88" s="1"/>
      <c r="AFD88" s="1"/>
      <c r="AFE88" s="1"/>
      <c r="AFF88" s="1"/>
      <c r="AFG88" s="1"/>
      <c r="AFH88" s="1"/>
      <c r="AFI88" s="1"/>
      <c r="AFJ88" s="1"/>
      <c r="AFK88" s="1"/>
      <c r="AFL88" s="1"/>
      <c r="AFM88" s="1"/>
      <c r="AFN88" s="1"/>
      <c r="AFO88" s="1"/>
      <c r="AFP88" s="1"/>
      <c r="AFQ88" s="1"/>
      <c r="AFR88" s="1"/>
      <c r="AFS88" s="1"/>
      <c r="AFT88" s="1"/>
      <c r="AFU88" s="1"/>
      <c r="AFV88" s="1"/>
      <c r="AFW88" s="1"/>
      <c r="AFX88" s="1"/>
      <c r="AFY88" s="1"/>
      <c r="AFZ88" s="1"/>
      <c r="AGA88" s="1"/>
      <c r="AGB88" s="1"/>
      <c r="AGC88" s="1"/>
      <c r="AGD88" s="1"/>
      <c r="AGE88" s="1"/>
      <c r="AGF88" s="1"/>
      <c r="AGG88" s="1"/>
      <c r="AGH88" s="1"/>
      <c r="AGI88" s="1"/>
      <c r="AGJ88" s="1"/>
      <c r="AGK88" s="1"/>
      <c r="AGL88" s="1"/>
      <c r="AGM88" s="1"/>
      <c r="AGN88" s="1"/>
      <c r="AGO88" s="1"/>
      <c r="AGP88" s="1"/>
      <c r="AGQ88" s="1"/>
      <c r="AGR88" s="1"/>
      <c r="AGS88" s="1"/>
      <c r="AGT88" s="1"/>
      <c r="AGU88" s="1"/>
      <c r="AGV88" s="1"/>
      <c r="AGW88" s="1"/>
      <c r="AGX88" s="1"/>
      <c r="AGY88" s="1"/>
      <c r="AGZ88" s="1"/>
      <c r="AHA88" s="1"/>
      <c r="AHB88" s="1"/>
      <c r="AHC88" s="1"/>
      <c r="AHD88" s="1"/>
      <c r="AHE88" s="1"/>
      <c r="AHF88" s="1"/>
      <c r="AHG88" s="1"/>
      <c r="AHH88" s="1"/>
      <c r="AHI88" s="1"/>
      <c r="AHJ88" s="1"/>
      <c r="AHK88" s="1"/>
      <c r="AHL88" s="1"/>
      <c r="AHM88" s="1"/>
      <c r="AHN88" s="1"/>
      <c r="AHO88" s="1"/>
      <c r="AHP88" s="1"/>
      <c r="AHQ88" s="1"/>
      <c r="AHR88" s="1"/>
      <c r="AHS88" s="1"/>
      <c r="AHT88" s="1"/>
      <c r="AHU88" s="1"/>
      <c r="AHV88" s="1"/>
      <c r="AHW88" s="1"/>
      <c r="AHX88" s="1"/>
      <c r="AHY88" s="1"/>
      <c r="AHZ88" s="1"/>
      <c r="AIA88" s="1"/>
      <c r="AIB88" s="1"/>
      <c r="AIC88" s="1"/>
      <c r="AID88" s="1"/>
      <c r="AIE88" s="1"/>
      <c r="AIF88" s="1"/>
      <c r="AIG88" s="1"/>
      <c r="AIH88" s="1"/>
      <c r="AII88" s="1"/>
      <c r="AIJ88" s="1"/>
      <c r="AIK88" s="1"/>
      <c r="AIL88" s="1"/>
      <c r="AIM88" s="1"/>
      <c r="AIN88" s="1"/>
      <c r="AIO88" s="1"/>
      <c r="AIP88" s="1"/>
      <c r="AIQ88" s="1"/>
      <c r="AIR88" s="1"/>
      <c r="AIS88" s="1"/>
      <c r="AIT88" s="1"/>
      <c r="AIU88" s="1"/>
      <c r="AIV88" s="1"/>
      <c r="AIW88" s="1"/>
      <c r="AIX88" s="1"/>
      <c r="AIY88" s="1"/>
      <c r="AIZ88" s="1"/>
      <c r="AJA88" s="1"/>
      <c r="AJB88" s="1"/>
      <c r="AJC88" s="1"/>
      <c r="AJD88" s="1"/>
      <c r="AJE88" s="1"/>
      <c r="AJF88" s="1"/>
      <c r="AJG88" s="1"/>
      <c r="AJH88" s="1"/>
      <c r="AJI88" s="1"/>
      <c r="AJJ88" s="1"/>
      <c r="AJK88" s="1"/>
      <c r="AJL88" s="1"/>
      <c r="AJM88" s="1"/>
      <c r="AJN88" s="1"/>
      <c r="AJO88" s="1"/>
      <c r="AJP88" s="1"/>
      <c r="AJQ88" s="1"/>
      <c r="AJR88" s="1"/>
      <c r="AJS88" s="1"/>
      <c r="AJT88" s="1"/>
      <c r="AJU88" s="1"/>
      <c r="AJV88" s="1"/>
      <c r="AJW88" s="1"/>
      <c r="AJX88" s="1"/>
      <c r="AJY88" s="1"/>
      <c r="AJZ88" s="1"/>
      <c r="AKA88" s="1"/>
      <c r="AKB88" s="1"/>
      <c r="AKC88" s="1"/>
      <c r="AKD88" s="1"/>
      <c r="AKE88" s="1"/>
      <c r="AKF88" s="1"/>
      <c r="AKG88" s="1"/>
      <c r="AKH88" s="1"/>
      <c r="AKI88" s="1"/>
      <c r="AKJ88" s="1"/>
      <c r="AKK88" s="1"/>
      <c r="AKL88" s="1"/>
      <c r="AKM88" s="1"/>
      <c r="AKN88" s="1"/>
      <c r="AKO88" s="1"/>
      <c r="AKP88" s="1"/>
      <c r="AKQ88" s="1"/>
      <c r="AKR88" s="1"/>
      <c r="AKS88" s="1"/>
      <c r="AKT88" s="1"/>
      <c r="AKU88" s="1"/>
      <c r="AKV88" s="1"/>
      <c r="AKW88" s="1"/>
      <c r="AKX88" s="1"/>
      <c r="AKY88" s="1"/>
      <c r="AKZ88" s="1"/>
      <c r="ALA88" s="1"/>
      <c r="ALB88" s="1"/>
      <c r="ALC88" s="1"/>
      <c r="ALD88" s="1"/>
      <c r="ALE88" s="1"/>
      <c r="ALF88" s="1"/>
      <c r="ALG88" s="1"/>
      <c r="ALH88" s="1"/>
      <c r="ALI88" s="1"/>
      <c r="ALJ88" s="1"/>
      <c r="ALK88" s="1"/>
      <c r="ALL88" s="1"/>
      <c r="ALM88" s="1"/>
      <c r="ALN88" s="1"/>
      <c r="ALO88" s="1"/>
      <c r="ALP88" s="1"/>
      <c r="ALQ88" s="1"/>
      <c r="ALR88" s="1"/>
      <c r="ALS88" s="1"/>
      <c r="ALT88" s="1"/>
      <c r="ALU88" s="1"/>
      <c r="ALV88" s="1"/>
      <c r="ALW88" s="1"/>
      <c r="ALX88" s="1"/>
      <c r="ALY88" s="1"/>
      <c r="ALZ88" s="1"/>
      <c r="AMA88" s="1"/>
      <c r="AMB88" s="1"/>
      <c r="AMC88" s="1"/>
      <c r="AMD88" s="1"/>
      <c r="AME88" s="1"/>
      <c r="AMF88" s="1"/>
      <c r="AMG88" s="1"/>
      <c r="AMH88" s="1"/>
      <c r="AMI88" s="1"/>
      <c r="AMJ88" s="1"/>
    </row>
    <row r="89" customFormat="false" ht="47.25" hidden="false" customHeight="true" outlineLevel="0" collapsed="false">
      <c r="A89" s="113"/>
      <c r="B89" s="113"/>
      <c r="C89" s="113"/>
      <c r="D89" s="113"/>
      <c r="E89" s="113"/>
      <c r="F89" s="113"/>
      <c r="G89" s="113"/>
      <c r="H89" s="113"/>
      <c r="I89" s="113"/>
      <c r="J89" s="113"/>
      <c r="K89" s="113"/>
      <c r="L89" s="113"/>
      <c r="M89" s="113"/>
      <c r="N89" s="113"/>
      <c r="O89" s="113"/>
      <c r="P89" s="113"/>
      <c r="Q89" s="113"/>
      <c r="R89" s="113"/>
      <c r="S89" s="113"/>
      <c r="T89" s="113"/>
      <c r="U89" s="113"/>
      <c r="V89" s="113"/>
      <c r="W89" s="113"/>
      <c r="X89" s="113"/>
      <c r="Y89" s="113"/>
      <c r="Z89" s="113"/>
      <c r="AA89" s="113"/>
      <c r="AB89" s="113"/>
      <c r="AC89" s="113"/>
      <c r="AD89" s="113"/>
      <c r="AE89" s="113"/>
      <c r="AF89" s="113"/>
      <c r="AG89" s="113"/>
      <c r="AH89" s="113"/>
      <c r="AI89" s="113"/>
      <c r="AJ89" s="113"/>
      <c r="AK89" s="113"/>
      <c r="AL89" s="113"/>
      <c r="AM89" s="113"/>
      <c r="AN89" s="113"/>
      <c r="AO89" s="113"/>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c r="IY89" s="1"/>
      <c r="IZ89" s="1"/>
      <c r="JA89" s="1"/>
      <c r="JB89" s="1"/>
      <c r="JC89" s="1"/>
      <c r="JD89" s="1"/>
      <c r="JE89" s="1"/>
      <c r="JF89" s="1"/>
      <c r="JG89" s="1"/>
      <c r="JH89" s="1"/>
      <c r="JI89" s="1"/>
      <c r="JJ89" s="1"/>
      <c r="JK89" s="1"/>
      <c r="JL89" s="1"/>
      <c r="JM89" s="1"/>
      <c r="JN89" s="1"/>
      <c r="JO89" s="1"/>
      <c r="JP89" s="1"/>
      <c r="JQ89" s="1"/>
      <c r="JR89" s="1"/>
      <c r="JS89" s="1"/>
      <c r="JT89" s="1"/>
      <c r="JU89" s="1"/>
      <c r="JV89" s="1"/>
      <c r="JW89" s="1"/>
      <c r="JX89" s="1"/>
      <c r="JY89" s="1"/>
      <c r="JZ89" s="1"/>
      <c r="KA89" s="1"/>
      <c r="KB89" s="1"/>
      <c r="KC89" s="1"/>
      <c r="KD89" s="1"/>
      <c r="KE89" s="1"/>
      <c r="KF89" s="1"/>
      <c r="KG89" s="1"/>
      <c r="KH89" s="1"/>
      <c r="KI89" s="1"/>
      <c r="KJ89" s="1"/>
      <c r="KK89" s="1"/>
      <c r="KL89" s="1"/>
      <c r="KM89" s="1"/>
      <c r="KN89" s="1"/>
      <c r="KO89" s="1"/>
      <c r="KP89" s="1"/>
      <c r="KQ89" s="1"/>
      <c r="KR89" s="1"/>
      <c r="KS89" s="1"/>
      <c r="KT89" s="1"/>
      <c r="KU89" s="1"/>
      <c r="KV89" s="1"/>
      <c r="KW89" s="1"/>
      <c r="KX89" s="1"/>
      <c r="KY89" s="1"/>
      <c r="KZ89" s="1"/>
      <c r="LA89" s="1"/>
      <c r="LB89" s="1"/>
      <c r="LC89" s="1"/>
      <c r="LD89" s="1"/>
      <c r="LE89" s="1"/>
      <c r="LF89" s="1"/>
      <c r="LG89" s="1"/>
      <c r="LH89" s="1"/>
      <c r="LI89" s="1"/>
      <c r="LJ89" s="1"/>
      <c r="LK89" s="1"/>
      <c r="LL89" s="1"/>
      <c r="LM89" s="1"/>
      <c r="LN89" s="1"/>
      <c r="LO89" s="1"/>
      <c r="LP89" s="1"/>
      <c r="LQ89" s="1"/>
      <c r="LR89" s="1"/>
      <c r="LS89" s="1"/>
      <c r="LT89" s="1"/>
      <c r="LU89" s="1"/>
      <c r="LV89" s="1"/>
      <c r="LW89" s="1"/>
      <c r="LX89" s="1"/>
      <c r="LY89" s="1"/>
      <c r="LZ89" s="1"/>
      <c r="MA89" s="1"/>
      <c r="MB89" s="1"/>
      <c r="MC89" s="1"/>
      <c r="MD89" s="1"/>
      <c r="ME89" s="1"/>
      <c r="MF89" s="1"/>
      <c r="MG89" s="1"/>
      <c r="MH89" s="1"/>
      <c r="MI89" s="1"/>
      <c r="MJ89" s="1"/>
      <c r="MK89" s="1"/>
      <c r="ML89" s="1"/>
      <c r="MM89" s="1"/>
      <c r="MN89" s="1"/>
      <c r="MO89" s="1"/>
      <c r="MP89" s="1"/>
      <c r="MQ89" s="1"/>
      <c r="MR89" s="1"/>
      <c r="MS89" s="1"/>
      <c r="MT89" s="1"/>
      <c r="MU89" s="1"/>
      <c r="MV89" s="1"/>
      <c r="MW89" s="1"/>
      <c r="MX89" s="1"/>
      <c r="MY89" s="1"/>
      <c r="MZ89" s="1"/>
      <c r="NA89" s="1"/>
      <c r="NB89" s="1"/>
      <c r="NC89" s="1"/>
      <c r="ND89" s="1"/>
      <c r="NE89" s="1"/>
      <c r="NF89" s="1"/>
      <c r="NG89" s="1"/>
      <c r="NH89" s="1"/>
      <c r="NI89" s="1"/>
      <c r="NJ89" s="1"/>
      <c r="NK89" s="1"/>
      <c r="NL89" s="1"/>
      <c r="NM89" s="1"/>
      <c r="NN89" s="1"/>
      <c r="NO89" s="1"/>
      <c r="NP89" s="1"/>
      <c r="NQ89" s="1"/>
      <c r="NR89" s="1"/>
      <c r="NS89" s="1"/>
      <c r="NT89" s="1"/>
      <c r="NU89" s="1"/>
      <c r="NV89" s="1"/>
      <c r="NW89" s="1"/>
      <c r="NX89" s="1"/>
      <c r="NY89" s="1"/>
      <c r="NZ89" s="1"/>
      <c r="OA89" s="1"/>
      <c r="OB89" s="1"/>
      <c r="OC89" s="1"/>
      <c r="OD89" s="1"/>
      <c r="OE89" s="1"/>
      <c r="OF89" s="1"/>
      <c r="OG89" s="1"/>
      <c r="OH89" s="1"/>
      <c r="OI89" s="1"/>
      <c r="OJ89" s="1"/>
      <c r="OK89" s="1"/>
      <c r="OL89" s="1"/>
      <c r="OM89" s="1"/>
      <c r="ON89" s="1"/>
      <c r="OO89" s="1"/>
      <c r="OP89" s="1"/>
      <c r="OQ89" s="1"/>
      <c r="OR89" s="1"/>
      <c r="OS89" s="1"/>
      <c r="OT89" s="1"/>
      <c r="OU89" s="1"/>
      <c r="OV89" s="1"/>
      <c r="OW89" s="1"/>
      <c r="OX89" s="1"/>
      <c r="OY89" s="1"/>
      <c r="OZ89" s="1"/>
      <c r="PA89" s="1"/>
      <c r="PB89" s="1"/>
      <c r="PC89" s="1"/>
      <c r="PD89" s="1"/>
      <c r="PE89" s="1"/>
      <c r="PF89" s="1"/>
      <c r="PG89" s="1"/>
      <c r="PH89" s="1"/>
      <c r="PI89" s="1"/>
      <c r="PJ89" s="1"/>
      <c r="PK89" s="1"/>
      <c r="PL89" s="1"/>
      <c r="PM89" s="1"/>
      <c r="PN89" s="1"/>
      <c r="PO89" s="1"/>
      <c r="PP89" s="1"/>
      <c r="PQ89" s="1"/>
      <c r="PR89" s="1"/>
      <c r="PS89" s="1"/>
      <c r="PT89" s="1"/>
      <c r="PU89" s="1"/>
      <c r="PV89" s="1"/>
      <c r="PW89" s="1"/>
      <c r="PX89" s="1"/>
      <c r="PY89" s="1"/>
      <c r="PZ89" s="1"/>
      <c r="QA89" s="1"/>
      <c r="QB89" s="1"/>
      <c r="QC89" s="1"/>
      <c r="QD89" s="1"/>
      <c r="QE89" s="1"/>
      <c r="QF89" s="1"/>
      <c r="QG89" s="1"/>
      <c r="QH89" s="1"/>
      <c r="QI89" s="1"/>
      <c r="QJ89" s="1"/>
      <c r="QK89" s="1"/>
      <c r="QL89" s="1"/>
      <c r="QM89" s="1"/>
      <c r="QN89" s="1"/>
      <c r="QO89" s="1"/>
      <c r="QP89" s="1"/>
      <c r="QQ89" s="1"/>
      <c r="QR89" s="1"/>
      <c r="QS89" s="1"/>
      <c r="QT89" s="1"/>
      <c r="QU89" s="1"/>
      <c r="QV89" s="1"/>
      <c r="QW89" s="1"/>
      <c r="QX89" s="1"/>
      <c r="QY89" s="1"/>
      <c r="QZ89" s="1"/>
      <c r="RA89" s="1"/>
      <c r="RB89" s="1"/>
      <c r="RC89" s="1"/>
      <c r="RD89" s="1"/>
      <c r="RE89" s="1"/>
      <c r="RF89" s="1"/>
      <c r="RG89" s="1"/>
      <c r="RH89" s="1"/>
      <c r="RI89" s="1"/>
      <c r="RJ89" s="1"/>
      <c r="RK89" s="1"/>
      <c r="RL89" s="1"/>
      <c r="RM89" s="1"/>
      <c r="RN89" s="1"/>
      <c r="RO89" s="1"/>
      <c r="RP89" s="1"/>
      <c r="RQ89" s="1"/>
      <c r="RR89" s="1"/>
      <c r="RS89" s="1"/>
      <c r="RT89" s="1"/>
      <c r="RU89" s="1"/>
      <c r="RV89" s="1"/>
      <c r="RW89" s="1"/>
      <c r="RX89" s="1"/>
      <c r="RY89" s="1"/>
      <c r="RZ89" s="1"/>
      <c r="SA89" s="1"/>
      <c r="SB89" s="1"/>
      <c r="SC89" s="1"/>
      <c r="SD89" s="1"/>
      <c r="SE89" s="1"/>
      <c r="SF89" s="1"/>
      <c r="SG89" s="1"/>
      <c r="SH89" s="1"/>
      <c r="SI89" s="1"/>
      <c r="SJ89" s="1"/>
      <c r="SK89" s="1"/>
      <c r="SL89" s="1"/>
      <c r="SM89" s="1"/>
      <c r="SN89" s="1"/>
      <c r="SO89" s="1"/>
      <c r="SP89" s="1"/>
      <c r="SQ89" s="1"/>
      <c r="SR89" s="1"/>
      <c r="SS89" s="1"/>
      <c r="ST89" s="1"/>
      <c r="SU89" s="1"/>
      <c r="SV89" s="1"/>
      <c r="SW89" s="1"/>
      <c r="SX89" s="1"/>
      <c r="SY89" s="1"/>
      <c r="SZ89" s="1"/>
      <c r="TA89" s="1"/>
      <c r="TB89" s="1"/>
      <c r="TC89" s="1"/>
      <c r="TD89" s="1"/>
      <c r="TE89" s="1"/>
      <c r="TF89" s="1"/>
      <c r="TG89" s="1"/>
      <c r="TH89" s="1"/>
      <c r="TI89" s="1"/>
      <c r="TJ89" s="1"/>
      <c r="TK89" s="1"/>
      <c r="TL89" s="1"/>
      <c r="TM89" s="1"/>
      <c r="TN89" s="1"/>
      <c r="TO89" s="1"/>
      <c r="TP89" s="1"/>
      <c r="TQ89" s="1"/>
      <c r="TR89" s="1"/>
      <c r="TS89" s="1"/>
      <c r="TT89" s="1"/>
      <c r="TU89" s="1"/>
      <c r="TV89" s="1"/>
      <c r="TW89" s="1"/>
      <c r="TX89" s="1"/>
      <c r="TY89" s="1"/>
      <c r="TZ89" s="1"/>
      <c r="UA89" s="1"/>
      <c r="UB89" s="1"/>
      <c r="UC89" s="1"/>
      <c r="UD89" s="1"/>
      <c r="UE89" s="1"/>
      <c r="UF89" s="1"/>
      <c r="UG89" s="1"/>
      <c r="UH89" s="1"/>
      <c r="UI89" s="1"/>
      <c r="UJ89" s="1"/>
      <c r="UK89" s="1"/>
      <c r="UL89" s="1"/>
      <c r="UM89" s="1"/>
      <c r="UN89" s="1"/>
      <c r="UO89" s="1"/>
      <c r="UP89" s="1"/>
      <c r="UQ89" s="1"/>
      <c r="UR89" s="1"/>
      <c r="US89" s="1"/>
      <c r="UT89" s="1"/>
      <c r="UU89" s="1"/>
      <c r="UV89" s="1"/>
      <c r="UW89" s="1"/>
      <c r="UX89" s="1"/>
      <c r="UY89" s="1"/>
      <c r="UZ89" s="1"/>
      <c r="VA89" s="1"/>
      <c r="VB89" s="1"/>
      <c r="VC89" s="1"/>
      <c r="VD89" s="1"/>
      <c r="VE89" s="1"/>
      <c r="VF89" s="1"/>
      <c r="VG89" s="1"/>
      <c r="VH89" s="1"/>
      <c r="VI89" s="1"/>
      <c r="VJ89" s="1"/>
      <c r="VK89" s="1"/>
      <c r="VL89" s="1"/>
      <c r="VM89" s="1"/>
      <c r="VN89" s="1"/>
      <c r="VO89" s="1"/>
      <c r="VP89" s="1"/>
      <c r="VQ89" s="1"/>
      <c r="VR89" s="1"/>
      <c r="VS89" s="1"/>
      <c r="VT89" s="1"/>
      <c r="VU89" s="1"/>
      <c r="VV89" s="1"/>
      <c r="VW89" s="1"/>
      <c r="VX89" s="1"/>
      <c r="VY89" s="1"/>
      <c r="VZ89" s="1"/>
      <c r="WA89" s="1"/>
      <c r="WB89" s="1"/>
      <c r="WC89" s="1"/>
      <c r="WD89" s="1"/>
      <c r="WE89" s="1"/>
      <c r="WF89" s="1"/>
      <c r="WG89" s="1"/>
      <c r="WH89" s="1"/>
      <c r="WI89" s="1"/>
      <c r="WJ89" s="1"/>
      <c r="WK89" s="1"/>
      <c r="WL89" s="1"/>
      <c r="WM89" s="1"/>
      <c r="WN89" s="1"/>
      <c r="WO89" s="1"/>
      <c r="WP89" s="1"/>
      <c r="WQ89" s="1"/>
      <c r="WR89" s="1"/>
      <c r="WS89" s="1"/>
      <c r="WT89" s="1"/>
      <c r="WU89" s="1"/>
      <c r="WV89" s="1"/>
      <c r="WW89" s="1"/>
      <c r="WX89" s="1"/>
      <c r="WY89" s="1"/>
      <c r="WZ89" s="1"/>
      <c r="XA89" s="1"/>
      <c r="XB89" s="1"/>
      <c r="XC89" s="1"/>
      <c r="XD89" s="1"/>
      <c r="XE89" s="1"/>
      <c r="XF89" s="1"/>
      <c r="XG89" s="1"/>
      <c r="XH89" s="1"/>
      <c r="XI89" s="1"/>
      <c r="XJ89" s="1"/>
      <c r="XK89" s="1"/>
      <c r="XL89" s="1"/>
      <c r="XM89" s="1"/>
      <c r="XN89" s="1"/>
      <c r="XO89" s="1"/>
      <c r="XP89" s="1"/>
      <c r="XQ89" s="1"/>
      <c r="XR89" s="1"/>
      <c r="XS89" s="1"/>
      <c r="XT89" s="1"/>
      <c r="XU89" s="1"/>
      <c r="XV89" s="1"/>
      <c r="XW89" s="1"/>
      <c r="XX89" s="1"/>
      <c r="XY89" s="1"/>
      <c r="XZ89" s="1"/>
      <c r="YA89" s="1"/>
      <c r="YB89" s="1"/>
      <c r="YC89" s="1"/>
      <c r="YD89" s="1"/>
      <c r="YE89" s="1"/>
      <c r="YF89" s="1"/>
      <c r="YG89" s="1"/>
      <c r="YH89" s="1"/>
      <c r="YI89" s="1"/>
      <c r="YJ89" s="1"/>
      <c r="YK89" s="1"/>
      <c r="YL89" s="1"/>
      <c r="YM89" s="1"/>
      <c r="YN89" s="1"/>
      <c r="YO89" s="1"/>
      <c r="YP89" s="1"/>
      <c r="YQ89" s="1"/>
      <c r="YR89" s="1"/>
      <c r="YS89" s="1"/>
      <c r="YT89" s="1"/>
      <c r="YU89" s="1"/>
      <c r="YV89" s="1"/>
      <c r="YW89" s="1"/>
      <c r="YX89" s="1"/>
      <c r="YY89" s="1"/>
      <c r="YZ89" s="1"/>
      <c r="ZA89" s="1"/>
      <c r="ZB89" s="1"/>
      <c r="ZC89" s="1"/>
      <c r="ZD89" s="1"/>
      <c r="ZE89" s="1"/>
      <c r="ZF89" s="1"/>
      <c r="ZG89" s="1"/>
      <c r="ZH89" s="1"/>
      <c r="ZI89" s="1"/>
      <c r="ZJ89" s="1"/>
      <c r="ZK89" s="1"/>
      <c r="ZL89" s="1"/>
      <c r="ZM89" s="1"/>
      <c r="ZN89" s="1"/>
      <c r="ZO89" s="1"/>
      <c r="ZP89" s="1"/>
      <c r="ZQ89" s="1"/>
      <c r="ZR89" s="1"/>
      <c r="ZS89" s="1"/>
      <c r="ZT89" s="1"/>
      <c r="ZU89" s="1"/>
      <c r="ZV89" s="1"/>
      <c r="ZW89" s="1"/>
      <c r="ZX89" s="1"/>
      <c r="ZY89" s="1"/>
      <c r="ZZ89" s="1"/>
      <c r="AAA89" s="1"/>
      <c r="AAB89" s="1"/>
      <c r="AAC89" s="1"/>
      <c r="AAD89" s="1"/>
      <c r="AAE89" s="1"/>
      <c r="AAF89" s="1"/>
      <c r="AAG89" s="1"/>
      <c r="AAH89" s="1"/>
      <c r="AAI89" s="1"/>
      <c r="AAJ89" s="1"/>
      <c r="AAK89" s="1"/>
      <c r="AAL89" s="1"/>
      <c r="AAM89" s="1"/>
      <c r="AAN89" s="1"/>
      <c r="AAO89" s="1"/>
      <c r="AAP89" s="1"/>
      <c r="AAQ89" s="1"/>
      <c r="AAR89" s="1"/>
      <c r="AAS89" s="1"/>
      <c r="AAT89" s="1"/>
      <c r="AAU89" s="1"/>
      <c r="AAV89" s="1"/>
      <c r="AAW89" s="1"/>
      <c r="AAX89" s="1"/>
      <c r="AAY89" s="1"/>
      <c r="AAZ89" s="1"/>
      <c r="ABA89" s="1"/>
      <c r="ABB89" s="1"/>
      <c r="ABC89" s="1"/>
      <c r="ABD89" s="1"/>
      <c r="ABE89" s="1"/>
      <c r="ABF89" s="1"/>
      <c r="ABG89" s="1"/>
      <c r="ABH89" s="1"/>
      <c r="ABI89" s="1"/>
      <c r="ABJ89" s="1"/>
      <c r="ABK89" s="1"/>
      <c r="ABL89" s="1"/>
      <c r="ABM89" s="1"/>
      <c r="ABN89" s="1"/>
      <c r="ABO89" s="1"/>
      <c r="ABP89" s="1"/>
      <c r="ABQ89" s="1"/>
      <c r="ABR89" s="1"/>
      <c r="ABS89" s="1"/>
      <c r="ABT89" s="1"/>
      <c r="ABU89" s="1"/>
      <c r="ABV89" s="1"/>
      <c r="ABW89" s="1"/>
      <c r="ABX89" s="1"/>
      <c r="ABY89" s="1"/>
      <c r="ABZ89" s="1"/>
      <c r="ACA89" s="1"/>
      <c r="ACB89" s="1"/>
      <c r="ACC89" s="1"/>
      <c r="ACD89" s="1"/>
      <c r="ACE89" s="1"/>
      <c r="ACF89" s="1"/>
      <c r="ACG89" s="1"/>
      <c r="ACH89" s="1"/>
      <c r="ACI89" s="1"/>
      <c r="ACJ89" s="1"/>
      <c r="ACK89" s="1"/>
      <c r="ACL89" s="1"/>
      <c r="ACM89" s="1"/>
      <c r="ACN89" s="1"/>
      <c r="ACO89" s="1"/>
      <c r="ACP89" s="1"/>
      <c r="ACQ89" s="1"/>
      <c r="ACR89" s="1"/>
      <c r="ACS89" s="1"/>
      <c r="ACT89" s="1"/>
      <c r="ACU89" s="1"/>
      <c r="ACV89" s="1"/>
      <c r="ACW89" s="1"/>
      <c r="ACX89" s="1"/>
      <c r="ACY89" s="1"/>
      <c r="ACZ89" s="1"/>
      <c r="ADA89" s="1"/>
      <c r="ADB89" s="1"/>
      <c r="ADC89" s="1"/>
      <c r="ADD89" s="1"/>
      <c r="ADE89" s="1"/>
      <c r="ADF89" s="1"/>
      <c r="ADG89" s="1"/>
      <c r="ADH89" s="1"/>
      <c r="ADI89" s="1"/>
      <c r="ADJ89" s="1"/>
      <c r="ADK89" s="1"/>
      <c r="ADL89" s="1"/>
      <c r="ADM89" s="1"/>
      <c r="ADN89" s="1"/>
      <c r="ADO89" s="1"/>
      <c r="ADP89" s="1"/>
      <c r="ADQ89" s="1"/>
      <c r="ADR89" s="1"/>
      <c r="ADS89" s="1"/>
      <c r="ADT89" s="1"/>
      <c r="ADU89" s="1"/>
      <c r="ADV89" s="1"/>
      <c r="ADW89" s="1"/>
      <c r="ADX89" s="1"/>
      <c r="ADY89" s="1"/>
      <c r="ADZ89" s="1"/>
      <c r="AEA89" s="1"/>
      <c r="AEB89" s="1"/>
      <c r="AEC89" s="1"/>
      <c r="AED89" s="1"/>
      <c r="AEE89" s="1"/>
      <c r="AEF89" s="1"/>
      <c r="AEG89" s="1"/>
      <c r="AEH89" s="1"/>
      <c r="AEI89" s="1"/>
      <c r="AEJ89" s="1"/>
      <c r="AEK89" s="1"/>
      <c r="AEL89" s="1"/>
      <c r="AEM89" s="1"/>
      <c r="AEN89" s="1"/>
      <c r="AEO89" s="1"/>
      <c r="AEP89" s="1"/>
      <c r="AEQ89" s="1"/>
      <c r="AER89" s="1"/>
      <c r="AES89" s="1"/>
      <c r="AET89" s="1"/>
      <c r="AEU89" s="1"/>
      <c r="AEV89" s="1"/>
      <c r="AEW89" s="1"/>
      <c r="AEX89" s="1"/>
      <c r="AEY89" s="1"/>
      <c r="AEZ89" s="1"/>
      <c r="AFA89" s="1"/>
      <c r="AFB89" s="1"/>
      <c r="AFC89" s="1"/>
      <c r="AFD89" s="1"/>
      <c r="AFE89" s="1"/>
      <c r="AFF89" s="1"/>
      <c r="AFG89" s="1"/>
      <c r="AFH89" s="1"/>
      <c r="AFI89" s="1"/>
      <c r="AFJ89" s="1"/>
      <c r="AFK89" s="1"/>
      <c r="AFL89" s="1"/>
      <c r="AFM89" s="1"/>
      <c r="AFN89" s="1"/>
      <c r="AFO89" s="1"/>
      <c r="AFP89" s="1"/>
      <c r="AFQ89" s="1"/>
      <c r="AFR89" s="1"/>
      <c r="AFS89" s="1"/>
      <c r="AFT89" s="1"/>
      <c r="AFU89" s="1"/>
      <c r="AFV89" s="1"/>
      <c r="AFW89" s="1"/>
      <c r="AFX89" s="1"/>
      <c r="AFY89" s="1"/>
      <c r="AFZ89" s="1"/>
      <c r="AGA89" s="1"/>
      <c r="AGB89" s="1"/>
      <c r="AGC89" s="1"/>
      <c r="AGD89" s="1"/>
      <c r="AGE89" s="1"/>
      <c r="AGF89" s="1"/>
      <c r="AGG89" s="1"/>
      <c r="AGH89" s="1"/>
      <c r="AGI89" s="1"/>
      <c r="AGJ89" s="1"/>
      <c r="AGK89" s="1"/>
      <c r="AGL89" s="1"/>
      <c r="AGM89" s="1"/>
      <c r="AGN89" s="1"/>
      <c r="AGO89" s="1"/>
      <c r="AGP89" s="1"/>
      <c r="AGQ89" s="1"/>
      <c r="AGR89" s="1"/>
      <c r="AGS89" s="1"/>
      <c r="AGT89" s="1"/>
      <c r="AGU89" s="1"/>
      <c r="AGV89" s="1"/>
      <c r="AGW89" s="1"/>
      <c r="AGX89" s="1"/>
      <c r="AGY89" s="1"/>
      <c r="AGZ89" s="1"/>
      <c r="AHA89" s="1"/>
      <c r="AHB89" s="1"/>
      <c r="AHC89" s="1"/>
      <c r="AHD89" s="1"/>
      <c r="AHE89" s="1"/>
      <c r="AHF89" s="1"/>
      <c r="AHG89" s="1"/>
      <c r="AHH89" s="1"/>
      <c r="AHI89" s="1"/>
      <c r="AHJ89" s="1"/>
      <c r="AHK89" s="1"/>
      <c r="AHL89" s="1"/>
      <c r="AHM89" s="1"/>
      <c r="AHN89" s="1"/>
      <c r="AHO89" s="1"/>
      <c r="AHP89" s="1"/>
      <c r="AHQ89" s="1"/>
      <c r="AHR89" s="1"/>
      <c r="AHS89" s="1"/>
      <c r="AHT89" s="1"/>
      <c r="AHU89" s="1"/>
      <c r="AHV89" s="1"/>
      <c r="AHW89" s="1"/>
      <c r="AHX89" s="1"/>
      <c r="AHY89" s="1"/>
      <c r="AHZ89" s="1"/>
      <c r="AIA89" s="1"/>
      <c r="AIB89" s="1"/>
      <c r="AIC89" s="1"/>
      <c r="AID89" s="1"/>
      <c r="AIE89" s="1"/>
      <c r="AIF89" s="1"/>
      <c r="AIG89" s="1"/>
      <c r="AIH89" s="1"/>
      <c r="AII89" s="1"/>
      <c r="AIJ89" s="1"/>
      <c r="AIK89" s="1"/>
      <c r="AIL89" s="1"/>
      <c r="AIM89" s="1"/>
      <c r="AIN89" s="1"/>
      <c r="AIO89" s="1"/>
      <c r="AIP89" s="1"/>
      <c r="AIQ89" s="1"/>
      <c r="AIR89" s="1"/>
      <c r="AIS89" s="1"/>
      <c r="AIT89" s="1"/>
      <c r="AIU89" s="1"/>
      <c r="AIV89" s="1"/>
      <c r="AIW89" s="1"/>
      <c r="AIX89" s="1"/>
      <c r="AIY89" s="1"/>
      <c r="AIZ89" s="1"/>
      <c r="AJA89" s="1"/>
      <c r="AJB89" s="1"/>
      <c r="AJC89" s="1"/>
      <c r="AJD89" s="1"/>
      <c r="AJE89" s="1"/>
      <c r="AJF89" s="1"/>
      <c r="AJG89" s="1"/>
      <c r="AJH89" s="1"/>
      <c r="AJI89" s="1"/>
      <c r="AJJ89" s="1"/>
      <c r="AJK89" s="1"/>
      <c r="AJL89" s="1"/>
      <c r="AJM89" s="1"/>
      <c r="AJN89" s="1"/>
      <c r="AJO89" s="1"/>
      <c r="AJP89" s="1"/>
      <c r="AJQ89" s="1"/>
      <c r="AJR89" s="1"/>
      <c r="AJS89" s="1"/>
      <c r="AJT89" s="1"/>
      <c r="AJU89" s="1"/>
      <c r="AJV89" s="1"/>
      <c r="AJW89" s="1"/>
      <c r="AJX89" s="1"/>
      <c r="AJY89" s="1"/>
      <c r="AJZ89" s="1"/>
      <c r="AKA89" s="1"/>
      <c r="AKB89" s="1"/>
      <c r="AKC89" s="1"/>
      <c r="AKD89" s="1"/>
      <c r="AKE89" s="1"/>
      <c r="AKF89" s="1"/>
      <c r="AKG89" s="1"/>
      <c r="AKH89" s="1"/>
      <c r="AKI89" s="1"/>
      <c r="AKJ89" s="1"/>
      <c r="AKK89" s="1"/>
      <c r="AKL89" s="1"/>
      <c r="AKM89" s="1"/>
      <c r="AKN89" s="1"/>
      <c r="AKO89" s="1"/>
      <c r="AKP89" s="1"/>
      <c r="AKQ89" s="1"/>
      <c r="AKR89" s="1"/>
      <c r="AKS89" s="1"/>
      <c r="AKT89" s="1"/>
      <c r="AKU89" s="1"/>
      <c r="AKV89" s="1"/>
      <c r="AKW89" s="1"/>
      <c r="AKX89" s="1"/>
      <c r="AKY89" s="1"/>
      <c r="AKZ89" s="1"/>
      <c r="ALA89" s="1"/>
      <c r="ALB89" s="1"/>
      <c r="ALC89" s="1"/>
      <c r="ALD89" s="1"/>
      <c r="ALE89" s="1"/>
      <c r="ALF89" s="1"/>
      <c r="ALG89" s="1"/>
      <c r="ALH89" s="1"/>
      <c r="ALI89" s="1"/>
      <c r="ALJ89" s="1"/>
      <c r="ALK89" s="1"/>
      <c r="ALL89" s="1"/>
      <c r="ALM89" s="1"/>
      <c r="ALN89" s="1"/>
      <c r="ALO89" s="1"/>
      <c r="ALP89" s="1"/>
      <c r="ALQ89" s="1"/>
      <c r="ALR89" s="1"/>
      <c r="ALS89" s="1"/>
      <c r="ALT89" s="1"/>
      <c r="ALU89" s="1"/>
      <c r="ALV89" s="1"/>
      <c r="ALW89" s="1"/>
      <c r="ALX89" s="1"/>
      <c r="ALY89" s="1"/>
      <c r="ALZ89" s="1"/>
      <c r="AMA89" s="1"/>
      <c r="AMB89" s="1"/>
      <c r="AMC89" s="1"/>
      <c r="AMD89" s="1"/>
      <c r="AME89" s="1"/>
      <c r="AMF89" s="1"/>
      <c r="AMG89" s="1"/>
      <c r="AMH89" s="1"/>
      <c r="AMI89" s="1"/>
      <c r="AMJ89" s="1"/>
    </row>
    <row r="90" customFormat="false" ht="10.5" hidden="false" customHeight="true" outlineLevel="0" collapsed="false">
      <c r="A90" s="74"/>
      <c r="B90" s="75"/>
      <c r="C90" s="75"/>
      <c r="D90" s="75"/>
      <c r="E90" s="75"/>
      <c r="F90" s="75"/>
      <c r="G90" s="75"/>
      <c r="H90" s="75"/>
      <c r="I90" s="75"/>
      <c r="J90" s="75"/>
      <c r="K90" s="75"/>
      <c r="L90" s="75"/>
      <c r="M90" s="75"/>
      <c r="N90" s="75"/>
      <c r="O90" s="75"/>
      <c r="P90" s="75"/>
      <c r="Q90" s="75"/>
      <c r="R90" s="75"/>
      <c r="S90" s="75"/>
      <c r="T90" s="75"/>
      <c r="U90" s="75"/>
      <c r="V90" s="75"/>
      <c r="W90" s="75"/>
      <c r="X90" s="76"/>
      <c r="Y90" s="114" t="s">
        <v>222</v>
      </c>
      <c r="Z90" s="114"/>
      <c r="AA90" s="114"/>
      <c r="AB90" s="114"/>
      <c r="AC90" s="114"/>
      <c r="AD90" s="114"/>
      <c r="AE90" s="114"/>
      <c r="AF90" s="114"/>
      <c r="AG90" s="114"/>
      <c r="AH90" s="114"/>
      <c r="AI90" s="114"/>
      <c r="AJ90" s="114"/>
      <c r="AK90" s="114"/>
      <c r="AL90" s="114"/>
      <c r="AM90" s="114"/>
      <c r="AN90" s="114"/>
      <c r="AO90" s="114"/>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c r="IY90" s="1"/>
      <c r="IZ90" s="1"/>
      <c r="JA90" s="1"/>
      <c r="JB90" s="1"/>
      <c r="JC90" s="1"/>
      <c r="JD90" s="1"/>
      <c r="JE90" s="1"/>
      <c r="JF90" s="1"/>
      <c r="JG90" s="1"/>
      <c r="JH90" s="1"/>
      <c r="JI90" s="1"/>
      <c r="JJ90" s="1"/>
      <c r="JK90" s="1"/>
      <c r="JL90" s="1"/>
      <c r="JM90" s="1"/>
      <c r="JN90" s="1"/>
      <c r="JO90" s="1"/>
      <c r="JP90" s="1"/>
      <c r="JQ90" s="1"/>
      <c r="JR90" s="1"/>
      <c r="JS90" s="1"/>
      <c r="JT90" s="1"/>
      <c r="JU90" s="1"/>
      <c r="JV90" s="1"/>
      <c r="JW90" s="1"/>
      <c r="JX90" s="1"/>
      <c r="JY90" s="1"/>
      <c r="JZ90" s="1"/>
      <c r="KA90" s="1"/>
      <c r="KB90" s="1"/>
      <c r="KC90" s="1"/>
      <c r="KD90" s="1"/>
      <c r="KE90" s="1"/>
      <c r="KF90" s="1"/>
      <c r="KG90" s="1"/>
      <c r="KH90" s="1"/>
      <c r="KI90" s="1"/>
      <c r="KJ90" s="1"/>
      <c r="KK90" s="1"/>
      <c r="KL90" s="1"/>
      <c r="KM90" s="1"/>
      <c r="KN90" s="1"/>
      <c r="KO90" s="1"/>
      <c r="KP90" s="1"/>
      <c r="KQ90" s="1"/>
      <c r="KR90" s="1"/>
      <c r="KS90" s="1"/>
      <c r="KT90" s="1"/>
      <c r="KU90" s="1"/>
      <c r="KV90" s="1"/>
      <c r="KW90" s="1"/>
      <c r="KX90" s="1"/>
      <c r="KY90" s="1"/>
      <c r="KZ90" s="1"/>
      <c r="LA90" s="1"/>
      <c r="LB90" s="1"/>
      <c r="LC90" s="1"/>
      <c r="LD90" s="1"/>
      <c r="LE90" s="1"/>
      <c r="LF90" s="1"/>
      <c r="LG90" s="1"/>
      <c r="LH90" s="1"/>
      <c r="LI90" s="1"/>
      <c r="LJ90" s="1"/>
      <c r="LK90" s="1"/>
      <c r="LL90" s="1"/>
      <c r="LM90" s="1"/>
      <c r="LN90" s="1"/>
      <c r="LO90" s="1"/>
      <c r="LP90" s="1"/>
      <c r="LQ90" s="1"/>
      <c r="LR90" s="1"/>
      <c r="LS90" s="1"/>
      <c r="LT90" s="1"/>
      <c r="LU90" s="1"/>
      <c r="LV90" s="1"/>
      <c r="LW90" s="1"/>
      <c r="LX90" s="1"/>
      <c r="LY90" s="1"/>
      <c r="LZ90" s="1"/>
      <c r="MA90" s="1"/>
      <c r="MB90" s="1"/>
      <c r="MC90" s="1"/>
      <c r="MD90" s="1"/>
      <c r="ME90" s="1"/>
      <c r="MF90" s="1"/>
      <c r="MG90" s="1"/>
      <c r="MH90" s="1"/>
      <c r="MI90" s="1"/>
      <c r="MJ90" s="1"/>
      <c r="MK90" s="1"/>
      <c r="ML90" s="1"/>
      <c r="MM90" s="1"/>
      <c r="MN90" s="1"/>
      <c r="MO90" s="1"/>
      <c r="MP90" s="1"/>
      <c r="MQ90" s="1"/>
      <c r="MR90" s="1"/>
      <c r="MS90" s="1"/>
      <c r="MT90" s="1"/>
      <c r="MU90" s="1"/>
      <c r="MV90" s="1"/>
      <c r="MW90" s="1"/>
      <c r="MX90" s="1"/>
      <c r="MY90" s="1"/>
      <c r="MZ90" s="1"/>
      <c r="NA90" s="1"/>
      <c r="NB90" s="1"/>
      <c r="NC90" s="1"/>
      <c r="ND90" s="1"/>
      <c r="NE90" s="1"/>
      <c r="NF90" s="1"/>
      <c r="NG90" s="1"/>
      <c r="NH90" s="1"/>
      <c r="NI90" s="1"/>
      <c r="NJ90" s="1"/>
      <c r="NK90" s="1"/>
      <c r="NL90" s="1"/>
      <c r="NM90" s="1"/>
      <c r="NN90" s="1"/>
      <c r="NO90" s="1"/>
      <c r="NP90" s="1"/>
      <c r="NQ90" s="1"/>
      <c r="NR90" s="1"/>
      <c r="NS90" s="1"/>
      <c r="NT90" s="1"/>
      <c r="NU90" s="1"/>
      <c r="NV90" s="1"/>
      <c r="NW90" s="1"/>
      <c r="NX90" s="1"/>
      <c r="NY90" s="1"/>
      <c r="NZ90" s="1"/>
      <c r="OA90" s="1"/>
      <c r="OB90" s="1"/>
      <c r="OC90" s="1"/>
      <c r="OD90" s="1"/>
      <c r="OE90" s="1"/>
      <c r="OF90" s="1"/>
      <c r="OG90" s="1"/>
      <c r="OH90" s="1"/>
      <c r="OI90" s="1"/>
      <c r="OJ90" s="1"/>
      <c r="OK90" s="1"/>
      <c r="OL90" s="1"/>
      <c r="OM90" s="1"/>
      <c r="ON90" s="1"/>
      <c r="OO90" s="1"/>
      <c r="OP90" s="1"/>
      <c r="OQ90" s="1"/>
      <c r="OR90" s="1"/>
      <c r="OS90" s="1"/>
      <c r="OT90" s="1"/>
      <c r="OU90" s="1"/>
      <c r="OV90" s="1"/>
      <c r="OW90" s="1"/>
      <c r="OX90" s="1"/>
      <c r="OY90" s="1"/>
      <c r="OZ90" s="1"/>
      <c r="PA90" s="1"/>
      <c r="PB90" s="1"/>
      <c r="PC90" s="1"/>
      <c r="PD90" s="1"/>
      <c r="PE90" s="1"/>
      <c r="PF90" s="1"/>
      <c r="PG90" s="1"/>
      <c r="PH90" s="1"/>
      <c r="PI90" s="1"/>
      <c r="PJ90" s="1"/>
      <c r="PK90" s="1"/>
      <c r="PL90" s="1"/>
      <c r="PM90" s="1"/>
      <c r="PN90" s="1"/>
      <c r="PO90" s="1"/>
      <c r="PP90" s="1"/>
      <c r="PQ90" s="1"/>
      <c r="PR90" s="1"/>
      <c r="PS90" s="1"/>
      <c r="PT90" s="1"/>
      <c r="PU90" s="1"/>
      <c r="PV90" s="1"/>
      <c r="PW90" s="1"/>
      <c r="PX90" s="1"/>
      <c r="PY90" s="1"/>
      <c r="PZ90" s="1"/>
      <c r="QA90" s="1"/>
      <c r="QB90" s="1"/>
      <c r="QC90" s="1"/>
      <c r="QD90" s="1"/>
      <c r="QE90" s="1"/>
      <c r="QF90" s="1"/>
      <c r="QG90" s="1"/>
      <c r="QH90" s="1"/>
      <c r="QI90" s="1"/>
      <c r="QJ90" s="1"/>
      <c r="QK90" s="1"/>
      <c r="QL90" s="1"/>
      <c r="QM90" s="1"/>
      <c r="QN90" s="1"/>
      <c r="QO90" s="1"/>
      <c r="QP90" s="1"/>
      <c r="QQ90" s="1"/>
      <c r="QR90" s="1"/>
      <c r="QS90" s="1"/>
      <c r="QT90" s="1"/>
      <c r="QU90" s="1"/>
      <c r="QV90" s="1"/>
      <c r="QW90" s="1"/>
      <c r="QX90" s="1"/>
      <c r="QY90" s="1"/>
      <c r="QZ90" s="1"/>
      <c r="RA90" s="1"/>
      <c r="RB90" s="1"/>
      <c r="RC90" s="1"/>
      <c r="RD90" s="1"/>
      <c r="RE90" s="1"/>
      <c r="RF90" s="1"/>
      <c r="RG90" s="1"/>
      <c r="RH90" s="1"/>
      <c r="RI90" s="1"/>
      <c r="RJ90" s="1"/>
      <c r="RK90" s="1"/>
      <c r="RL90" s="1"/>
      <c r="RM90" s="1"/>
      <c r="RN90" s="1"/>
      <c r="RO90" s="1"/>
      <c r="RP90" s="1"/>
      <c r="RQ90" s="1"/>
      <c r="RR90" s="1"/>
      <c r="RS90" s="1"/>
      <c r="RT90" s="1"/>
      <c r="RU90" s="1"/>
      <c r="RV90" s="1"/>
      <c r="RW90" s="1"/>
      <c r="RX90" s="1"/>
      <c r="RY90" s="1"/>
      <c r="RZ90" s="1"/>
      <c r="SA90" s="1"/>
      <c r="SB90" s="1"/>
      <c r="SC90" s="1"/>
      <c r="SD90" s="1"/>
      <c r="SE90" s="1"/>
      <c r="SF90" s="1"/>
      <c r="SG90" s="1"/>
      <c r="SH90" s="1"/>
      <c r="SI90" s="1"/>
      <c r="SJ90" s="1"/>
      <c r="SK90" s="1"/>
      <c r="SL90" s="1"/>
      <c r="SM90" s="1"/>
      <c r="SN90" s="1"/>
      <c r="SO90" s="1"/>
      <c r="SP90" s="1"/>
      <c r="SQ90" s="1"/>
      <c r="SR90" s="1"/>
      <c r="SS90" s="1"/>
      <c r="ST90" s="1"/>
      <c r="SU90" s="1"/>
      <c r="SV90" s="1"/>
      <c r="SW90" s="1"/>
      <c r="SX90" s="1"/>
      <c r="SY90" s="1"/>
      <c r="SZ90" s="1"/>
      <c r="TA90" s="1"/>
      <c r="TB90" s="1"/>
      <c r="TC90" s="1"/>
      <c r="TD90" s="1"/>
      <c r="TE90" s="1"/>
      <c r="TF90" s="1"/>
      <c r="TG90" s="1"/>
      <c r="TH90" s="1"/>
      <c r="TI90" s="1"/>
      <c r="TJ90" s="1"/>
      <c r="TK90" s="1"/>
      <c r="TL90" s="1"/>
      <c r="TM90" s="1"/>
      <c r="TN90" s="1"/>
      <c r="TO90" s="1"/>
      <c r="TP90" s="1"/>
      <c r="TQ90" s="1"/>
      <c r="TR90" s="1"/>
      <c r="TS90" s="1"/>
      <c r="TT90" s="1"/>
      <c r="TU90" s="1"/>
      <c r="TV90" s="1"/>
      <c r="TW90" s="1"/>
      <c r="TX90" s="1"/>
      <c r="TY90" s="1"/>
      <c r="TZ90" s="1"/>
      <c r="UA90" s="1"/>
      <c r="UB90" s="1"/>
      <c r="UC90" s="1"/>
      <c r="UD90" s="1"/>
      <c r="UE90" s="1"/>
      <c r="UF90" s="1"/>
      <c r="UG90" s="1"/>
      <c r="UH90" s="1"/>
      <c r="UI90" s="1"/>
      <c r="UJ90" s="1"/>
      <c r="UK90" s="1"/>
      <c r="UL90" s="1"/>
      <c r="UM90" s="1"/>
      <c r="UN90" s="1"/>
      <c r="UO90" s="1"/>
      <c r="UP90" s="1"/>
      <c r="UQ90" s="1"/>
      <c r="UR90" s="1"/>
      <c r="US90" s="1"/>
      <c r="UT90" s="1"/>
      <c r="UU90" s="1"/>
      <c r="UV90" s="1"/>
      <c r="UW90" s="1"/>
      <c r="UX90" s="1"/>
      <c r="UY90" s="1"/>
      <c r="UZ90" s="1"/>
      <c r="VA90" s="1"/>
      <c r="VB90" s="1"/>
      <c r="VC90" s="1"/>
      <c r="VD90" s="1"/>
      <c r="VE90" s="1"/>
      <c r="VF90" s="1"/>
      <c r="VG90" s="1"/>
      <c r="VH90" s="1"/>
      <c r="VI90" s="1"/>
      <c r="VJ90" s="1"/>
      <c r="VK90" s="1"/>
      <c r="VL90" s="1"/>
      <c r="VM90" s="1"/>
      <c r="VN90" s="1"/>
      <c r="VO90" s="1"/>
      <c r="VP90" s="1"/>
      <c r="VQ90" s="1"/>
      <c r="VR90" s="1"/>
      <c r="VS90" s="1"/>
      <c r="VT90" s="1"/>
      <c r="VU90" s="1"/>
      <c r="VV90" s="1"/>
      <c r="VW90" s="1"/>
      <c r="VX90" s="1"/>
      <c r="VY90" s="1"/>
      <c r="VZ90" s="1"/>
      <c r="WA90" s="1"/>
      <c r="WB90" s="1"/>
      <c r="WC90" s="1"/>
      <c r="WD90" s="1"/>
      <c r="WE90" s="1"/>
      <c r="WF90" s="1"/>
      <c r="WG90" s="1"/>
      <c r="WH90" s="1"/>
      <c r="WI90" s="1"/>
      <c r="WJ90" s="1"/>
      <c r="WK90" s="1"/>
      <c r="WL90" s="1"/>
      <c r="WM90" s="1"/>
      <c r="WN90" s="1"/>
      <c r="WO90" s="1"/>
      <c r="WP90" s="1"/>
      <c r="WQ90" s="1"/>
      <c r="WR90" s="1"/>
      <c r="WS90" s="1"/>
      <c r="WT90" s="1"/>
      <c r="WU90" s="1"/>
      <c r="WV90" s="1"/>
      <c r="WW90" s="1"/>
      <c r="WX90" s="1"/>
      <c r="WY90" s="1"/>
      <c r="WZ90" s="1"/>
      <c r="XA90" s="1"/>
      <c r="XB90" s="1"/>
      <c r="XC90" s="1"/>
      <c r="XD90" s="1"/>
      <c r="XE90" s="1"/>
      <c r="XF90" s="1"/>
      <c r="XG90" s="1"/>
      <c r="XH90" s="1"/>
      <c r="XI90" s="1"/>
      <c r="XJ90" s="1"/>
      <c r="XK90" s="1"/>
      <c r="XL90" s="1"/>
      <c r="XM90" s="1"/>
      <c r="XN90" s="1"/>
      <c r="XO90" s="1"/>
      <c r="XP90" s="1"/>
      <c r="XQ90" s="1"/>
      <c r="XR90" s="1"/>
      <c r="XS90" s="1"/>
      <c r="XT90" s="1"/>
      <c r="XU90" s="1"/>
      <c r="XV90" s="1"/>
      <c r="XW90" s="1"/>
      <c r="XX90" s="1"/>
      <c r="XY90" s="1"/>
      <c r="XZ90" s="1"/>
      <c r="YA90" s="1"/>
      <c r="YB90" s="1"/>
      <c r="YC90" s="1"/>
      <c r="YD90" s="1"/>
      <c r="YE90" s="1"/>
      <c r="YF90" s="1"/>
      <c r="YG90" s="1"/>
      <c r="YH90" s="1"/>
      <c r="YI90" s="1"/>
      <c r="YJ90" s="1"/>
      <c r="YK90" s="1"/>
      <c r="YL90" s="1"/>
      <c r="YM90" s="1"/>
      <c r="YN90" s="1"/>
      <c r="YO90" s="1"/>
      <c r="YP90" s="1"/>
      <c r="YQ90" s="1"/>
      <c r="YR90" s="1"/>
      <c r="YS90" s="1"/>
      <c r="YT90" s="1"/>
      <c r="YU90" s="1"/>
      <c r="YV90" s="1"/>
      <c r="YW90" s="1"/>
      <c r="YX90" s="1"/>
      <c r="YY90" s="1"/>
      <c r="YZ90" s="1"/>
      <c r="ZA90" s="1"/>
      <c r="ZB90" s="1"/>
      <c r="ZC90" s="1"/>
      <c r="ZD90" s="1"/>
      <c r="ZE90" s="1"/>
      <c r="ZF90" s="1"/>
      <c r="ZG90" s="1"/>
      <c r="ZH90" s="1"/>
      <c r="ZI90" s="1"/>
      <c r="ZJ90" s="1"/>
      <c r="ZK90" s="1"/>
      <c r="ZL90" s="1"/>
      <c r="ZM90" s="1"/>
      <c r="ZN90" s="1"/>
      <c r="ZO90" s="1"/>
      <c r="ZP90" s="1"/>
      <c r="ZQ90" s="1"/>
      <c r="ZR90" s="1"/>
      <c r="ZS90" s="1"/>
      <c r="ZT90" s="1"/>
      <c r="ZU90" s="1"/>
      <c r="ZV90" s="1"/>
      <c r="ZW90" s="1"/>
      <c r="ZX90" s="1"/>
      <c r="ZY90" s="1"/>
      <c r="ZZ90" s="1"/>
      <c r="AAA90" s="1"/>
      <c r="AAB90" s="1"/>
      <c r="AAC90" s="1"/>
      <c r="AAD90" s="1"/>
      <c r="AAE90" s="1"/>
      <c r="AAF90" s="1"/>
      <c r="AAG90" s="1"/>
      <c r="AAH90" s="1"/>
      <c r="AAI90" s="1"/>
      <c r="AAJ90" s="1"/>
      <c r="AAK90" s="1"/>
      <c r="AAL90" s="1"/>
      <c r="AAM90" s="1"/>
      <c r="AAN90" s="1"/>
      <c r="AAO90" s="1"/>
      <c r="AAP90" s="1"/>
      <c r="AAQ90" s="1"/>
      <c r="AAR90" s="1"/>
      <c r="AAS90" s="1"/>
      <c r="AAT90" s="1"/>
      <c r="AAU90" s="1"/>
      <c r="AAV90" s="1"/>
      <c r="AAW90" s="1"/>
      <c r="AAX90" s="1"/>
      <c r="AAY90" s="1"/>
      <c r="AAZ90" s="1"/>
      <c r="ABA90" s="1"/>
      <c r="ABB90" s="1"/>
      <c r="ABC90" s="1"/>
      <c r="ABD90" s="1"/>
      <c r="ABE90" s="1"/>
      <c r="ABF90" s="1"/>
      <c r="ABG90" s="1"/>
      <c r="ABH90" s="1"/>
      <c r="ABI90" s="1"/>
      <c r="ABJ90" s="1"/>
      <c r="ABK90" s="1"/>
      <c r="ABL90" s="1"/>
      <c r="ABM90" s="1"/>
      <c r="ABN90" s="1"/>
      <c r="ABO90" s="1"/>
      <c r="ABP90" s="1"/>
      <c r="ABQ90" s="1"/>
      <c r="ABR90" s="1"/>
      <c r="ABS90" s="1"/>
      <c r="ABT90" s="1"/>
      <c r="ABU90" s="1"/>
      <c r="ABV90" s="1"/>
      <c r="ABW90" s="1"/>
      <c r="ABX90" s="1"/>
      <c r="ABY90" s="1"/>
      <c r="ABZ90" s="1"/>
      <c r="ACA90" s="1"/>
      <c r="ACB90" s="1"/>
      <c r="ACC90" s="1"/>
      <c r="ACD90" s="1"/>
      <c r="ACE90" s="1"/>
      <c r="ACF90" s="1"/>
      <c r="ACG90" s="1"/>
      <c r="ACH90" s="1"/>
      <c r="ACI90" s="1"/>
      <c r="ACJ90" s="1"/>
      <c r="ACK90" s="1"/>
      <c r="ACL90" s="1"/>
      <c r="ACM90" s="1"/>
      <c r="ACN90" s="1"/>
      <c r="ACO90" s="1"/>
      <c r="ACP90" s="1"/>
      <c r="ACQ90" s="1"/>
      <c r="ACR90" s="1"/>
      <c r="ACS90" s="1"/>
      <c r="ACT90" s="1"/>
      <c r="ACU90" s="1"/>
      <c r="ACV90" s="1"/>
      <c r="ACW90" s="1"/>
      <c r="ACX90" s="1"/>
      <c r="ACY90" s="1"/>
      <c r="ACZ90" s="1"/>
      <c r="ADA90" s="1"/>
      <c r="ADB90" s="1"/>
      <c r="ADC90" s="1"/>
      <c r="ADD90" s="1"/>
      <c r="ADE90" s="1"/>
      <c r="ADF90" s="1"/>
      <c r="ADG90" s="1"/>
      <c r="ADH90" s="1"/>
      <c r="ADI90" s="1"/>
      <c r="ADJ90" s="1"/>
      <c r="ADK90" s="1"/>
      <c r="ADL90" s="1"/>
      <c r="ADM90" s="1"/>
      <c r="ADN90" s="1"/>
      <c r="ADO90" s="1"/>
      <c r="ADP90" s="1"/>
      <c r="ADQ90" s="1"/>
      <c r="ADR90" s="1"/>
      <c r="ADS90" s="1"/>
      <c r="ADT90" s="1"/>
      <c r="ADU90" s="1"/>
      <c r="ADV90" s="1"/>
      <c r="ADW90" s="1"/>
      <c r="ADX90" s="1"/>
      <c r="ADY90" s="1"/>
      <c r="ADZ90" s="1"/>
      <c r="AEA90" s="1"/>
      <c r="AEB90" s="1"/>
      <c r="AEC90" s="1"/>
      <c r="AED90" s="1"/>
      <c r="AEE90" s="1"/>
      <c r="AEF90" s="1"/>
      <c r="AEG90" s="1"/>
      <c r="AEH90" s="1"/>
      <c r="AEI90" s="1"/>
      <c r="AEJ90" s="1"/>
      <c r="AEK90" s="1"/>
      <c r="AEL90" s="1"/>
      <c r="AEM90" s="1"/>
      <c r="AEN90" s="1"/>
      <c r="AEO90" s="1"/>
      <c r="AEP90" s="1"/>
      <c r="AEQ90" s="1"/>
      <c r="AER90" s="1"/>
      <c r="AES90" s="1"/>
      <c r="AET90" s="1"/>
      <c r="AEU90" s="1"/>
      <c r="AEV90" s="1"/>
      <c r="AEW90" s="1"/>
      <c r="AEX90" s="1"/>
      <c r="AEY90" s="1"/>
      <c r="AEZ90" s="1"/>
      <c r="AFA90" s="1"/>
      <c r="AFB90" s="1"/>
      <c r="AFC90" s="1"/>
      <c r="AFD90" s="1"/>
      <c r="AFE90" s="1"/>
      <c r="AFF90" s="1"/>
      <c r="AFG90" s="1"/>
      <c r="AFH90" s="1"/>
      <c r="AFI90" s="1"/>
      <c r="AFJ90" s="1"/>
      <c r="AFK90" s="1"/>
      <c r="AFL90" s="1"/>
      <c r="AFM90" s="1"/>
      <c r="AFN90" s="1"/>
      <c r="AFO90" s="1"/>
      <c r="AFP90" s="1"/>
      <c r="AFQ90" s="1"/>
      <c r="AFR90" s="1"/>
      <c r="AFS90" s="1"/>
      <c r="AFT90" s="1"/>
      <c r="AFU90" s="1"/>
      <c r="AFV90" s="1"/>
      <c r="AFW90" s="1"/>
      <c r="AFX90" s="1"/>
      <c r="AFY90" s="1"/>
      <c r="AFZ90" s="1"/>
      <c r="AGA90" s="1"/>
      <c r="AGB90" s="1"/>
      <c r="AGC90" s="1"/>
      <c r="AGD90" s="1"/>
      <c r="AGE90" s="1"/>
      <c r="AGF90" s="1"/>
      <c r="AGG90" s="1"/>
      <c r="AGH90" s="1"/>
      <c r="AGI90" s="1"/>
      <c r="AGJ90" s="1"/>
      <c r="AGK90" s="1"/>
      <c r="AGL90" s="1"/>
      <c r="AGM90" s="1"/>
      <c r="AGN90" s="1"/>
      <c r="AGO90" s="1"/>
      <c r="AGP90" s="1"/>
      <c r="AGQ90" s="1"/>
      <c r="AGR90" s="1"/>
      <c r="AGS90" s="1"/>
      <c r="AGT90" s="1"/>
      <c r="AGU90" s="1"/>
      <c r="AGV90" s="1"/>
      <c r="AGW90" s="1"/>
      <c r="AGX90" s="1"/>
      <c r="AGY90" s="1"/>
      <c r="AGZ90" s="1"/>
      <c r="AHA90" s="1"/>
      <c r="AHB90" s="1"/>
      <c r="AHC90" s="1"/>
      <c r="AHD90" s="1"/>
      <c r="AHE90" s="1"/>
      <c r="AHF90" s="1"/>
      <c r="AHG90" s="1"/>
      <c r="AHH90" s="1"/>
      <c r="AHI90" s="1"/>
      <c r="AHJ90" s="1"/>
      <c r="AHK90" s="1"/>
      <c r="AHL90" s="1"/>
      <c r="AHM90" s="1"/>
      <c r="AHN90" s="1"/>
      <c r="AHO90" s="1"/>
      <c r="AHP90" s="1"/>
      <c r="AHQ90" s="1"/>
      <c r="AHR90" s="1"/>
      <c r="AHS90" s="1"/>
      <c r="AHT90" s="1"/>
      <c r="AHU90" s="1"/>
      <c r="AHV90" s="1"/>
      <c r="AHW90" s="1"/>
      <c r="AHX90" s="1"/>
      <c r="AHY90" s="1"/>
      <c r="AHZ90" s="1"/>
      <c r="AIA90" s="1"/>
      <c r="AIB90" s="1"/>
      <c r="AIC90" s="1"/>
      <c r="AID90" s="1"/>
      <c r="AIE90" s="1"/>
      <c r="AIF90" s="1"/>
      <c r="AIG90" s="1"/>
      <c r="AIH90" s="1"/>
      <c r="AII90" s="1"/>
      <c r="AIJ90" s="1"/>
      <c r="AIK90" s="1"/>
      <c r="AIL90" s="1"/>
      <c r="AIM90" s="1"/>
      <c r="AIN90" s="1"/>
      <c r="AIO90" s="1"/>
      <c r="AIP90" s="1"/>
      <c r="AIQ90" s="1"/>
      <c r="AIR90" s="1"/>
      <c r="AIS90" s="1"/>
      <c r="AIT90" s="1"/>
      <c r="AIU90" s="1"/>
      <c r="AIV90" s="1"/>
      <c r="AIW90" s="1"/>
      <c r="AIX90" s="1"/>
      <c r="AIY90" s="1"/>
      <c r="AIZ90" s="1"/>
      <c r="AJA90" s="1"/>
      <c r="AJB90" s="1"/>
      <c r="AJC90" s="1"/>
      <c r="AJD90" s="1"/>
      <c r="AJE90" s="1"/>
      <c r="AJF90" s="1"/>
      <c r="AJG90" s="1"/>
      <c r="AJH90" s="1"/>
      <c r="AJI90" s="1"/>
      <c r="AJJ90" s="1"/>
      <c r="AJK90" s="1"/>
      <c r="AJL90" s="1"/>
      <c r="AJM90" s="1"/>
      <c r="AJN90" s="1"/>
      <c r="AJO90" s="1"/>
      <c r="AJP90" s="1"/>
      <c r="AJQ90" s="1"/>
      <c r="AJR90" s="1"/>
      <c r="AJS90" s="1"/>
      <c r="AJT90" s="1"/>
      <c r="AJU90" s="1"/>
      <c r="AJV90" s="1"/>
      <c r="AJW90" s="1"/>
      <c r="AJX90" s="1"/>
      <c r="AJY90" s="1"/>
      <c r="AJZ90" s="1"/>
      <c r="AKA90" s="1"/>
      <c r="AKB90" s="1"/>
      <c r="AKC90" s="1"/>
      <c r="AKD90" s="1"/>
      <c r="AKE90" s="1"/>
      <c r="AKF90" s="1"/>
      <c r="AKG90" s="1"/>
      <c r="AKH90" s="1"/>
      <c r="AKI90" s="1"/>
      <c r="AKJ90" s="1"/>
      <c r="AKK90" s="1"/>
      <c r="AKL90" s="1"/>
      <c r="AKM90" s="1"/>
      <c r="AKN90" s="1"/>
      <c r="AKO90" s="1"/>
      <c r="AKP90" s="1"/>
      <c r="AKQ90" s="1"/>
      <c r="AKR90" s="1"/>
      <c r="AKS90" s="1"/>
      <c r="AKT90" s="1"/>
      <c r="AKU90" s="1"/>
      <c r="AKV90" s="1"/>
      <c r="AKW90" s="1"/>
      <c r="AKX90" s="1"/>
      <c r="AKY90" s="1"/>
      <c r="AKZ90" s="1"/>
      <c r="ALA90" s="1"/>
      <c r="ALB90" s="1"/>
      <c r="ALC90" s="1"/>
      <c r="ALD90" s="1"/>
      <c r="ALE90" s="1"/>
      <c r="ALF90" s="1"/>
      <c r="ALG90" s="1"/>
      <c r="ALH90" s="1"/>
      <c r="ALI90" s="1"/>
      <c r="ALJ90" s="1"/>
      <c r="ALK90" s="1"/>
      <c r="ALL90" s="1"/>
      <c r="ALM90" s="1"/>
      <c r="ALN90" s="1"/>
      <c r="ALO90" s="1"/>
      <c r="ALP90" s="1"/>
      <c r="ALQ90" s="1"/>
      <c r="ALR90" s="1"/>
      <c r="ALS90" s="1"/>
      <c r="ALT90" s="1"/>
      <c r="ALU90" s="1"/>
      <c r="ALV90" s="1"/>
      <c r="ALW90" s="1"/>
      <c r="ALX90" s="1"/>
      <c r="ALY90" s="1"/>
      <c r="ALZ90" s="1"/>
      <c r="AMA90" s="1"/>
      <c r="AMB90" s="1"/>
      <c r="AMC90" s="1"/>
      <c r="AMD90" s="1"/>
      <c r="AME90" s="1"/>
      <c r="AMF90" s="1"/>
      <c r="AMG90" s="1"/>
      <c r="AMH90" s="1"/>
      <c r="AMI90" s="1"/>
      <c r="AMJ90" s="1"/>
    </row>
    <row r="91" customFormat="false" ht="10.5" hidden="false" customHeight="true" outlineLevel="0" collapsed="false">
      <c r="A91" s="38"/>
      <c r="X91" s="40"/>
      <c r="Y91" s="115"/>
      <c r="Z91" s="116"/>
      <c r="AA91" s="116"/>
      <c r="AB91" s="116"/>
      <c r="AC91" s="116"/>
      <c r="AD91" s="116"/>
      <c r="AE91" s="116"/>
      <c r="AF91" s="116"/>
      <c r="AG91" s="116"/>
      <c r="AH91" s="116"/>
      <c r="AI91" s="116"/>
      <c r="AJ91" s="116"/>
      <c r="AK91" s="116"/>
      <c r="AL91" s="116"/>
      <c r="AM91" s="116"/>
      <c r="AN91" s="116"/>
      <c r="AO91" s="117"/>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c r="IY91" s="1"/>
      <c r="IZ91" s="1"/>
      <c r="JA91" s="1"/>
      <c r="JB91" s="1"/>
      <c r="JC91" s="1"/>
      <c r="JD91" s="1"/>
      <c r="JE91" s="1"/>
      <c r="JF91" s="1"/>
      <c r="JG91" s="1"/>
      <c r="JH91" s="1"/>
      <c r="JI91" s="1"/>
      <c r="JJ91" s="1"/>
      <c r="JK91" s="1"/>
      <c r="JL91" s="1"/>
      <c r="JM91" s="1"/>
      <c r="JN91" s="1"/>
      <c r="JO91" s="1"/>
      <c r="JP91" s="1"/>
      <c r="JQ91" s="1"/>
      <c r="JR91" s="1"/>
      <c r="JS91" s="1"/>
      <c r="JT91" s="1"/>
      <c r="JU91" s="1"/>
      <c r="JV91" s="1"/>
      <c r="JW91" s="1"/>
      <c r="JX91" s="1"/>
      <c r="JY91" s="1"/>
      <c r="JZ91" s="1"/>
      <c r="KA91" s="1"/>
      <c r="KB91" s="1"/>
      <c r="KC91" s="1"/>
      <c r="KD91" s="1"/>
      <c r="KE91" s="1"/>
      <c r="KF91" s="1"/>
      <c r="KG91" s="1"/>
      <c r="KH91" s="1"/>
      <c r="KI91" s="1"/>
      <c r="KJ91" s="1"/>
      <c r="KK91" s="1"/>
      <c r="KL91" s="1"/>
      <c r="KM91" s="1"/>
      <c r="KN91" s="1"/>
      <c r="KO91" s="1"/>
      <c r="KP91" s="1"/>
      <c r="KQ91" s="1"/>
      <c r="KR91" s="1"/>
      <c r="KS91" s="1"/>
      <c r="KT91" s="1"/>
      <c r="KU91" s="1"/>
      <c r="KV91" s="1"/>
      <c r="KW91" s="1"/>
      <c r="KX91" s="1"/>
      <c r="KY91" s="1"/>
      <c r="KZ91" s="1"/>
      <c r="LA91" s="1"/>
      <c r="LB91" s="1"/>
      <c r="LC91" s="1"/>
      <c r="LD91" s="1"/>
      <c r="LE91" s="1"/>
      <c r="LF91" s="1"/>
      <c r="LG91" s="1"/>
      <c r="LH91" s="1"/>
      <c r="LI91" s="1"/>
      <c r="LJ91" s="1"/>
      <c r="LK91" s="1"/>
      <c r="LL91" s="1"/>
      <c r="LM91" s="1"/>
      <c r="LN91" s="1"/>
      <c r="LO91" s="1"/>
      <c r="LP91" s="1"/>
      <c r="LQ91" s="1"/>
      <c r="LR91" s="1"/>
      <c r="LS91" s="1"/>
      <c r="LT91" s="1"/>
      <c r="LU91" s="1"/>
      <c r="LV91" s="1"/>
      <c r="LW91" s="1"/>
      <c r="LX91" s="1"/>
      <c r="LY91" s="1"/>
      <c r="LZ91" s="1"/>
      <c r="MA91" s="1"/>
      <c r="MB91" s="1"/>
      <c r="MC91" s="1"/>
      <c r="MD91" s="1"/>
      <c r="ME91" s="1"/>
      <c r="MF91" s="1"/>
      <c r="MG91" s="1"/>
      <c r="MH91" s="1"/>
      <c r="MI91" s="1"/>
      <c r="MJ91" s="1"/>
      <c r="MK91" s="1"/>
      <c r="ML91" s="1"/>
      <c r="MM91" s="1"/>
      <c r="MN91" s="1"/>
      <c r="MO91" s="1"/>
      <c r="MP91" s="1"/>
      <c r="MQ91" s="1"/>
      <c r="MR91" s="1"/>
      <c r="MS91" s="1"/>
      <c r="MT91" s="1"/>
      <c r="MU91" s="1"/>
      <c r="MV91" s="1"/>
      <c r="MW91" s="1"/>
      <c r="MX91" s="1"/>
      <c r="MY91" s="1"/>
      <c r="MZ91" s="1"/>
      <c r="NA91" s="1"/>
      <c r="NB91" s="1"/>
      <c r="NC91" s="1"/>
      <c r="ND91" s="1"/>
      <c r="NE91" s="1"/>
      <c r="NF91" s="1"/>
      <c r="NG91" s="1"/>
      <c r="NH91" s="1"/>
      <c r="NI91" s="1"/>
      <c r="NJ91" s="1"/>
      <c r="NK91" s="1"/>
      <c r="NL91" s="1"/>
      <c r="NM91" s="1"/>
      <c r="NN91" s="1"/>
      <c r="NO91" s="1"/>
      <c r="NP91" s="1"/>
      <c r="NQ91" s="1"/>
      <c r="NR91" s="1"/>
      <c r="NS91" s="1"/>
      <c r="NT91" s="1"/>
      <c r="NU91" s="1"/>
      <c r="NV91" s="1"/>
      <c r="NW91" s="1"/>
      <c r="NX91" s="1"/>
      <c r="NY91" s="1"/>
      <c r="NZ91" s="1"/>
      <c r="OA91" s="1"/>
      <c r="OB91" s="1"/>
      <c r="OC91" s="1"/>
      <c r="OD91" s="1"/>
      <c r="OE91" s="1"/>
      <c r="OF91" s="1"/>
      <c r="OG91" s="1"/>
      <c r="OH91" s="1"/>
      <c r="OI91" s="1"/>
      <c r="OJ91" s="1"/>
      <c r="OK91" s="1"/>
      <c r="OL91" s="1"/>
      <c r="OM91" s="1"/>
      <c r="ON91" s="1"/>
      <c r="OO91" s="1"/>
      <c r="OP91" s="1"/>
      <c r="OQ91" s="1"/>
      <c r="OR91" s="1"/>
      <c r="OS91" s="1"/>
      <c r="OT91" s="1"/>
      <c r="OU91" s="1"/>
      <c r="OV91" s="1"/>
      <c r="OW91" s="1"/>
      <c r="OX91" s="1"/>
      <c r="OY91" s="1"/>
      <c r="OZ91" s="1"/>
      <c r="PA91" s="1"/>
      <c r="PB91" s="1"/>
      <c r="PC91" s="1"/>
      <c r="PD91" s="1"/>
      <c r="PE91" s="1"/>
      <c r="PF91" s="1"/>
      <c r="PG91" s="1"/>
      <c r="PH91" s="1"/>
      <c r="PI91" s="1"/>
      <c r="PJ91" s="1"/>
      <c r="PK91" s="1"/>
      <c r="PL91" s="1"/>
      <c r="PM91" s="1"/>
      <c r="PN91" s="1"/>
      <c r="PO91" s="1"/>
      <c r="PP91" s="1"/>
      <c r="PQ91" s="1"/>
      <c r="PR91" s="1"/>
      <c r="PS91" s="1"/>
      <c r="PT91" s="1"/>
      <c r="PU91" s="1"/>
      <c r="PV91" s="1"/>
      <c r="PW91" s="1"/>
      <c r="PX91" s="1"/>
      <c r="PY91" s="1"/>
      <c r="PZ91" s="1"/>
      <c r="QA91" s="1"/>
      <c r="QB91" s="1"/>
      <c r="QC91" s="1"/>
      <c r="QD91" s="1"/>
      <c r="QE91" s="1"/>
      <c r="QF91" s="1"/>
      <c r="QG91" s="1"/>
      <c r="QH91" s="1"/>
      <c r="QI91" s="1"/>
      <c r="QJ91" s="1"/>
      <c r="QK91" s="1"/>
      <c r="QL91" s="1"/>
      <c r="QM91" s="1"/>
      <c r="QN91" s="1"/>
      <c r="QO91" s="1"/>
      <c r="QP91" s="1"/>
      <c r="QQ91" s="1"/>
      <c r="QR91" s="1"/>
      <c r="QS91" s="1"/>
      <c r="QT91" s="1"/>
      <c r="QU91" s="1"/>
      <c r="QV91" s="1"/>
      <c r="QW91" s="1"/>
      <c r="QX91" s="1"/>
      <c r="QY91" s="1"/>
      <c r="QZ91" s="1"/>
      <c r="RA91" s="1"/>
      <c r="RB91" s="1"/>
      <c r="RC91" s="1"/>
      <c r="RD91" s="1"/>
      <c r="RE91" s="1"/>
      <c r="RF91" s="1"/>
      <c r="RG91" s="1"/>
      <c r="RH91" s="1"/>
      <c r="RI91" s="1"/>
      <c r="RJ91" s="1"/>
      <c r="RK91" s="1"/>
      <c r="RL91" s="1"/>
      <c r="RM91" s="1"/>
      <c r="RN91" s="1"/>
      <c r="RO91" s="1"/>
      <c r="RP91" s="1"/>
      <c r="RQ91" s="1"/>
      <c r="RR91" s="1"/>
      <c r="RS91" s="1"/>
      <c r="RT91" s="1"/>
      <c r="RU91" s="1"/>
      <c r="RV91" s="1"/>
      <c r="RW91" s="1"/>
      <c r="RX91" s="1"/>
      <c r="RY91" s="1"/>
      <c r="RZ91" s="1"/>
      <c r="SA91" s="1"/>
      <c r="SB91" s="1"/>
      <c r="SC91" s="1"/>
      <c r="SD91" s="1"/>
      <c r="SE91" s="1"/>
      <c r="SF91" s="1"/>
      <c r="SG91" s="1"/>
      <c r="SH91" s="1"/>
      <c r="SI91" s="1"/>
      <c r="SJ91" s="1"/>
      <c r="SK91" s="1"/>
      <c r="SL91" s="1"/>
      <c r="SM91" s="1"/>
      <c r="SN91" s="1"/>
      <c r="SO91" s="1"/>
      <c r="SP91" s="1"/>
      <c r="SQ91" s="1"/>
      <c r="SR91" s="1"/>
      <c r="SS91" s="1"/>
      <c r="ST91" s="1"/>
      <c r="SU91" s="1"/>
      <c r="SV91" s="1"/>
      <c r="SW91" s="1"/>
      <c r="SX91" s="1"/>
      <c r="SY91" s="1"/>
      <c r="SZ91" s="1"/>
      <c r="TA91" s="1"/>
      <c r="TB91" s="1"/>
      <c r="TC91" s="1"/>
      <c r="TD91" s="1"/>
      <c r="TE91" s="1"/>
      <c r="TF91" s="1"/>
      <c r="TG91" s="1"/>
      <c r="TH91" s="1"/>
      <c r="TI91" s="1"/>
      <c r="TJ91" s="1"/>
      <c r="TK91" s="1"/>
      <c r="TL91" s="1"/>
      <c r="TM91" s="1"/>
      <c r="TN91" s="1"/>
      <c r="TO91" s="1"/>
      <c r="TP91" s="1"/>
      <c r="TQ91" s="1"/>
      <c r="TR91" s="1"/>
      <c r="TS91" s="1"/>
      <c r="TT91" s="1"/>
      <c r="TU91" s="1"/>
      <c r="TV91" s="1"/>
      <c r="TW91" s="1"/>
      <c r="TX91" s="1"/>
      <c r="TY91" s="1"/>
      <c r="TZ91" s="1"/>
      <c r="UA91" s="1"/>
      <c r="UB91" s="1"/>
      <c r="UC91" s="1"/>
      <c r="UD91" s="1"/>
      <c r="UE91" s="1"/>
      <c r="UF91" s="1"/>
      <c r="UG91" s="1"/>
      <c r="UH91" s="1"/>
      <c r="UI91" s="1"/>
      <c r="UJ91" s="1"/>
      <c r="UK91" s="1"/>
      <c r="UL91" s="1"/>
      <c r="UM91" s="1"/>
      <c r="UN91" s="1"/>
      <c r="UO91" s="1"/>
      <c r="UP91" s="1"/>
      <c r="UQ91" s="1"/>
      <c r="UR91" s="1"/>
      <c r="US91" s="1"/>
      <c r="UT91" s="1"/>
      <c r="UU91" s="1"/>
      <c r="UV91" s="1"/>
      <c r="UW91" s="1"/>
      <c r="UX91" s="1"/>
      <c r="UY91" s="1"/>
      <c r="UZ91" s="1"/>
      <c r="VA91" s="1"/>
      <c r="VB91" s="1"/>
      <c r="VC91" s="1"/>
      <c r="VD91" s="1"/>
      <c r="VE91" s="1"/>
      <c r="VF91" s="1"/>
      <c r="VG91" s="1"/>
      <c r="VH91" s="1"/>
      <c r="VI91" s="1"/>
      <c r="VJ91" s="1"/>
      <c r="VK91" s="1"/>
      <c r="VL91" s="1"/>
      <c r="VM91" s="1"/>
      <c r="VN91" s="1"/>
      <c r="VO91" s="1"/>
      <c r="VP91" s="1"/>
      <c r="VQ91" s="1"/>
      <c r="VR91" s="1"/>
      <c r="VS91" s="1"/>
      <c r="VT91" s="1"/>
      <c r="VU91" s="1"/>
      <c r="VV91" s="1"/>
      <c r="VW91" s="1"/>
      <c r="VX91" s="1"/>
      <c r="VY91" s="1"/>
      <c r="VZ91" s="1"/>
      <c r="WA91" s="1"/>
      <c r="WB91" s="1"/>
      <c r="WC91" s="1"/>
      <c r="WD91" s="1"/>
      <c r="WE91" s="1"/>
      <c r="WF91" s="1"/>
      <c r="WG91" s="1"/>
      <c r="WH91" s="1"/>
      <c r="WI91" s="1"/>
      <c r="WJ91" s="1"/>
      <c r="WK91" s="1"/>
      <c r="WL91" s="1"/>
      <c r="WM91" s="1"/>
      <c r="WN91" s="1"/>
      <c r="WO91" s="1"/>
      <c r="WP91" s="1"/>
      <c r="WQ91" s="1"/>
      <c r="WR91" s="1"/>
      <c r="WS91" s="1"/>
      <c r="WT91" s="1"/>
      <c r="WU91" s="1"/>
      <c r="WV91" s="1"/>
      <c r="WW91" s="1"/>
      <c r="WX91" s="1"/>
      <c r="WY91" s="1"/>
      <c r="WZ91" s="1"/>
      <c r="XA91" s="1"/>
      <c r="XB91" s="1"/>
      <c r="XC91" s="1"/>
      <c r="XD91" s="1"/>
      <c r="XE91" s="1"/>
      <c r="XF91" s="1"/>
      <c r="XG91" s="1"/>
      <c r="XH91" s="1"/>
      <c r="XI91" s="1"/>
      <c r="XJ91" s="1"/>
      <c r="XK91" s="1"/>
      <c r="XL91" s="1"/>
      <c r="XM91" s="1"/>
      <c r="XN91" s="1"/>
      <c r="XO91" s="1"/>
      <c r="XP91" s="1"/>
      <c r="XQ91" s="1"/>
      <c r="XR91" s="1"/>
      <c r="XS91" s="1"/>
      <c r="XT91" s="1"/>
      <c r="XU91" s="1"/>
      <c r="XV91" s="1"/>
      <c r="XW91" s="1"/>
      <c r="XX91" s="1"/>
      <c r="XY91" s="1"/>
      <c r="XZ91" s="1"/>
      <c r="YA91" s="1"/>
      <c r="YB91" s="1"/>
      <c r="YC91" s="1"/>
      <c r="YD91" s="1"/>
      <c r="YE91" s="1"/>
      <c r="YF91" s="1"/>
      <c r="YG91" s="1"/>
      <c r="YH91" s="1"/>
      <c r="YI91" s="1"/>
      <c r="YJ91" s="1"/>
      <c r="YK91" s="1"/>
      <c r="YL91" s="1"/>
      <c r="YM91" s="1"/>
      <c r="YN91" s="1"/>
      <c r="YO91" s="1"/>
      <c r="YP91" s="1"/>
      <c r="YQ91" s="1"/>
      <c r="YR91" s="1"/>
      <c r="YS91" s="1"/>
      <c r="YT91" s="1"/>
      <c r="YU91" s="1"/>
      <c r="YV91" s="1"/>
      <c r="YW91" s="1"/>
      <c r="YX91" s="1"/>
      <c r="YY91" s="1"/>
      <c r="YZ91" s="1"/>
      <c r="ZA91" s="1"/>
      <c r="ZB91" s="1"/>
      <c r="ZC91" s="1"/>
      <c r="ZD91" s="1"/>
      <c r="ZE91" s="1"/>
      <c r="ZF91" s="1"/>
      <c r="ZG91" s="1"/>
      <c r="ZH91" s="1"/>
      <c r="ZI91" s="1"/>
      <c r="ZJ91" s="1"/>
      <c r="ZK91" s="1"/>
      <c r="ZL91" s="1"/>
      <c r="ZM91" s="1"/>
      <c r="ZN91" s="1"/>
      <c r="ZO91" s="1"/>
      <c r="ZP91" s="1"/>
      <c r="ZQ91" s="1"/>
      <c r="ZR91" s="1"/>
      <c r="ZS91" s="1"/>
      <c r="ZT91" s="1"/>
      <c r="ZU91" s="1"/>
      <c r="ZV91" s="1"/>
      <c r="ZW91" s="1"/>
      <c r="ZX91" s="1"/>
      <c r="ZY91" s="1"/>
      <c r="ZZ91" s="1"/>
      <c r="AAA91" s="1"/>
      <c r="AAB91" s="1"/>
      <c r="AAC91" s="1"/>
      <c r="AAD91" s="1"/>
      <c r="AAE91" s="1"/>
      <c r="AAF91" s="1"/>
      <c r="AAG91" s="1"/>
      <c r="AAH91" s="1"/>
      <c r="AAI91" s="1"/>
      <c r="AAJ91" s="1"/>
      <c r="AAK91" s="1"/>
      <c r="AAL91" s="1"/>
      <c r="AAM91" s="1"/>
      <c r="AAN91" s="1"/>
      <c r="AAO91" s="1"/>
      <c r="AAP91" s="1"/>
      <c r="AAQ91" s="1"/>
      <c r="AAR91" s="1"/>
      <c r="AAS91" s="1"/>
      <c r="AAT91" s="1"/>
      <c r="AAU91" s="1"/>
      <c r="AAV91" s="1"/>
      <c r="AAW91" s="1"/>
      <c r="AAX91" s="1"/>
      <c r="AAY91" s="1"/>
      <c r="AAZ91" s="1"/>
      <c r="ABA91" s="1"/>
      <c r="ABB91" s="1"/>
      <c r="ABC91" s="1"/>
      <c r="ABD91" s="1"/>
      <c r="ABE91" s="1"/>
      <c r="ABF91" s="1"/>
      <c r="ABG91" s="1"/>
      <c r="ABH91" s="1"/>
      <c r="ABI91" s="1"/>
      <c r="ABJ91" s="1"/>
      <c r="ABK91" s="1"/>
      <c r="ABL91" s="1"/>
      <c r="ABM91" s="1"/>
      <c r="ABN91" s="1"/>
      <c r="ABO91" s="1"/>
      <c r="ABP91" s="1"/>
      <c r="ABQ91" s="1"/>
      <c r="ABR91" s="1"/>
      <c r="ABS91" s="1"/>
      <c r="ABT91" s="1"/>
      <c r="ABU91" s="1"/>
      <c r="ABV91" s="1"/>
      <c r="ABW91" s="1"/>
      <c r="ABX91" s="1"/>
      <c r="ABY91" s="1"/>
      <c r="ABZ91" s="1"/>
      <c r="ACA91" s="1"/>
      <c r="ACB91" s="1"/>
      <c r="ACC91" s="1"/>
      <c r="ACD91" s="1"/>
      <c r="ACE91" s="1"/>
      <c r="ACF91" s="1"/>
      <c r="ACG91" s="1"/>
      <c r="ACH91" s="1"/>
      <c r="ACI91" s="1"/>
      <c r="ACJ91" s="1"/>
      <c r="ACK91" s="1"/>
      <c r="ACL91" s="1"/>
      <c r="ACM91" s="1"/>
      <c r="ACN91" s="1"/>
      <c r="ACO91" s="1"/>
      <c r="ACP91" s="1"/>
      <c r="ACQ91" s="1"/>
      <c r="ACR91" s="1"/>
      <c r="ACS91" s="1"/>
      <c r="ACT91" s="1"/>
      <c r="ACU91" s="1"/>
      <c r="ACV91" s="1"/>
      <c r="ACW91" s="1"/>
      <c r="ACX91" s="1"/>
      <c r="ACY91" s="1"/>
      <c r="ACZ91" s="1"/>
      <c r="ADA91" s="1"/>
      <c r="ADB91" s="1"/>
      <c r="ADC91" s="1"/>
      <c r="ADD91" s="1"/>
      <c r="ADE91" s="1"/>
      <c r="ADF91" s="1"/>
      <c r="ADG91" s="1"/>
      <c r="ADH91" s="1"/>
      <c r="ADI91" s="1"/>
      <c r="ADJ91" s="1"/>
      <c r="ADK91" s="1"/>
      <c r="ADL91" s="1"/>
      <c r="ADM91" s="1"/>
      <c r="ADN91" s="1"/>
      <c r="ADO91" s="1"/>
      <c r="ADP91" s="1"/>
      <c r="ADQ91" s="1"/>
      <c r="ADR91" s="1"/>
      <c r="ADS91" s="1"/>
      <c r="ADT91" s="1"/>
      <c r="ADU91" s="1"/>
      <c r="ADV91" s="1"/>
      <c r="ADW91" s="1"/>
      <c r="ADX91" s="1"/>
      <c r="ADY91" s="1"/>
      <c r="ADZ91" s="1"/>
      <c r="AEA91" s="1"/>
      <c r="AEB91" s="1"/>
      <c r="AEC91" s="1"/>
      <c r="AED91" s="1"/>
      <c r="AEE91" s="1"/>
      <c r="AEF91" s="1"/>
      <c r="AEG91" s="1"/>
      <c r="AEH91" s="1"/>
      <c r="AEI91" s="1"/>
      <c r="AEJ91" s="1"/>
      <c r="AEK91" s="1"/>
      <c r="AEL91" s="1"/>
      <c r="AEM91" s="1"/>
      <c r="AEN91" s="1"/>
      <c r="AEO91" s="1"/>
      <c r="AEP91" s="1"/>
      <c r="AEQ91" s="1"/>
      <c r="AER91" s="1"/>
      <c r="AES91" s="1"/>
      <c r="AET91" s="1"/>
      <c r="AEU91" s="1"/>
      <c r="AEV91" s="1"/>
      <c r="AEW91" s="1"/>
      <c r="AEX91" s="1"/>
      <c r="AEY91" s="1"/>
      <c r="AEZ91" s="1"/>
      <c r="AFA91" s="1"/>
      <c r="AFB91" s="1"/>
      <c r="AFC91" s="1"/>
      <c r="AFD91" s="1"/>
      <c r="AFE91" s="1"/>
      <c r="AFF91" s="1"/>
      <c r="AFG91" s="1"/>
      <c r="AFH91" s="1"/>
      <c r="AFI91" s="1"/>
      <c r="AFJ91" s="1"/>
      <c r="AFK91" s="1"/>
      <c r="AFL91" s="1"/>
      <c r="AFM91" s="1"/>
      <c r="AFN91" s="1"/>
      <c r="AFO91" s="1"/>
      <c r="AFP91" s="1"/>
      <c r="AFQ91" s="1"/>
      <c r="AFR91" s="1"/>
      <c r="AFS91" s="1"/>
      <c r="AFT91" s="1"/>
      <c r="AFU91" s="1"/>
      <c r="AFV91" s="1"/>
      <c r="AFW91" s="1"/>
      <c r="AFX91" s="1"/>
      <c r="AFY91" s="1"/>
      <c r="AFZ91" s="1"/>
      <c r="AGA91" s="1"/>
      <c r="AGB91" s="1"/>
      <c r="AGC91" s="1"/>
      <c r="AGD91" s="1"/>
      <c r="AGE91" s="1"/>
      <c r="AGF91" s="1"/>
      <c r="AGG91" s="1"/>
      <c r="AGH91" s="1"/>
      <c r="AGI91" s="1"/>
      <c r="AGJ91" s="1"/>
      <c r="AGK91" s="1"/>
      <c r="AGL91" s="1"/>
      <c r="AGM91" s="1"/>
      <c r="AGN91" s="1"/>
      <c r="AGO91" s="1"/>
      <c r="AGP91" s="1"/>
      <c r="AGQ91" s="1"/>
      <c r="AGR91" s="1"/>
      <c r="AGS91" s="1"/>
      <c r="AGT91" s="1"/>
      <c r="AGU91" s="1"/>
      <c r="AGV91" s="1"/>
      <c r="AGW91" s="1"/>
      <c r="AGX91" s="1"/>
      <c r="AGY91" s="1"/>
      <c r="AGZ91" s="1"/>
      <c r="AHA91" s="1"/>
      <c r="AHB91" s="1"/>
      <c r="AHC91" s="1"/>
      <c r="AHD91" s="1"/>
      <c r="AHE91" s="1"/>
      <c r="AHF91" s="1"/>
      <c r="AHG91" s="1"/>
      <c r="AHH91" s="1"/>
      <c r="AHI91" s="1"/>
      <c r="AHJ91" s="1"/>
      <c r="AHK91" s="1"/>
      <c r="AHL91" s="1"/>
      <c r="AHM91" s="1"/>
      <c r="AHN91" s="1"/>
      <c r="AHO91" s="1"/>
      <c r="AHP91" s="1"/>
      <c r="AHQ91" s="1"/>
      <c r="AHR91" s="1"/>
      <c r="AHS91" s="1"/>
      <c r="AHT91" s="1"/>
      <c r="AHU91" s="1"/>
      <c r="AHV91" s="1"/>
      <c r="AHW91" s="1"/>
      <c r="AHX91" s="1"/>
      <c r="AHY91" s="1"/>
      <c r="AHZ91" s="1"/>
      <c r="AIA91" s="1"/>
      <c r="AIB91" s="1"/>
      <c r="AIC91" s="1"/>
      <c r="AID91" s="1"/>
      <c r="AIE91" s="1"/>
      <c r="AIF91" s="1"/>
      <c r="AIG91" s="1"/>
      <c r="AIH91" s="1"/>
      <c r="AII91" s="1"/>
      <c r="AIJ91" s="1"/>
      <c r="AIK91" s="1"/>
      <c r="AIL91" s="1"/>
      <c r="AIM91" s="1"/>
      <c r="AIN91" s="1"/>
      <c r="AIO91" s="1"/>
      <c r="AIP91" s="1"/>
      <c r="AIQ91" s="1"/>
      <c r="AIR91" s="1"/>
      <c r="AIS91" s="1"/>
      <c r="AIT91" s="1"/>
      <c r="AIU91" s="1"/>
      <c r="AIV91" s="1"/>
      <c r="AIW91" s="1"/>
      <c r="AIX91" s="1"/>
      <c r="AIY91" s="1"/>
      <c r="AIZ91" s="1"/>
      <c r="AJA91" s="1"/>
      <c r="AJB91" s="1"/>
      <c r="AJC91" s="1"/>
      <c r="AJD91" s="1"/>
      <c r="AJE91" s="1"/>
      <c r="AJF91" s="1"/>
      <c r="AJG91" s="1"/>
      <c r="AJH91" s="1"/>
      <c r="AJI91" s="1"/>
      <c r="AJJ91" s="1"/>
      <c r="AJK91" s="1"/>
      <c r="AJL91" s="1"/>
      <c r="AJM91" s="1"/>
      <c r="AJN91" s="1"/>
      <c r="AJO91" s="1"/>
      <c r="AJP91" s="1"/>
      <c r="AJQ91" s="1"/>
      <c r="AJR91" s="1"/>
      <c r="AJS91" s="1"/>
      <c r="AJT91" s="1"/>
      <c r="AJU91" s="1"/>
      <c r="AJV91" s="1"/>
      <c r="AJW91" s="1"/>
      <c r="AJX91" s="1"/>
      <c r="AJY91" s="1"/>
      <c r="AJZ91" s="1"/>
      <c r="AKA91" s="1"/>
      <c r="AKB91" s="1"/>
      <c r="AKC91" s="1"/>
      <c r="AKD91" s="1"/>
      <c r="AKE91" s="1"/>
      <c r="AKF91" s="1"/>
      <c r="AKG91" s="1"/>
      <c r="AKH91" s="1"/>
      <c r="AKI91" s="1"/>
      <c r="AKJ91" s="1"/>
      <c r="AKK91" s="1"/>
      <c r="AKL91" s="1"/>
      <c r="AKM91" s="1"/>
      <c r="AKN91" s="1"/>
      <c r="AKO91" s="1"/>
      <c r="AKP91" s="1"/>
      <c r="AKQ91" s="1"/>
      <c r="AKR91" s="1"/>
      <c r="AKS91" s="1"/>
      <c r="AKT91" s="1"/>
      <c r="AKU91" s="1"/>
      <c r="AKV91" s="1"/>
      <c r="AKW91" s="1"/>
      <c r="AKX91" s="1"/>
      <c r="AKY91" s="1"/>
      <c r="AKZ91" s="1"/>
      <c r="ALA91" s="1"/>
      <c r="ALB91" s="1"/>
      <c r="ALC91" s="1"/>
      <c r="ALD91" s="1"/>
      <c r="ALE91" s="1"/>
      <c r="ALF91" s="1"/>
      <c r="ALG91" s="1"/>
      <c r="ALH91" s="1"/>
      <c r="ALI91" s="1"/>
      <c r="ALJ91" s="1"/>
      <c r="ALK91" s="1"/>
      <c r="ALL91" s="1"/>
      <c r="ALM91" s="1"/>
      <c r="ALN91" s="1"/>
      <c r="ALO91" s="1"/>
      <c r="ALP91" s="1"/>
      <c r="ALQ91" s="1"/>
      <c r="ALR91" s="1"/>
      <c r="ALS91" s="1"/>
      <c r="ALT91" s="1"/>
      <c r="ALU91" s="1"/>
      <c r="ALV91" s="1"/>
      <c r="ALW91" s="1"/>
      <c r="ALX91" s="1"/>
      <c r="ALY91" s="1"/>
      <c r="ALZ91" s="1"/>
      <c r="AMA91" s="1"/>
      <c r="AMB91" s="1"/>
      <c r="AMC91" s="1"/>
      <c r="AMD91" s="1"/>
      <c r="AME91" s="1"/>
      <c r="AMF91" s="1"/>
      <c r="AMG91" s="1"/>
      <c r="AMH91" s="1"/>
      <c r="AMI91" s="1"/>
      <c r="AMJ91" s="1"/>
    </row>
    <row r="92" customFormat="false" ht="10.5" hidden="false" customHeight="true" outlineLevel="0" collapsed="false">
      <c r="A92" s="38"/>
      <c r="X92" s="40"/>
      <c r="Y92" s="118" t="s">
        <v>223</v>
      </c>
      <c r="Z92" s="118"/>
      <c r="AA92" s="118"/>
      <c r="AB92" s="119"/>
      <c r="AD92" s="120" t="s">
        <v>224</v>
      </c>
      <c r="AE92" s="120"/>
      <c r="AF92" s="119"/>
      <c r="AH92" s="120" t="s">
        <v>225</v>
      </c>
      <c r="AI92" s="120"/>
      <c r="AJ92" s="120"/>
      <c r="AK92" s="120"/>
      <c r="AL92" s="120"/>
      <c r="AM92" s="121"/>
      <c r="AN92" s="122"/>
      <c r="AO92" s="123"/>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c r="IY92" s="1"/>
      <c r="IZ92" s="1"/>
      <c r="JA92" s="1"/>
      <c r="JB92" s="1"/>
      <c r="JC92" s="1"/>
      <c r="JD92" s="1"/>
      <c r="JE92" s="1"/>
      <c r="JF92" s="1"/>
      <c r="JG92" s="1"/>
      <c r="JH92" s="1"/>
      <c r="JI92" s="1"/>
      <c r="JJ92" s="1"/>
      <c r="JK92" s="1"/>
      <c r="JL92" s="1"/>
      <c r="JM92" s="1"/>
      <c r="JN92" s="1"/>
      <c r="JO92" s="1"/>
      <c r="JP92" s="1"/>
      <c r="JQ92" s="1"/>
      <c r="JR92" s="1"/>
      <c r="JS92" s="1"/>
      <c r="JT92" s="1"/>
      <c r="JU92" s="1"/>
      <c r="JV92" s="1"/>
      <c r="JW92" s="1"/>
      <c r="JX92" s="1"/>
      <c r="JY92" s="1"/>
      <c r="JZ92" s="1"/>
      <c r="KA92" s="1"/>
      <c r="KB92" s="1"/>
      <c r="KC92" s="1"/>
      <c r="KD92" s="1"/>
      <c r="KE92" s="1"/>
      <c r="KF92" s="1"/>
      <c r="KG92" s="1"/>
      <c r="KH92" s="1"/>
      <c r="KI92" s="1"/>
      <c r="KJ92" s="1"/>
      <c r="KK92" s="1"/>
      <c r="KL92" s="1"/>
      <c r="KM92" s="1"/>
      <c r="KN92" s="1"/>
      <c r="KO92" s="1"/>
      <c r="KP92" s="1"/>
      <c r="KQ92" s="1"/>
      <c r="KR92" s="1"/>
      <c r="KS92" s="1"/>
      <c r="KT92" s="1"/>
      <c r="KU92" s="1"/>
      <c r="KV92" s="1"/>
      <c r="KW92" s="1"/>
      <c r="KX92" s="1"/>
      <c r="KY92" s="1"/>
      <c r="KZ92" s="1"/>
      <c r="LA92" s="1"/>
      <c r="LB92" s="1"/>
      <c r="LC92" s="1"/>
      <c r="LD92" s="1"/>
      <c r="LE92" s="1"/>
      <c r="LF92" s="1"/>
      <c r="LG92" s="1"/>
      <c r="LH92" s="1"/>
      <c r="LI92" s="1"/>
      <c r="LJ92" s="1"/>
      <c r="LK92" s="1"/>
      <c r="LL92" s="1"/>
      <c r="LM92" s="1"/>
      <c r="LN92" s="1"/>
      <c r="LO92" s="1"/>
      <c r="LP92" s="1"/>
      <c r="LQ92" s="1"/>
      <c r="LR92" s="1"/>
      <c r="LS92" s="1"/>
      <c r="LT92" s="1"/>
      <c r="LU92" s="1"/>
      <c r="LV92" s="1"/>
      <c r="LW92" s="1"/>
      <c r="LX92" s="1"/>
      <c r="LY92" s="1"/>
      <c r="LZ92" s="1"/>
      <c r="MA92" s="1"/>
      <c r="MB92" s="1"/>
      <c r="MC92" s="1"/>
      <c r="MD92" s="1"/>
      <c r="ME92" s="1"/>
      <c r="MF92" s="1"/>
      <c r="MG92" s="1"/>
      <c r="MH92" s="1"/>
      <c r="MI92" s="1"/>
      <c r="MJ92" s="1"/>
      <c r="MK92" s="1"/>
      <c r="ML92" s="1"/>
      <c r="MM92" s="1"/>
      <c r="MN92" s="1"/>
      <c r="MO92" s="1"/>
      <c r="MP92" s="1"/>
      <c r="MQ92" s="1"/>
      <c r="MR92" s="1"/>
      <c r="MS92" s="1"/>
      <c r="MT92" s="1"/>
      <c r="MU92" s="1"/>
      <c r="MV92" s="1"/>
      <c r="MW92" s="1"/>
      <c r="MX92" s="1"/>
      <c r="MY92" s="1"/>
      <c r="MZ92" s="1"/>
      <c r="NA92" s="1"/>
      <c r="NB92" s="1"/>
      <c r="NC92" s="1"/>
      <c r="ND92" s="1"/>
      <c r="NE92" s="1"/>
      <c r="NF92" s="1"/>
      <c r="NG92" s="1"/>
      <c r="NH92" s="1"/>
      <c r="NI92" s="1"/>
      <c r="NJ92" s="1"/>
      <c r="NK92" s="1"/>
      <c r="NL92" s="1"/>
      <c r="NM92" s="1"/>
      <c r="NN92" s="1"/>
      <c r="NO92" s="1"/>
      <c r="NP92" s="1"/>
      <c r="NQ92" s="1"/>
      <c r="NR92" s="1"/>
      <c r="NS92" s="1"/>
      <c r="NT92" s="1"/>
      <c r="NU92" s="1"/>
      <c r="NV92" s="1"/>
      <c r="NW92" s="1"/>
      <c r="NX92" s="1"/>
      <c r="NY92" s="1"/>
      <c r="NZ92" s="1"/>
      <c r="OA92" s="1"/>
      <c r="OB92" s="1"/>
      <c r="OC92" s="1"/>
      <c r="OD92" s="1"/>
      <c r="OE92" s="1"/>
      <c r="OF92" s="1"/>
      <c r="OG92" s="1"/>
      <c r="OH92" s="1"/>
      <c r="OI92" s="1"/>
      <c r="OJ92" s="1"/>
      <c r="OK92" s="1"/>
      <c r="OL92" s="1"/>
      <c r="OM92" s="1"/>
      <c r="ON92" s="1"/>
      <c r="OO92" s="1"/>
      <c r="OP92" s="1"/>
      <c r="OQ92" s="1"/>
      <c r="OR92" s="1"/>
      <c r="OS92" s="1"/>
      <c r="OT92" s="1"/>
      <c r="OU92" s="1"/>
      <c r="OV92" s="1"/>
      <c r="OW92" s="1"/>
      <c r="OX92" s="1"/>
      <c r="OY92" s="1"/>
      <c r="OZ92" s="1"/>
      <c r="PA92" s="1"/>
      <c r="PB92" s="1"/>
      <c r="PC92" s="1"/>
      <c r="PD92" s="1"/>
      <c r="PE92" s="1"/>
      <c r="PF92" s="1"/>
      <c r="PG92" s="1"/>
      <c r="PH92" s="1"/>
      <c r="PI92" s="1"/>
      <c r="PJ92" s="1"/>
      <c r="PK92" s="1"/>
      <c r="PL92" s="1"/>
      <c r="PM92" s="1"/>
      <c r="PN92" s="1"/>
      <c r="PO92" s="1"/>
      <c r="PP92" s="1"/>
      <c r="PQ92" s="1"/>
      <c r="PR92" s="1"/>
      <c r="PS92" s="1"/>
      <c r="PT92" s="1"/>
      <c r="PU92" s="1"/>
      <c r="PV92" s="1"/>
      <c r="PW92" s="1"/>
      <c r="PX92" s="1"/>
      <c r="PY92" s="1"/>
      <c r="PZ92" s="1"/>
      <c r="QA92" s="1"/>
      <c r="QB92" s="1"/>
      <c r="QC92" s="1"/>
      <c r="QD92" s="1"/>
      <c r="QE92" s="1"/>
      <c r="QF92" s="1"/>
      <c r="QG92" s="1"/>
      <c r="QH92" s="1"/>
      <c r="QI92" s="1"/>
      <c r="QJ92" s="1"/>
      <c r="QK92" s="1"/>
      <c r="QL92" s="1"/>
      <c r="QM92" s="1"/>
      <c r="QN92" s="1"/>
      <c r="QO92" s="1"/>
      <c r="QP92" s="1"/>
      <c r="QQ92" s="1"/>
      <c r="QR92" s="1"/>
      <c r="QS92" s="1"/>
      <c r="QT92" s="1"/>
      <c r="QU92" s="1"/>
      <c r="QV92" s="1"/>
      <c r="QW92" s="1"/>
      <c r="QX92" s="1"/>
      <c r="QY92" s="1"/>
      <c r="QZ92" s="1"/>
      <c r="RA92" s="1"/>
      <c r="RB92" s="1"/>
      <c r="RC92" s="1"/>
      <c r="RD92" s="1"/>
      <c r="RE92" s="1"/>
      <c r="RF92" s="1"/>
      <c r="RG92" s="1"/>
      <c r="RH92" s="1"/>
      <c r="RI92" s="1"/>
      <c r="RJ92" s="1"/>
      <c r="RK92" s="1"/>
      <c r="RL92" s="1"/>
      <c r="RM92" s="1"/>
      <c r="RN92" s="1"/>
      <c r="RO92" s="1"/>
      <c r="RP92" s="1"/>
      <c r="RQ92" s="1"/>
      <c r="RR92" s="1"/>
      <c r="RS92" s="1"/>
      <c r="RT92" s="1"/>
      <c r="RU92" s="1"/>
      <c r="RV92" s="1"/>
      <c r="RW92" s="1"/>
      <c r="RX92" s="1"/>
      <c r="RY92" s="1"/>
      <c r="RZ92" s="1"/>
      <c r="SA92" s="1"/>
      <c r="SB92" s="1"/>
      <c r="SC92" s="1"/>
      <c r="SD92" s="1"/>
      <c r="SE92" s="1"/>
      <c r="SF92" s="1"/>
      <c r="SG92" s="1"/>
      <c r="SH92" s="1"/>
      <c r="SI92" s="1"/>
      <c r="SJ92" s="1"/>
      <c r="SK92" s="1"/>
      <c r="SL92" s="1"/>
      <c r="SM92" s="1"/>
      <c r="SN92" s="1"/>
      <c r="SO92" s="1"/>
      <c r="SP92" s="1"/>
      <c r="SQ92" s="1"/>
      <c r="SR92" s="1"/>
      <c r="SS92" s="1"/>
      <c r="ST92" s="1"/>
      <c r="SU92" s="1"/>
      <c r="SV92" s="1"/>
      <c r="SW92" s="1"/>
      <c r="SX92" s="1"/>
      <c r="SY92" s="1"/>
      <c r="SZ92" s="1"/>
      <c r="TA92" s="1"/>
      <c r="TB92" s="1"/>
      <c r="TC92" s="1"/>
      <c r="TD92" s="1"/>
      <c r="TE92" s="1"/>
      <c r="TF92" s="1"/>
      <c r="TG92" s="1"/>
      <c r="TH92" s="1"/>
      <c r="TI92" s="1"/>
      <c r="TJ92" s="1"/>
      <c r="TK92" s="1"/>
      <c r="TL92" s="1"/>
      <c r="TM92" s="1"/>
      <c r="TN92" s="1"/>
      <c r="TO92" s="1"/>
      <c r="TP92" s="1"/>
      <c r="TQ92" s="1"/>
      <c r="TR92" s="1"/>
      <c r="TS92" s="1"/>
      <c r="TT92" s="1"/>
      <c r="TU92" s="1"/>
      <c r="TV92" s="1"/>
      <c r="TW92" s="1"/>
      <c r="TX92" s="1"/>
      <c r="TY92" s="1"/>
      <c r="TZ92" s="1"/>
      <c r="UA92" s="1"/>
      <c r="UB92" s="1"/>
      <c r="UC92" s="1"/>
      <c r="UD92" s="1"/>
      <c r="UE92" s="1"/>
      <c r="UF92" s="1"/>
      <c r="UG92" s="1"/>
      <c r="UH92" s="1"/>
      <c r="UI92" s="1"/>
      <c r="UJ92" s="1"/>
      <c r="UK92" s="1"/>
      <c r="UL92" s="1"/>
      <c r="UM92" s="1"/>
      <c r="UN92" s="1"/>
      <c r="UO92" s="1"/>
      <c r="UP92" s="1"/>
      <c r="UQ92" s="1"/>
      <c r="UR92" s="1"/>
      <c r="US92" s="1"/>
      <c r="UT92" s="1"/>
      <c r="UU92" s="1"/>
      <c r="UV92" s="1"/>
      <c r="UW92" s="1"/>
      <c r="UX92" s="1"/>
      <c r="UY92" s="1"/>
      <c r="UZ92" s="1"/>
      <c r="VA92" s="1"/>
      <c r="VB92" s="1"/>
      <c r="VC92" s="1"/>
      <c r="VD92" s="1"/>
      <c r="VE92" s="1"/>
      <c r="VF92" s="1"/>
      <c r="VG92" s="1"/>
      <c r="VH92" s="1"/>
      <c r="VI92" s="1"/>
      <c r="VJ92" s="1"/>
      <c r="VK92" s="1"/>
      <c r="VL92" s="1"/>
      <c r="VM92" s="1"/>
      <c r="VN92" s="1"/>
      <c r="VO92" s="1"/>
      <c r="VP92" s="1"/>
      <c r="VQ92" s="1"/>
      <c r="VR92" s="1"/>
      <c r="VS92" s="1"/>
      <c r="VT92" s="1"/>
      <c r="VU92" s="1"/>
      <c r="VV92" s="1"/>
      <c r="VW92" s="1"/>
      <c r="VX92" s="1"/>
      <c r="VY92" s="1"/>
      <c r="VZ92" s="1"/>
      <c r="WA92" s="1"/>
      <c r="WB92" s="1"/>
      <c r="WC92" s="1"/>
      <c r="WD92" s="1"/>
      <c r="WE92" s="1"/>
      <c r="WF92" s="1"/>
      <c r="WG92" s="1"/>
      <c r="WH92" s="1"/>
      <c r="WI92" s="1"/>
      <c r="WJ92" s="1"/>
      <c r="WK92" s="1"/>
      <c r="WL92" s="1"/>
      <c r="WM92" s="1"/>
      <c r="WN92" s="1"/>
      <c r="WO92" s="1"/>
      <c r="WP92" s="1"/>
      <c r="WQ92" s="1"/>
      <c r="WR92" s="1"/>
      <c r="WS92" s="1"/>
      <c r="WT92" s="1"/>
      <c r="WU92" s="1"/>
      <c r="WV92" s="1"/>
      <c r="WW92" s="1"/>
      <c r="WX92" s="1"/>
      <c r="WY92" s="1"/>
      <c r="WZ92" s="1"/>
      <c r="XA92" s="1"/>
      <c r="XB92" s="1"/>
      <c r="XC92" s="1"/>
      <c r="XD92" s="1"/>
      <c r="XE92" s="1"/>
      <c r="XF92" s="1"/>
      <c r="XG92" s="1"/>
      <c r="XH92" s="1"/>
      <c r="XI92" s="1"/>
      <c r="XJ92" s="1"/>
      <c r="XK92" s="1"/>
      <c r="XL92" s="1"/>
      <c r="XM92" s="1"/>
      <c r="XN92" s="1"/>
      <c r="XO92" s="1"/>
      <c r="XP92" s="1"/>
      <c r="XQ92" s="1"/>
      <c r="XR92" s="1"/>
      <c r="XS92" s="1"/>
      <c r="XT92" s="1"/>
      <c r="XU92" s="1"/>
      <c r="XV92" s="1"/>
      <c r="XW92" s="1"/>
      <c r="XX92" s="1"/>
      <c r="XY92" s="1"/>
      <c r="XZ92" s="1"/>
      <c r="YA92" s="1"/>
      <c r="YB92" s="1"/>
      <c r="YC92" s="1"/>
      <c r="YD92" s="1"/>
      <c r="YE92" s="1"/>
      <c r="YF92" s="1"/>
      <c r="YG92" s="1"/>
      <c r="YH92" s="1"/>
      <c r="YI92" s="1"/>
      <c r="YJ92" s="1"/>
      <c r="YK92" s="1"/>
      <c r="YL92" s="1"/>
      <c r="YM92" s="1"/>
      <c r="YN92" s="1"/>
      <c r="YO92" s="1"/>
      <c r="YP92" s="1"/>
      <c r="YQ92" s="1"/>
      <c r="YR92" s="1"/>
      <c r="YS92" s="1"/>
      <c r="YT92" s="1"/>
      <c r="YU92" s="1"/>
      <c r="YV92" s="1"/>
      <c r="YW92" s="1"/>
      <c r="YX92" s="1"/>
      <c r="YY92" s="1"/>
      <c r="YZ92" s="1"/>
      <c r="ZA92" s="1"/>
      <c r="ZB92" s="1"/>
      <c r="ZC92" s="1"/>
      <c r="ZD92" s="1"/>
      <c r="ZE92" s="1"/>
      <c r="ZF92" s="1"/>
      <c r="ZG92" s="1"/>
      <c r="ZH92" s="1"/>
      <c r="ZI92" s="1"/>
      <c r="ZJ92" s="1"/>
      <c r="ZK92" s="1"/>
      <c r="ZL92" s="1"/>
      <c r="ZM92" s="1"/>
      <c r="ZN92" s="1"/>
      <c r="ZO92" s="1"/>
      <c r="ZP92" s="1"/>
      <c r="ZQ92" s="1"/>
      <c r="ZR92" s="1"/>
      <c r="ZS92" s="1"/>
      <c r="ZT92" s="1"/>
      <c r="ZU92" s="1"/>
      <c r="ZV92" s="1"/>
      <c r="ZW92" s="1"/>
      <c r="ZX92" s="1"/>
      <c r="ZY92" s="1"/>
      <c r="ZZ92" s="1"/>
      <c r="AAA92" s="1"/>
      <c r="AAB92" s="1"/>
      <c r="AAC92" s="1"/>
      <c r="AAD92" s="1"/>
      <c r="AAE92" s="1"/>
      <c r="AAF92" s="1"/>
      <c r="AAG92" s="1"/>
      <c r="AAH92" s="1"/>
      <c r="AAI92" s="1"/>
      <c r="AAJ92" s="1"/>
      <c r="AAK92" s="1"/>
      <c r="AAL92" s="1"/>
      <c r="AAM92" s="1"/>
      <c r="AAN92" s="1"/>
      <c r="AAO92" s="1"/>
      <c r="AAP92" s="1"/>
      <c r="AAQ92" s="1"/>
      <c r="AAR92" s="1"/>
      <c r="AAS92" s="1"/>
      <c r="AAT92" s="1"/>
      <c r="AAU92" s="1"/>
      <c r="AAV92" s="1"/>
      <c r="AAW92" s="1"/>
      <c r="AAX92" s="1"/>
      <c r="AAY92" s="1"/>
      <c r="AAZ92" s="1"/>
      <c r="ABA92" s="1"/>
      <c r="ABB92" s="1"/>
      <c r="ABC92" s="1"/>
      <c r="ABD92" s="1"/>
      <c r="ABE92" s="1"/>
      <c r="ABF92" s="1"/>
      <c r="ABG92" s="1"/>
      <c r="ABH92" s="1"/>
      <c r="ABI92" s="1"/>
      <c r="ABJ92" s="1"/>
      <c r="ABK92" s="1"/>
      <c r="ABL92" s="1"/>
      <c r="ABM92" s="1"/>
      <c r="ABN92" s="1"/>
      <c r="ABO92" s="1"/>
      <c r="ABP92" s="1"/>
      <c r="ABQ92" s="1"/>
      <c r="ABR92" s="1"/>
      <c r="ABS92" s="1"/>
      <c r="ABT92" s="1"/>
      <c r="ABU92" s="1"/>
      <c r="ABV92" s="1"/>
      <c r="ABW92" s="1"/>
      <c r="ABX92" s="1"/>
      <c r="ABY92" s="1"/>
      <c r="ABZ92" s="1"/>
      <c r="ACA92" s="1"/>
      <c r="ACB92" s="1"/>
      <c r="ACC92" s="1"/>
      <c r="ACD92" s="1"/>
      <c r="ACE92" s="1"/>
      <c r="ACF92" s="1"/>
      <c r="ACG92" s="1"/>
      <c r="ACH92" s="1"/>
      <c r="ACI92" s="1"/>
      <c r="ACJ92" s="1"/>
      <c r="ACK92" s="1"/>
      <c r="ACL92" s="1"/>
      <c r="ACM92" s="1"/>
      <c r="ACN92" s="1"/>
      <c r="ACO92" s="1"/>
      <c r="ACP92" s="1"/>
      <c r="ACQ92" s="1"/>
      <c r="ACR92" s="1"/>
      <c r="ACS92" s="1"/>
      <c r="ACT92" s="1"/>
      <c r="ACU92" s="1"/>
      <c r="ACV92" s="1"/>
      <c r="ACW92" s="1"/>
      <c r="ACX92" s="1"/>
      <c r="ACY92" s="1"/>
      <c r="ACZ92" s="1"/>
      <c r="ADA92" s="1"/>
      <c r="ADB92" s="1"/>
      <c r="ADC92" s="1"/>
      <c r="ADD92" s="1"/>
      <c r="ADE92" s="1"/>
      <c r="ADF92" s="1"/>
      <c r="ADG92" s="1"/>
      <c r="ADH92" s="1"/>
      <c r="ADI92" s="1"/>
      <c r="ADJ92" s="1"/>
      <c r="ADK92" s="1"/>
      <c r="ADL92" s="1"/>
      <c r="ADM92" s="1"/>
      <c r="ADN92" s="1"/>
      <c r="ADO92" s="1"/>
      <c r="ADP92" s="1"/>
      <c r="ADQ92" s="1"/>
      <c r="ADR92" s="1"/>
      <c r="ADS92" s="1"/>
      <c r="ADT92" s="1"/>
      <c r="ADU92" s="1"/>
      <c r="ADV92" s="1"/>
      <c r="ADW92" s="1"/>
      <c r="ADX92" s="1"/>
      <c r="ADY92" s="1"/>
      <c r="ADZ92" s="1"/>
      <c r="AEA92" s="1"/>
      <c r="AEB92" s="1"/>
      <c r="AEC92" s="1"/>
      <c r="AED92" s="1"/>
      <c r="AEE92" s="1"/>
      <c r="AEF92" s="1"/>
      <c r="AEG92" s="1"/>
      <c r="AEH92" s="1"/>
      <c r="AEI92" s="1"/>
      <c r="AEJ92" s="1"/>
      <c r="AEK92" s="1"/>
      <c r="AEL92" s="1"/>
      <c r="AEM92" s="1"/>
      <c r="AEN92" s="1"/>
      <c r="AEO92" s="1"/>
      <c r="AEP92" s="1"/>
      <c r="AEQ92" s="1"/>
      <c r="AER92" s="1"/>
      <c r="AES92" s="1"/>
      <c r="AET92" s="1"/>
      <c r="AEU92" s="1"/>
      <c r="AEV92" s="1"/>
      <c r="AEW92" s="1"/>
      <c r="AEX92" s="1"/>
      <c r="AEY92" s="1"/>
      <c r="AEZ92" s="1"/>
      <c r="AFA92" s="1"/>
      <c r="AFB92" s="1"/>
      <c r="AFC92" s="1"/>
      <c r="AFD92" s="1"/>
      <c r="AFE92" s="1"/>
      <c r="AFF92" s="1"/>
      <c r="AFG92" s="1"/>
      <c r="AFH92" s="1"/>
      <c r="AFI92" s="1"/>
      <c r="AFJ92" s="1"/>
      <c r="AFK92" s="1"/>
      <c r="AFL92" s="1"/>
      <c r="AFM92" s="1"/>
      <c r="AFN92" s="1"/>
      <c r="AFO92" s="1"/>
      <c r="AFP92" s="1"/>
      <c r="AFQ92" s="1"/>
      <c r="AFR92" s="1"/>
      <c r="AFS92" s="1"/>
      <c r="AFT92" s="1"/>
      <c r="AFU92" s="1"/>
      <c r="AFV92" s="1"/>
      <c r="AFW92" s="1"/>
      <c r="AFX92" s="1"/>
      <c r="AFY92" s="1"/>
      <c r="AFZ92" s="1"/>
      <c r="AGA92" s="1"/>
      <c r="AGB92" s="1"/>
      <c r="AGC92" s="1"/>
      <c r="AGD92" s="1"/>
      <c r="AGE92" s="1"/>
      <c r="AGF92" s="1"/>
      <c r="AGG92" s="1"/>
      <c r="AGH92" s="1"/>
      <c r="AGI92" s="1"/>
      <c r="AGJ92" s="1"/>
      <c r="AGK92" s="1"/>
      <c r="AGL92" s="1"/>
      <c r="AGM92" s="1"/>
      <c r="AGN92" s="1"/>
      <c r="AGO92" s="1"/>
      <c r="AGP92" s="1"/>
      <c r="AGQ92" s="1"/>
      <c r="AGR92" s="1"/>
      <c r="AGS92" s="1"/>
      <c r="AGT92" s="1"/>
      <c r="AGU92" s="1"/>
      <c r="AGV92" s="1"/>
      <c r="AGW92" s="1"/>
      <c r="AGX92" s="1"/>
      <c r="AGY92" s="1"/>
      <c r="AGZ92" s="1"/>
      <c r="AHA92" s="1"/>
      <c r="AHB92" s="1"/>
      <c r="AHC92" s="1"/>
      <c r="AHD92" s="1"/>
      <c r="AHE92" s="1"/>
      <c r="AHF92" s="1"/>
      <c r="AHG92" s="1"/>
      <c r="AHH92" s="1"/>
      <c r="AHI92" s="1"/>
      <c r="AHJ92" s="1"/>
      <c r="AHK92" s="1"/>
      <c r="AHL92" s="1"/>
      <c r="AHM92" s="1"/>
      <c r="AHN92" s="1"/>
      <c r="AHO92" s="1"/>
      <c r="AHP92" s="1"/>
      <c r="AHQ92" s="1"/>
      <c r="AHR92" s="1"/>
      <c r="AHS92" s="1"/>
      <c r="AHT92" s="1"/>
      <c r="AHU92" s="1"/>
      <c r="AHV92" s="1"/>
      <c r="AHW92" s="1"/>
      <c r="AHX92" s="1"/>
      <c r="AHY92" s="1"/>
      <c r="AHZ92" s="1"/>
      <c r="AIA92" s="1"/>
      <c r="AIB92" s="1"/>
      <c r="AIC92" s="1"/>
      <c r="AID92" s="1"/>
      <c r="AIE92" s="1"/>
      <c r="AIF92" s="1"/>
      <c r="AIG92" s="1"/>
      <c r="AIH92" s="1"/>
      <c r="AII92" s="1"/>
      <c r="AIJ92" s="1"/>
      <c r="AIK92" s="1"/>
      <c r="AIL92" s="1"/>
      <c r="AIM92" s="1"/>
      <c r="AIN92" s="1"/>
      <c r="AIO92" s="1"/>
      <c r="AIP92" s="1"/>
      <c r="AIQ92" s="1"/>
      <c r="AIR92" s="1"/>
      <c r="AIS92" s="1"/>
      <c r="AIT92" s="1"/>
      <c r="AIU92" s="1"/>
      <c r="AIV92" s="1"/>
      <c r="AIW92" s="1"/>
      <c r="AIX92" s="1"/>
      <c r="AIY92" s="1"/>
      <c r="AIZ92" s="1"/>
      <c r="AJA92" s="1"/>
      <c r="AJB92" s="1"/>
      <c r="AJC92" s="1"/>
      <c r="AJD92" s="1"/>
      <c r="AJE92" s="1"/>
      <c r="AJF92" s="1"/>
      <c r="AJG92" s="1"/>
      <c r="AJH92" s="1"/>
      <c r="AJI92" s="1"/>
      <c r="AJJ92" s="1"/>
      <c r="AJK92" s="1"/>
      <c r="AJL92" s="1"/>
      <c r="AJM92" s="1"/>
      <c r="AJN92" s="1"/>
      <c r="AJO92" s="1"/>
      <c r="AJP92" s="1"/>
      <c r="AJQ92" s="1"/>
      <c r="AJR92" s="1"/>
      <c r="AJS92" s="1"/>
      <c r="AJT92" s="1"/>
      <c r="AJU92" s="1"/>
      <c r="AJV92" s="1"/>
      <c r="AJW92" s="1"/>
      <c r="AJX92" s="1"/>
      <c r="AJY92" s="1"/>
      <c r="AJZ92" s="1"/>
      <c r="AKA92" s="1"/>
      <c r="AKB92" s="1"/>
      <c r="AKC92" s="1"/>
      <c r="AKD92" s="1"/>
      <c r="AKE92" s="1"/>
      <c r="AKF92" s="1"/>
      <c r="AKG92" s="1"/>
      <c r="AKH92" s="1"/>
      <c r="AKI92" s="1"/>
      <c r="AKJ92" s="1"/>
      <c r="AKK92" s="1"/>
      <c r="AKL92" s="1"/>
      <c r="AKM92" s="1"/>
      <c r="AKN92" s="1"/>
      <c r="AKO92" s="1"/>
      <c r="AKP92" s="1"/>
      <c r="AKQ92" s="1"/>
      <c r="AKR92" s="1"/>
      <c r="AKS92" s="1"/>
      <c r="AKT92" s="1"/>
      <c r="AKU92" s="1"/>
      <c r="AKV92" s="1"/>
      <c r="AKW92" s="1"/>
      <c r="AKX92" s="1"/>
      <c r="AKY92" s="1"/>
      <c r="AKZ92" s="1"/>
      <c r="ALA92" s="1"/>
      <c r="ALB92" s="1"/>
      <c r="ALC92" s="1"/>
      <c r="ALD92" s="1"/>
      <c r="ALE92" s="1"/>
      <c r="ALF92" s="1"/>
      <c r="ALG92" s="1"/>
      <c r="ALH92" s="1"/>
      <c r="ALI92" s="1"/>
      <c r="ALJ92" s="1"/>
      <c r="ALK92" s="1"/>
      <c r="ALL92" s="1"/>
      <c r="ALM92" s="1"/>
      <c r="ALN92" s="1"/>
      <c r="ALO92" s="1"/>
      <c r="ALP92" s="1"/>
      <c r="ALQ92" s="1"/>
      <c r="ALR92" s="1"/>
      <c r="ALS92" s="1"/>
      <c r="ALT92" s="1"/>
      <c r="ALU92" s="1"/>
      <c r="ALV92" s="1"/>
      <c r="ALW92" s="1"/>
      <c r="ALX92" s="1"/>
      <c r="ALY92" s="1"/>
      <c r="ALZ92" s="1"/>
      <c r="AMA92" s="1"/>
      <c r="AMB92" s="1"/>
      <c r="AMC92" s="1"/>
      <c r="AMD92" s="1"/>
      <c r="AME92" s="1"/>
      <c r="AMF92" s="1"/>
      <c r="AMG92" s="1"/>
      <c r="AMH92" s="1"/>
      <c r="AMI92" s="1"/>
      <c r="AMJ92" s="1"/>
    </row>
    <row r="93" customFormat="false" ht="12.75" hidden="false" customHeight="true" outlineLevel="0" collapsed="false">
      <c r="A93" s="38"/>
      <c r="X93" s="40"/>
      <c r="AE93" s="124"/>
      <c r="AF93" s="124"/>
      <c r="AG93" s="124"/>
      <c r="AH93" s="124"/>
      <c r="AI93" s="124"/>
      <c r="AJ93" s="124"/>
      <c r="AK93" s="124"/>
      <c r="AL93" s="124"/>
      <c r="AM93" s="124"/>
      <c r="AN93" s="124"/>
      <c r="AO93" s="40"/>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c r="IY93" s="1"/>
      <c r="IZ93" s="1"/>
      <c r="JA93" s="1"/>
      <c r="JB93" s="1"/>
      <c r="JC93" s="1"/>
      <c r="JD93" s="1"/>
      <c r="JE93" s="1"/>
      <c r="JF93" s="1"/>
      <c r="JG93" s="1"/>
      <c r="JH93" s="1"/>
      <c r="JI93" s="1"/>
      <c r="JJ93" s="1"/>
      <c r="JK93" s="1"/>
      <c r="JL93" s="1"/>
      <c r="JM93" s="1"/>
      <c r="JN93" s="1"/>
      <c r="JO93" s="1"/>
      <c r="JP93" s="1"/>
      <c r="JQ93" s="1"/>
      <c r="JR93" s="1"/>
      <c r="JS93" s="1"/>
      <c r="JT93" s="1"/>
      <c r="JU93" s="1"/>
      <c r="JV93" s="1"/>
      <c r="JW93" s="1"/>
      <c r="JX93" s="1"/>
      <c r="JY93" s="1"/>
      <c r="JZ93" s="1"/>
      <c r="KA93" s="1"/>
      <c r="KB93" s="1"/>
      <c r="KC93" s="1"/>
      <c r="KD93" s="1"/>
      <c r="KE93" s="1"/>
      <c r="KF93" s="1"/>
      <c r="KG93" s="1"/>
      <c r="KH93" s="1"/>
      <c r="KI93" s="1"/>
      <c r="KJ93" s="1"/>
      <c r="KK93" s="1"/>
      <c r="KL93" s="1"/>
      <c r="KM93" s="1"/>
      <c r="KN93" s="1"/>
      <c r="KO93" s="1"/>
      <c r="KP93" s="1"/>
      <c r="KQ93" s="1"/>
      <c r="KR93" s="1"/>
      <c r="KS93" s="1"/>
      <c r="KT93" s="1"/>
      <c r="KU93" s="1"/>
      <c r="KV93" s="1"/>
      <c r="KW93" s="1"/>
      <c r="KX93" s="1"/>
      <c r="KY93" s="1"/>
      <c r="KZ93" s="1"/>
      <c r="LA93" s="1"/>
      <c r="LB93" s="1"/>
      <c r="LC93" s="1"/>
      <c r="LD93" s="1"/>
      <c r="LE93" s="1"/>
      <c r="LF93" s="1"/>
      <c r="LG93" s="1"/>
      <c r="LH93" s="1"/>
      <c r="LI93" s="1"/>
      <c r="LJ93" s="1"/>
      <c r="LK93" s="1"/>
      <c r="LL93" s="1"/>
      <c r="LM93" s="1"/>
      <c r="LN93" s="1"/>
      <c r="LO93" s="1"/>
      <c r="LP93" s="1"/>
      <c r="LQ93" s="1"/>
      <c r="LR93" s="1"/>
      <c r="LS93" s="1"/>
      <c r="LT93" s="1"/>
      <c r="LU93" s="1"/>
      <c r="LV93" s="1"/>
      <c r="LW93" s="1"/>
      <c r="LX93" s="1"/>
      <c r="LY93" s="1"/>
      <c r="LZ93" s="1"/>
      <c r="MA93" s="1"/>
      <c r="MB93" s="1"/>
      <c r="MC93" s="1"/>
      <c r="MD93" s="1"/>
      <c r="ME93" s="1"/>
      <c r="MF93" s="1"/>
      <c r="MG93" s="1"/>
      <c r="MH93" s="1"/>
      <c r="MI93" s="1"/>
      <c r="MJ93" s="1"/>
      <c r="MK93" s="1"/>
      <c r="ML93" s="1"/>
      <c r="MM93" s="1"/>
      <c r="MN93" s="1"/>
      <c r="MO93" s="1"/>
      <c r="MP93" s="1"/>
      <c r="MQ93" s="1"/>
      <c r="MR93" s="1"/>
      <c r="MS93" s="1"/>
      <c r="MT93" s="1"/>
      <c r="MU93" s="1"/>
      <c r="MV93" s="1"/>
      <c r="MW93" s="1"/>
      <c r="MX93" s="1"/>
      <c r="MY93" s="1"/>
      <c r="MZ93" s="1"/>
      <c r="NA93" s="1"/>
      <c r="NB93" s="1"/>
      <c r="NC93" s="1"/>
      <c r="ND93" s="1"/>
      <c r="NE93" s="1"/>
      <c r="NF93" s="1"/>
      <c r="NG93" s="1"/>
      <c r="NH93" s="1"/>
      <c r="NI93" s="1"/>
      <c r="NJ93" s="1"/>
      <c r="NK93" s="1"/>
      <c r="NL93" s="1"/>
      <c r="NM93" s="1"/>
      <c r="NN93" s="1"/>
      <c r="NO93" s="1"/>
      <c r="NP93" s="1"/>
      <c r="NQ93" s="1"/>
      <c r="NR93" s="1"/>
      <c r="NS93" s="1"/>
      <c r="NT93" s="1"/>
      <c r="NU93" s="1"/>
      <c r="NV93" s="1"/>
      <c r="NW93" s="1"/>
      <c r="NX93" s="1"/>
      <c r="NY93" s="1"/>
      <c r="NZ93" s="1"/>
      <c r="OA93" s="1"/>
      <c r="OB93" s="1"/>
      <c r="OC93" s="1"/>
      <c r="OD93" s="1"/>
      <c r="OE93" s="1"/>
      <c r="OF93" s="1"/>
      <c r="OG93" s="1"/>
      <c r="OH93" s="1"/>
      <c r="OI93" s="1"/>
      <c r="OJ93" s="1"/>
      <c r="OK93" s="1"/>
      <c r="OL93" s="1"/>
      <c r="OM93" s="1"/>
      <c r="ON93" s="1"/>
      <c r="OO93" s="1"/>
      <c r="OP93" s="1"/>
      <c r="OQ93" s="1"/>
      <c r="OR93" s="1"/>
      <c r="OS93" s="1"/>
      <c r="OT93" s="1"/>
      <c r="OU93" s="1"/>
      <c r="OV93" s="1"/>
      <c r="OW93" s="1"/>
      <c r="OX93" s="1"/>
      <c r="OY93" s="1"/>
      <c r="OZ93" s="1"/>
      <c r="PA93" s="1"/>
      <c r="PB93" s="1"/>
      <c r="PC93" s="1"/>
      <c r="PD93" s="1"/>
      <c r="PE93" s="1"/>
      <c r="PF93" s="1"/>
      <c r="PG93" s="1"/>
      <c r="PH93" s="1"/>
      <c r="PI93" s="1"/>
      <c r="PJ93" s="1"/>
      <c r="PK93" s="1"/>
      <c r="PL93" s="1"/>
      <c r="PM93" s="1"/>
      <c r="PN93" s="1"/>
      <c r="PO93" s="1"/>
      <c r="PP93" s="1"/>
      <c r="PQ93" s="1"/>
      <c r="PR93" s="1"/>
      <c r="PS93" s="1"/>
      <c r="PT93" s="1"/>
      <c r="PU93" s="1"/>
      <c r="PV93" s="1"/>
      <c r="PW93" s="1"/>
      <c r="PX93" s="1"/>
      <c r="PY93" s="1"/>
      <c r="PZ93" s="1"/>
      <c r="QA93" s="1"/>
      <c r="QB93" s="1"/>
      <c r="QC93" s="1"/>
      <c r="QD93" s="1"/>
      <c r="QE93" s="1"/>
      <c r="QF93" s="1"/>
      <c r="QG93" s="1"/>
      <c r="QH93" s="1"/>
      <c r="QI93" s="1"/>
      <c r="QJ93" s="1"/>
      <c r="QK93" s="1"/>
      <c r="QL93" s="1"/>
      <c r="QM93" s="1"/>
      <c r="QN93" s="1"/>
      <c r="QO93" s="1"/>
      <c r="QP93" s="1"/>
      <c r="QQ93" s="1"/>
      <c r="QR93" s="1"/>
      <c r="QS93" s="1"/>
      <c r="QT93" s="1"/>
      <c r="QU93" s="1"/>
      <c r="QV93" s="1"/>
      <c r="QW93" s="1"/>
      <c r="QX93" s="1"/>
      <c r="QY93" s="1"/>
      <c r="QZ93" s="1"/>
      <c r="RA93" s="1"/>
      <c r="RB93" s="1"/>
      <c r="RC93" s="1"/>
      <c r="RD93" s="1"/>
      <c r="RE93" s="1"/>
      <c r="RF93" s="1"/>
      <c r="RG93" s="1"/>
      <c r="RH93" s="1"/>
      <c r="RI93" s="1"/>
      <c r="RJ93" s="1"/>
      <c r="RK93" s="1"/>
      <c r="RL93" s="1"/>
      <c r="RM93" s="1"/>
      <c r="RN93" s="1"/>
      <c r="RO93" s="1"/>
      <c r="RP93" s="1"/>
      <c r="RQ93" s="1"/>
      <c r="RR93" s="1"/>
      <c r="RS93" s="1"/>
      <c r="RT93" s="1"/>
      <c r="RU93" s="1"/>
      <c r="RV93" s="1"/>
      <c r="RW93" s="1"/>
      <c r="RX93" s="1"/>
      <c r="RY93" s="1"/>
      <c r="RZ93" s="1"/>
      <c r="SA93" s="1"/>
      <c r="SB93" s="1"/>
      <c r="SC93" s="1"/>
      <c r="SD93" s="1"/>
      <c r="SE93" s="1"/>
      <c r="SF93" s="1"/>
      <c r="SG93" s="1"/>
      <c r="SH93" s="1"/>
      <c r="SI93" s="1"/>
      <c r="SJ93" s="1"/>
      <c r="SK93" s="1"/>
      <c r="SL93" s="1"/>
      <c r="SM93" s="1"/>
      <c r="SN93" s="1"/>
      <c r="SO93" s="1"/>
      <c r="SP93" s="1"/>
      <c r="SQ93" s="1"/>
      <c r="SR93" s="1"/>
      <c r="SS93" s="1"/>
      <c r="ST93" s="1"/>
      <c r="SU93" s="1"/>
      <c r="SV93" s="1"/>
      <c r="SW93" s="1"/>
      <c r="SX93" s="1"/>
      <c r="SY93" s="1"/>
      <c r="SZ93" s="1"/>
      <c r="TA93" s="1"/>
      <c r="TB93" s="1"/>
      <c r="TC93" s="1"/>
      <c r="TD93" s="1"/>
      <c r="TE93" s="1"/>
      <c r="TF93" s="1"/>
      <c r="TG93" s="1"/>
      <c r="TH93" s="1"/>
      <c r="TI93" s="1"/>
      <c r="TJ93" s="1"/>
      <c r="TK93" s="1"/>
      <c r="TL93" s="1"/>
      <c r="TM93" s="1"/>
      <c r="TN93" s="1"/>
      <c r="TO93" s="1"/>
      <c r="TP93" s="1"/>
      <c r="TQ93" s="1"/>
      <c r="TR93" s="1"/>
      <c r="TS93" s="1"/>
      <c r="TT93" s="1"/>
      <c r="TU93" s="1"/>
      <c r="TV93" s="1"/>
      <c r="TW93" s="1"/>
      <c r="TX93" s="1"/>
      <c r="TY93" s="1"/>
      <c r="TZ93" s="1"/>
      <c r="UA93" s="1"/>
      <c r="UB93" s="1"/>
      <c r="UC93" s="1"/>
      <c r="UD93" s="1"/>
      <c r="UE93" s="1"/>
      <c r="UF93" s="1"/>
      <c r="UG93" s="1"/>
      <c r="UH93" s="1"/>
      <c r="UI93" s="1"/>
      <c r="UJ93" s="1"/>
      <c r="UK93" s="1"/>
      <c r="UL93" s="1"/>
      <c r="UM93" s="1"/>
      <c r="UN93" s="1"/>
      <c r="UO93" s="1"/>
      <c r="UP93" s="1"/>
      <c r="UQ93" s="1"/>
      <c r="UR93" s="1"/>
      <c r="US93" s="1"/>
      <c r="UT93" s="1"/>
      <c r="UU93" s="1"/>
      <c r="UV93" s="1"/>
      <c r="UW93" s="1"/>
      <c r="UX93" s="1"/>
      <c r="UY93" s="1"/>
      <c r="UZ93" s="1"/>
      <c r="VA93" s="1"/>
      <c r="VB93" s="1"/>
      <c r="VC93" s="1"/>
      <c r="VD93" s="1"/>
      <c r="VE93" s="1"/>
      <c r="VF93" s="1"/>
      <c r="VG93" s="1"/>
      <c r="VH93" s="1"/>
      <c r="VI93" s="1"/>
      <c r="VJ93" s="1"/>
      <c r="VK93" s="1"/>
      <c r="VL93" s="1"/>
      <c r="VM93" s="1"/>
      <c r="VN93" s="1"/>
      <c r="VO93" s="1"/>
      <c r="VP93" s="1"/>
      <c r="VQ93" s="1"/>
      <c r="VR93" s="1"/>
      <c r="VS93" s="1"/>
      <c r="VT93" s="1"/>
      <c r="VU93" s="1"/>
      <c r="VV93" s="1"/>
      <c r="VW93" s="1"/>
      <c r="VX93" s="1"/>
      <c r="VY93" s="1"/>
      <c r="VZ93" s="1"/>
      <c r="WA93" s="1"/>
      <c r="WB93" s="1"/>
      <c r="WC93" s="1"/>
      <c r="WD93" s="1"/>
      <c r="WE93" s="1"/>
      <c r="WF93" s="1"/>
      <c r="WG93" s="1"/>
      <c r="WH93" s="1"/>
      <c r="WI93" s="1"/>
      <c r="WJ93" s="1"/>
      <c r="WK93" s="1"/>
      <c r="WL93" s="1"/>
      <c r="WM93" s="1"/>
      <c r="WN93" s="1"/>
      <c r="WO93" s="1"/>
      <c r="WP93" s="1"/>
      <c r="WQ93" s="1"/>
      <c r="WR93" s="1"/>
      <c r="WS93" s="1"/>
      <c r="WT93" s="1"/>
      <c r="WU93" s="1"/>
      <c r="WV93" s="1"/>
      <c r="WW93" s="1"/>
      <c r="WX93" s="1"/>
      <c r="WY93" s="1"/>
      <c r="WZ93" s="1"/>
      <c r="XA93" s="1"/>
      <c r="XB93" s="1"/>
      <c r="XC93" s="1"/>
      <c r="XD93" s="1"/>
      <c r="XE93" s="1"/>
      <c r="XF93" s="1"/>
      <c r="XG93" s="1"/>
      <c r="XH93" s="1"/>
      <c r="XI93" s="1"/>
      <c r="XJ93" s="1"/>
      <c r="XK93" s="1"/>
      <c r="XL93" s="1"/>
      <c r="XM93" s="1"/>
      <c r="XN93" s="1"/>
      <c r="XO93" s="1"/>
      <c r="XP93" s="1"/>
      <c r="XQ93" s="1"/>
      <c r="XR93" s="1"/>
      <c r="XS93" s="1"/>
      <c r="XT93" s="1"/>
      <c r="XU93" s="1"/>
      <c r="XV93" s="1"/>
      <c r="XW93" s="1"/>
      <c r="XX93" s="1"/>
      <c r="XY93" s="1"/>
      <c r="XZ93" s="1"/>
      <c r="YA93" s="1"/>
      <c r="YB93" s="1"/>
      <c r="YC93" s="1"/>
      <c r="YD93" s="1"/>
      <c r="YE93" s="1"/>
      <c r="YF93" s="1"/>
      <c r="YG93" s="1"/>
      <c r="YH93" s="1"/>
      <c r="YI93" s="1"/>
      <c r="YJ93" s="1"/>
      <c r="YK93" s="1"/>
      <c r="YL93" s="1"/>
      <c r="YM93" s="1"/>
      <c r="YN93" s="1"/>
      <c r="YO93" s="1"/>
      <c r="YP93" s="1"/>
      <c r="YQ93" s="1"/>
      <c r="YR93" s="1"/>
      <c r="YS93" s="1"/>
      <c r="YT93" s="1"/>
      <c r="YU93" s="1"/>
      <c r="YV93" s="1"/>
      <c r="YW93" s="1"/>
      <c r="YX93" s="1"/>
      <c r="YY93" s="1"/>
      <c r="YZ93" s="1"/>
      <c r="ZA93" s="1"/>
      <c r="ZB93" s="1"/>
      <c r="ZC93" s="1"/>
      <c r="ZD93" s="1"/>
      <c r="ZE93" s="1"/>
      <c r="ZF93" s="1"/>
      <c r="ZG93" s="1"/>
      <c r="ZH93" s="1"/>
      <c r="ZI93" s="1"/>
      <c r="ZJ93" s="1"/>
      <c r="ZK93" s="1"/>
      <c r="ZL93" s="1"/>
      <c r="ZM93" s="1"/>
      <c r="ZN93" s="1"/>
      <c r="ZO93" s="1"/>
      <c r="ZP93" s="1"/>
      <c r="ZQ93" s="1"/>
      <c r="ZR93" s="1"/>
      <c r="ZS93" s="1"/>
      <c r="ZT93" s="1"/>
      <c r="ZU93" s="1"/>
      <c r="ZV93" s="1"/>
      <c r="ZW93" s="1"/>
      <c r="ZX93" s="1"/>
      <c r="ZY93" s="1"/>
      <c r="ZZ93" s="1"/>
      <c r="AAA93" s="1"/>
      <c r="AAB93" s="1"/>
      <c r="AAC93" s="1"/>
      <c r="AAD93" s="1"/>
      <c r="AAE93" s="1"/>
      <c r="AAF93" s="1"/>
      <c r="AAG93" s="1"/>
      <c r="AAH93" s="1"/>
      <c r="AAI93" s="1"/>
      <c r="AAJ93" s="1"/>
      <c r="AAK93" s="1"/>
      <c r="AAL93" s="1"/>
      <c r="AAM93" s="1"/>
      <c r="AAN93" s="1"/>
      <c r="AAO93" s="1"/>
      <c r="AAP93" s="1"/>
      <c r="AAQ93" s="1"/>
      <c r="AAR93" s="1"/>
      <c r="AAS93" s="1"/>
      <c r="AAT93" s="1"/>
      <c r="AAU93" s="1"/>
      <c r="AAV93" s="1"/>
      <c r="AAW93" s="1"/>
      <c r="AAX93" s="1"/>
      <c r="AAY93" s="1"/>
      <c r="AAZ93" s="1"/>
      <c r="ABA93" s="1"/>
      <c r="ABB93" s="1"/>
      <c r="ABC93" s="1"/>
      <c r="ABD93" s="1"/>
      <c r="ABE93" s="1"/>
      <c r="ABF93" s="1"/>
      <c r="ABG93" s="1"/>
      <c r="ABH93" s="1"/>
      <c r="ABI93" s="1"/>
      <c r="ABJ93" s="1"/>
      <c r="ABK93" s="1"/>
      <c r="ABL93" s="1"/>
      <c r="ABM93" s="1"/>
      <c r="ABN93" s="1"/>
      <c r="ABO93" s="1"/>
      <c r="ABP93" s="1"/>
      <c r="ABQ93" s="1"/>
      <c r="ABR93" s="1"/>
      <c r="ABS93" s="1"/>
      <c r="ABT93" s="1"/>
      <c r="ABU93" s="1"/>
      <c r="ABV93" s="1"/>
      <c r="ABW93" s="1"/>
      <c r="ABX93" s="1"/>
      <c r="ABY93" s="1"/>
      <c r="ABZ93" s="1"/>
      <c r="ACA93" s="1"/>
      <c r="ACB93" s="1"/>
      <c r="ACC93" s="1"/>
      <c r="ACD93" s="1"/>
      <c r="ACE93" s="1"/>
      <c r="ACF93" s="1"/>
      <c r="ACG93" s="1"/>
      <c r="ACH93" s="1"/>
      <c r="ACI93" s="1"/>
      <c r="ACJ93" s="1"/>
      <c r="ACK93" s="1"/>
      <c r="ACL93" s="1"/>
      <c r="ACM93" s="1"/>
      <c r="ACN93" s="1"/>
      <c r="ACO93" s="1"/>
      <c r="ACP93" s="1"/>
      <c r="ACQ93" s="1"/>
      <c r="ACR93" s="1"/>
      <c r="ACS93" s="1"/>
      <c r="ACT93" s="1"/>
      <c r="ACU93" s="1"/>
      <c r="ACV93" s="1"/>
      <c r="ACW93" s="1"/>
      <c r="ACX93" s="1"/>
      <c r="ACY93" s="1"/>
      <c r="ACZ93" s="1"/>
      <c r="ADA93" s="1"/>
      <c r="ADB93" s="1"/>
      <c r="ADC93" s="1"/>
      <c r="ADD93" s="1"/>
      <c r="ADE93" s="1"/>
      <c r="ADF93" s="1"/>
      <c r="ADG93" s="1"/>
      <c r="ADH93" s="1"/>
      <c r="ADI93" s="1"/>
      <c r="ADJ93" s="1"/>
      <c r="ADK93" s="1"/>
      <c r="ADL93" s="1"/>
      <c r="ADM93" s="1"/>
      <c r="ADN93" s="1"/>
      <c r="ADO93" s="1"/>
      <c r="ADP93" s="1"/>
      <c r="ADQ93" s="1"/>
      <c r="ADR93" s="1"/>
      <c r="ADS93" s="1"/>
      <c r="ADT93" s="1"/>
      <c r="ADU93" s="1"/>
      <c r="ADV93" s="1"/>
      <c r="ADW93" s="1"/>
      <c r="ADX93" s="1"/>
      <c r="ADY93" s="1"/>
      <c r="ADZ93" s="1"/>
      <c r="AEA93" s="1"/>
      <c r="AEB93" s="1"/>
      <c r="AEC93" s="1"/>
      <c r="AED93" s="1"/>
      <c r="AEE93" s="1"/>
      <c r="AEF93" s="1"/>
      <c r="AEG93" s="1"/>
      <c r="AEH93" s="1"/>
      <c r="AEI93" s="1"/>
      <c r="AEJ93" s="1"/>
      <c r="AEK93" s="1"/>
      <c r="AEL93" s="1"/>
      <c r="AEM93" s="1"/>
      <c r="AEN93" s="1"/>
      <c r="AEO93" s="1"/>
      <c r="AEP93" s="1"/>
      <c r="AEQ93" s="1"/>
      <c r="AER93" s="1"/>
      <c r="AES93" s="1"/>
      <c r="AET93" s="1"/>
      <c r="AEU93" s="1"/>
      <c r="AEV93" s="1"/>
      <c r="AEW93" s="1"/>
      <c r="AEX93" s="1"/>
      <c r="AEY93" s="1"/>
      <c r="AEZ93" s="1"/>
      <c r="AFA93" s="1"/>
      <c r="AFB93" s="1"/>
      <c r="AFC93" s="1"/>
      <c r="AFD93" s="1"/>
      <c r="AFE93" s="1"/>
      <c r="AFF93" s="1"/>
      <c r="AFG93" s="1"/>
      <c r="AFH93" s="1"/>
      <c r="AFI93" s="1"/>
      <c r="AFJ93" s="1"/>
      <c r="AFK93" s="1"/>
      <c r="AFL93" s="1"/>
      <c r="AFM93" s="1"/>
      <c r="AFN93" s="1"/>
      <c r="AFO93" s="1"/>
      <c r="AFP93" s="1"/>
      <c r="AFQ93" s="1"/>
      <c r="AFR93" s="1"/>
      <c r="AFS93" s="1"/>
      <c r="AFT93" s="1"/>
      <c r="AFU93" s="1"/>
      <c r="AFV93" s="1"/>
      <c r="AFW93" s="1"/>
      <c r="AFX93" s="1"/>
      <c r="AFY93" s="1"/>
      <c r="AFZ93" s="1"/>
      <c r="AGA93" s="1"/>
      <c r="AGB93" s="1"/>
      <c r="AGC93" s="1"/>
      <c r="AGD93" s="1"/>
      <c r="AGE93" s="1"/>
      <c r="AGF93" s="1"/>
      <c r="AGG93" s="1"/>
      <c r="AGH93" s="1"/>
      <c r="AGI93" s="1"/>
      <c r="AGJ93" s="1"/>
      <c r="AGK93" s="1"/>
      <c r="AGL93" s="1"/>
      <c r="AGM93" s="1"/>
      <c r="AGN93" s="1"/>
      <c r="AGO93" s="1"/>
      <c r="AGP93" s="1"/>
      <c r="AGQ93" s="1"/>
      <c r="AGR93" s="1"/>
      <c r="AGS93" s="1"/>
      <c r="AGT93" s="1"/>
      <c r="AGU93" s="1"/>
      <c r="AGV93" s="1"/>
      <c r="AGW93" s="1"/>
      <c r="AGX93" s="1"/>
      <c r="AGY93" s="1"/>
      <c r="AGZ93" s="1"/>
      <c r="AHA93" s="1"/>
      <c r="AHB93" s="1"/>
      <c r="AHC93" s="1"/>
      <c r="AHD93" s="1"/>
      <c r="AHE93" s="1"/>
      <c r="AHF93" s="1"/>
      <c r="AHG93" s="1"/>
      <c r="AHH93" s="1"/>
      <c r="AHI93" s="1"/>
      <c r="AHJ93" s="1"/>
      <c r="AHK93" s="1"/>
      <c r="AHL93" s="1"/>
      <c r="AHM93" s="1"/>
      <c r="AHN93" s="1"/>
      <c r="AHO93" s="1"/>
      <c r="AHP93" s="1"/>
      <c r="AHQ93" s="1"/>
      <c r="AHR93" s="1"/>
      <c r="AHS93" s="1"/>
      <c r="AHT93" s="1"/>
      <c r="AHU93" s="1"/>
      <c r="AHV93" s="1"/>
      <c r="AHW93" s="1"/>
      <c r="AHX93" s="1"/>
      <c r="AHY93" s="1"/>
      <c r="AHZ93" s="1"/>
      <c r="AIA93" s="1"/>
      <c r="AIB93" s="1"/>
      <c r="AIC93" s="1"/>
      <c r="AID93" s="1"/>
      <c r="AIE93" s="1"/>
      <c r="AIF93" s="1"/>
      <c r="AIG93" s="1"/>
      <c r="AIH93" s="1"/>
      <c r="AII93" s="1"/>
      <c r="AIJ93" s="1"/>
      <c r="AIK93" s="1"/>
      <c r="AIL93" s="1"/>
      <c r="AIM93" s="1"/>
      <c r="AIN93" s="1"/>
      <c r="AIO93" s="1"/>
      <c r="AIP93" s="1"/>
      <c r="AIQ93" s="1"/>
      <c r="AIR93" s="1"/>
      <c r="AIS93" s="1"/>
      <c r="AIT93" s="1"/>
      <c r="AIU93" s="1"/>
      <c r="AIV93" s="1"/>
      <c r="AIW93" s="1"/>
      <c r="AIX93" s="1"/>
      <c r="AIY93" s="1"/>
      <c r="AIZ93" s="1"/>
      <c r="AJA93" s="1"/>
      <c r="AJB93" s="1"/>
      <c r="AJC93" s="1"/>
      <c r="AJD93" s="1"/>
      <c r="AJE93" s="1"/>
      <c r="AJF93" s="1"/>
      <c r="AJG93" s="1"/>
      <c r="AJH93" s="1"/>
      <c r="AJI93" s="1"/>
      <c r="AJJ93" s="1"/>
      <c r="AJK93" s="1"/>
      <c r="AJL93" s="1"/>
      <c r="AJM93" s="1"/>
      <c r="AJN93" s="1"/>
      <c r="AJO93" s="1"/>
      <c r="AJP93" s="1"/>
      <c r="AJQ93" s="1"/>
      <c r="AJR93" s="1"/>
      <c r="AJS93" s="1"/>
      <c r="AJT93" s="1"/>
      <c r="AJU93" s="1"/>
      <c r="AJV93" s="1"/>
      <c r="AJW93" s="1"/>
      <c r="AJX93" s="1"/>
      <c r="AJY93" s="1"/>
      <c r="AJZ93" s="1"/>
      <c r="AKA93" s="1"/>
      <c r="AKB93" s="1"/>
      <c r="AKC93" s="1"/>
      <c r="AKD93" s="1"/>
      <c r="AKE93" s="1"/>
      <c r="AKF93" s="1"/>
      <c r="AKG93" s="1"/>
      <c r="AKH93" s="1"/>
      <c r="AKI93" s="1"/>
      <c r="AKJ93" s="1"/>
      <c r="AKK93" s="1"/>
      <c r="AKL93" s="1"/>
      <c r="AKM93" s="1"/>
      <c r="AKN93" s="1"/>
      <c r="AKO93" s="1"/>
      <c r="AKP93" s="1"/>
      <c r="AKQ93" s="1"/>
      <c r="AKR93" s="1"/>
      <c r="AKS93" s="1"/>
      <c r="AKT93" s="1"/>
      <c r="AKU93" s="1"/>
      <c r="AKV93" s="1"/>
      <c r="AKW93" s="1"/>
      <c r="AKX93" s="1"/>
      <c r="AKY93" s="1"/>
      <c r="AKZ93" s="1"/>
      <c r="ALA93" s="1"/>
      <c r="ALB93" s="1"/>
      <c r="ALC93" s="1"/>
      <c r="ALD93" s="1"/>
      <c r="ALE93" s="1"/>
      <c r="ALF93" s="1"/>
      <c r="ALG93" s="1"/>
      <c r="ALH93" s="1"/>
      <c r="ALI93" s="1"/>
      <c r="ALJ93" s="1"/>
      <c r="ALK93" s="1"/>
      <c r="ALL93" s="1"/>
      <c r="ALM93" s="1"/>
      <c r="ALN93" s="1"/>
      <c r="ALO93" s="1"/>
      <c r="ALP93" s="1"/>
      <c r="ALQ93" s="1"/>
      <c r="ALR93" s="1"/>
      <c r="ALS93" s="1"/>
      <c r="ALT93" s="1"/>
      <c r="ALU93" s="1"/>
      <c r="ALV93" s="1"/>
      <c r="ALW93" s="1"/>
      <c r="ALX93" s="1"/>
      <c r="ALY93" s="1"/>
      <c r="ALZ93" s="1"/>
      <c r="AMA93" s="1"/>
      <c r="AMB93" s="1"/>
      <c r="AMC93" s="1"/>
      <c r="AMD93" s="1"/>
      <c r="AME93" s="1"/>
      <c r="AMF93" s="1"/>
      <c r="AMG93" s="1"/>
      <c r="AMH93" s="1"/>
      <c r="AMI93" s="1"/>
      <c r="AMJ93" s="1"/>
    </row>
    <row r="94" customFormat="false" ht="13.8" hidden="false" customHeight="false" outlineLevel="0" collapsed="false">
      <c r="A94" s="38"/>
      <c r="B94" s="125" t="s">
        <v>226</v>
      </c>
      <c r="C94" s="125"/>
      <c r="D94" s="125"/>
      <c r="E94" s="125"/>
      <c r="F94" s="125"/>
      <c r="G94" s="125"/>
      <c r="H94" s="125"/>
      <c r="I94" s="125"/>
      <c r="J94" s="125"/>
      <c r="K94" s="20"/>
      <c r="L94" s="20"/>
      <c r="M94" s="20"/>
      <c r="N94" s="125" t="s">
        <v>227</v>
      </c>
      <c r="O94" s="125"/>
      <c r="P94" s="125"/>
      <c r="Q94" s="125"/>
      <c r="R94" s="125"/>
      <c r="S94" s="125"/>
      <c r="T94" s="125"/>
      <c r="U94" s="125"/>
      <c r="V94" s="125"/>
      <c r="W94" s="20"/>
      <c r="X94" s="126"/>
      <c r="Y94" s="33" t="s">
        <v>228</v>
      </c>
      <c r="Z94" s="33"/>
      <c r="AA94" s="33"/>
      <c r="AB94" s="33"/>
      <c r="AC94" s="39"/>
      <c r="AD94" s="39"/>
      <c r="AE94" s="39"/>
      <c r="AF94" s="39"/>
      <c r="AG94" s="39"/>
      <c r="AH94" s="39"/>
      <c r="AI94" s="39"/>
      <c r="AJ94" s="39"/>
      <c r="AK94" s="39"/>
      <c r="AL94" s="39"/>
      <c r="AM94" s="39"/>
      <c r="AN94" s="39"/>
      <c r="AO94" s="9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c r="IY94" s="1"/>
      <c r="IZ94" s="1"/>
      <c r="JA94" s="1"/>
      <c r="JB94" s="1"/>
      <c r="JC94" s="1"/>
      <c r="JD94" s="1"/>
      <c r="JE94" s="1"/>
      <c r="JF94" s="1"/>
      <c r="JG94" s="1"/>
      <c r="JH94" s="1"/>
      <c r="JI94" s="1"/>
      <c r="JJ94" s="1"/>
      <c r="JK94" s="1"/>
      <c r="JL94" s="1"/>
      <c r="JM94" s="1"/>
      <c r="JN94" s="1"/>
      <c r="JO94" s="1"/>
      <c r="JP94" s="1"/>
      <c r="JQ94" s="1"/>
      <c r="JR94" s="1"/>
      <c r="JS94" s="1"/>
      <c r="JT94" s="1"/>
      <c r="JU94" s="1"/>
      <c r="JV94" s="1"/>
      <c r="JW94" s="1"/>
      <c r="JX94" s="1"/>
      <c r="JY94" s="1"/>
      <c r="JZ94" s="1"/>
      <c r="KA94" s="1"/>
      <c r="KB94" s="1"/>
      <c r="KC94" s="1"/>
      <c r="KD94" s="1"/>
      <c r="KE94" s="1"/>
      <c r="KF94" s="1"/>
      <c r="KG94" s="1"/>
      <c r="KH94" s="1"/>
      <c r="KI94" s="1"/>
      <c r="KJ94" s="1"/>
      <c r="KK94" s="1"/>
      <c r="KL94" s="1"/>
      <c r="KM94" s="1"/>
      <c r="KN94" s="1"/>
      <c r="KO94" s="1"/>
      <c r="KP94" s="1"/>
      <c r="KQ94" s="1"/>
      <c r="KR94" s="1"/>
      <c r="KS94" s="1"/>
      <c r="KT94" s="1"/>
      <c r="KU94" s="1"/>
      <c r="KV94" s="1"/>
      <c r="KW94" s="1"/>
      <c r="KX94" s="1"/>
      <c r="KY94" s="1"/>
      <c r="KZ94" s="1"/>
      <c r="LA94" s="1"/>
      <c r="LB94" s="1"/>
      <c r="LC94" s="1"/>
      <c r="LD94" s="1"/>
      <c r="LE94" s="1"/>
      <c r="LF94" s="1"/>
      <c r="LG94" s="1"/>
      <c r="LH94" s="1"/>
      <c r="LI94" s="1"/>
      <c r="LJ94" s="1"/>
      <c r="LK94" s="1"/>
      <c r="LL94" s="1"/>
      <c r="LM94" s="1"/>
      <c r="LN94" s="1"/>
      <c r="LO94" s="1"/>
      <c r="LP94" s="1"/>
      <c r="LQ94" s="1"/>
      <c r="LR94" s="1"/>
      <c r="LS94" s="1"/>
      <c r="LT94" s="1"/>
      <c r="LU94" s="1"/>
      <c r="LV94" s="1"/>
      <c r="LW94" s="1"/>
      <c r="LX94" s="1"/>
      <c r="LY94" s="1"/>
      <c r="LZ94" s="1"/>
      <c r="MA94" s="1"/>
      <c r="MB94" s="1"/>
      <c r="MC94" s="1"/>
      <c r="MD94" s="1"/>
      <c r="ME94" s="1"/>
      <c r="MF94" s="1"/>
      <c r="MG94" s="1"/>
      <c r="MH94" s="1"/>
      <c r="MI94" s="1"/>
      <c r="MJ94" s="1"/>
      <c r="MK94" s="1"/>
      <c r="ML94" s="1"/>
      <c r="MM94" s="1"/>
      <c r="MN94" s="1"/>
      <c r="MO94" s="1"/>
      <c r="MP94" s="1"/>
      <c r="MQ94" s="1"/>
      <c r="MR94" s="1"/>
      <c r="MS94" s="1"/>
      <c r="MT94" s="1"/>
      <c r="MU94" s="1"/>
      <c r="MV94" s="1"/>
      <c r="MW94" s="1"/>
      <c r="MX94" s="1"/>
      <c r="MY94" s="1"/>
      <c r="MZ94" s="1"/>
      <c r="NA94" s="1"/>
      <c r="NB94" s="1"/>
      <c r="NC94" s="1"/>
      <c r="ND94" s="1"/>
      <c r="NE94" s="1"/>
      <c r="NF94" s="1"/>
      <c r="NG94" s="1"/>
      <c r="NH94" s="1"/>
      <c r="NI94" s="1"/>
      <c r="NJ94" s="1"/>
      <c r="NK94" s="1"/>
      <c r="NL94" s="1"/>
      <c r="NM94" s="1"/>
      <c r="NN94" s="1"/>
      <c r="NO94" s="1"/>
      <c r="NP94" s="1"/>
      <c r="NQ94" s="1"/>
      <c r="NR94" s="1"/>
      <c r="NS94" s="1"/>
      <c r="NT94" s="1"/>
      <c r="NU94" s="1"/>
      <c r="NV94" s="1"/>
      <c r="NW94" s="1"/>
      <c r="NX94" s="1"/>
      <c r="NY94" s="1"/>
      <c r="NZ94" s="1"/>
      <c r="OA94" s="1"/>
      <c r="OB94" s="1"/>
      <c r="OC94" s="1"/>
      <c r="OD94" s="1"/>
      <c r="OE94" s="1"/>
      <c r="OF94" s="1"/>
      <c r="OG94" s="1"/>
      <c r="OH94" s="1"/>
      <c r="OI94" s="1"/>
      <c r="OJ94" s="1"/>
      <c r="OK94" s="1"/>
      <c r="OL94" s="1"/>
      <c r="OM94" s="1"/>
      <c r="ON94" s="1"/>
      <c r="OO94" s="1"/>
      <c r="OP94" s="1"/>
      <c r="OQ94" s="1"/>
      <c r="OR94" s="1"/>
      <c r="OS94" s="1"/>
      <c r="OT94" s="1"/>
      <c r="OU94" s="1"/>
      <c r="OV94" s="1"/>
      <c r="OW94" s="1"/>
      <c r="OX94" s="1"/>
      <c r="OY94" s="1"/>
      <c r="OZ94" s="1"/>
      <c r="PA94" s="1"/>
      <c r="PB94" s="1"/>
      <c r="PC94" s="1"/>
      <c r="PD94" s="1"/>
      <c r="PE94" s="1"/>
      <c r="PF94" s="1"/>
      <c r="PG94" s="1"/>
      <c r="PH94" s="1"/>
      <c r="PI94" s="1"/>
      <c r="PJ94" s="1"/>
      <c r="PK94" s="1"/>
      <c r="PL94" s="1"/>
      <c r="PM94" s="1"/>
      <c r="PN94" s="1"/>
      <c r="PO94" s="1"/>
      <c r="PP94" s="1"/>
      <c r="PQ94" s="1"/>
      <c r="PR94" s="1"/>
      <c r="PS94" s="1"/>
      <c r="PT94" s="1"/>
      <c r="PU94" s="1"/>
      <c r="PV94" s="1"/>
      <c r="PW94" s="1"/>
      <c r="PX94" s="1"/>
      <c r="PY94" s="1"/>
      <c r="PZ94" s="1"/>
      <c r="QA94" s="1"/>
      <c r="QB94" s="1"/>
      <c r="QC94" s="1"/>
      <c r="QD94" s="1"/>
      <c r="QE94" s="1"/>
      <c r="QF94" s="1"/>
      <c r="QG94" s="1"/>
      <c r="QH94" s="1"/>
      <c r="QI94" s="1"/>
      <c r="QJ94" s="1"/>
      <c r="QK94" s="1"/>
      <c r="QL94" s="1"/>
      <c r="QM94" s="1"/>
      <c r="QN94" s="1"/>
      <c r="QO94" s="1"/>
      <c r="QP94" s="1"/>
      <c r="QQ94" s="1"/>
      <c r="QR94" s="1"/>
      <c r="QS94" s="1"/>
      <c r="QT94" s="1"/>
      <c r="QU94" s="1"/>
      <c r="QV94" s="1"/>
      <c r="QW94" s="1"/>
      <c r="QX94" s="1"/>
      <c r="QY94" s="1"/>
      <c r="QZ94" s="1"/>
      <c r="RA94" s="1"/>
      <c r="RB94" s="1"/>
      <c r="RC94" s="1"/>
      <c r="RD94" s="1"/>
      <c r="RE94" s="1"/>
      <c r="RF94" s="1"/>
      <c r="RG94" s="1"/>
      <c r="RH94" s="1"/>
      <c r="RI94" s="1"/>
      <c r="RJ94" s="1"/>
      <c r="RK94" s="1"/>
      <c r="RL94" s="1"/>
      <c r="RM94" s="1"/>
      <c r="RN94" s="1"/>
      <c r="RO94" s="1"/>
      <c r="RP94" s="1"/>
      <c r="RQ94" s="1"/>
      <c r="RR94" s="1"/>
      <c r="RS94" s="1"/>
      <c r="RT94" s="1"/>
      <c r="RU94" s="1"/>
      <c r="RV94" s="1"/>
      <c r="RW94" s="1"/>
      <c r="RX94" s="1"/>
      <c r="RY94" s="1"/>
      <c r="RZ94" s="1"/>
      <c r="SA94" s="1"/>
      <c r="SB94" s="1"/>
      <c r="SC94" s="1"/>
      <c r="SD94" s="1"/>
      <c r="SE94" s="1"/>
      <c r="SF94" s="1"/>
      <c r="SG94" s="1"/>
      <c r="SH94" s="1"/>
      <c r="SI94" s="1"/>
      <c r="SJ94" s="1"/>
      <c r="SK94" s="1"/>
      <c r="SL94" s="1"/>
      <c r="SM94" s="1"/>
      <c r="SN94" s="1"/>
      <c r="SO94" s="1"/>
      <c r="SP94" s="1"/>
      <c r="SQ94" s="1"/>
      <c r="SR94" s="1"/>
      <c r="SS94" s="1"/>
      <c r="ST94" s="1"/>
      <c r="SU94" s="1"/>
      <c r="SV94" s="1"/>
      <c r="SW94" s="1"/>
      <c r="SX94" s="1"/>
      <c r="SY94" s="1"/>
      <c r="SZ94" s="1"/>
      <c r="TA94" s="1"/>
      <c r="TB94" s="1"/>
      <c r="TC94" s="1"/>
      <c r="TD94" s="1"/>
      <c r="TE94" s="1"/>
      <c r="TF94" s="1"/>
      <c r="TG94" s="1"/>
      <c r="TH94" s="1"/>
      <c r="TI94" s="1"/>
      <c r="TJ94" s="1"/>
      <c r="TK94" s="1"/>
      <c r="TL94" s="1"/>
      <c r="TM94" s="1"/>
      <c r="TN94" s="1"/>
      <c r="TO94" s="1"/>
      <c r="TP94" s="1"/>
      <c r="TQ94" s="1"/>
      <c r="TR94" s="1"/>
      <c r="TS94" s="1"/>
      <c r="TT94" s="1"/>
      <c r="TU94" s="1"/>
      <c r="TV94" s="1"/>
      <c r="TW94" s="1"/>
      <c r="TX94" s="1"/>
      <c r="TY94" s="1"/>
      <c r="TZ94" s="1"/>
      <c r="UA94" s="1"/>
      <c r="UB94" s="1"/>
      <c r="UC94" s="1"/>
      <c r="UD94" s="1"/>
      <c r="UE94" s="1"/>
      <c r="UF94" s="1"/>
      <c r="UG94" s="1"/>
      <c r="UH94" s="1"/>
      <c r="UI94" s="1"/>
      <c r="UJ94" s="1"/>
      <c r="UK94" s="1"/>
      <c r="UL94" s="1"/>
      <c r="UM94" s="1"/>
      <c r="UN94" s="1"/>
      <c r="UO94" s="1"/>
      <c r="UP94" s="1"/>
      <c r="UQ94" s="1"/>
      <c r="UR94" s="1"/>
      <c r="US94" s="1"/>
      <c r="UT94" s="1"/>
      <c r="UU94" s="1"/>
      <c r="UV94" s="1"/>
      <c r="UW94" s="1"/>
      <c r="UX94" s="1"/>
      <c r="UY94" s="1"/>
      <c r="UZ94" s="1"/>
      <c r="VA94" s="1"/>
      <c r="VB94" s="1"/>
      <c r="VC94" s="1"/>
      <c r="VD94" s="1"/>
      <c r="VE94" s="1"/>
      <c r="VF94" s="1"/>
      <c r="VG94" s="1"/>
      <c r="VH94" s="1"/>
      <c r="VI94" s="1"/>
      <c r="VJ94" s="1"/>
      <c r="VK94" s="1"/>
      <c r="VL94" s="1"/>
      <c r="VM94" s="1"/>
      <c r="VN94" s="1"/>
      <c r="VO94" s="1"/>
      <c r="VP94" s="1"/>
      <c r="VQ94" s="1"/>
      <c r="VR94" s="1"/>
      <c r="VS94" s="1"/>
      <c r="VT94" s="1"/>
      <c r="VU94" s="1"/>
      <c r="VV94" s="1"/>
      <c r="VW94" s="1"/>
      <c r="VX94" s="1"/>
      <c r="VY94" s="1"/>
      <c r="VZ94" s="1"/>
      <c r="WA94" s="1"/>
      <c r="WB94" s="1"/>
      <c r="WC94" s="1"/>
      <c r="WD94" s="1"/>
      <c r="WE94" s="1"/>
      <c r="WF94" s="1"/>
      <c r="WG94" s="1"/>
      <c r="WH94" s="1"/>
      <c r="WI94" s="1"/>
      <c r="WJ94" s="1"/>
      <c r="WK94" s="1"/>
      <c r="WL94" s="1"/>
      <c r="WM94" s="1"/>
      <c r="WN94" s="1"/>
      <c r="WO94" s="1"/>
      <c r="WP94" s="1"/>
      <c r="WQ94" s="1"/>
      <c r="WR94" s="1"/>
      <c r="WS94" s="1"/>
      <c r="WT94" s="1"/>
      <c r="WU94" s="1"/>
      <c r="WV94" s="1"/>
      <c r="WW94" s="1"/>
      <c r="WX94" s="1"/>
      <c r="WY94" s="1"/>
      <c r="WZ94" s="1"/>
      <c r="XA94" s="1"/>
      <c r="XB94" s="1"/>
      <c r="XC94" s="1"/>
      <c r="XD94" s="1"/>
      <c r="XE94" s="1"/>
      <c r="XF94" s="1"/>
      <c r="XG94" s="1"/>
      <c r="XH94" s="1"/>
      <c r="XI94" s="1"/>
      <c r="XJ94" s="1"/>
      <c r="XK94" s="1"/>
      <c r="XL94" s="1"/>
      <c r="XM94" s="1"/>
      <c r="XN94" s="1"/>
      <c r="XO94" s="1"/>
      <c r="XP94" s="1"/>
      <c r="XQ94" s="1"/>
      <c r="XR94" s="1"/>
      <c r="XS94" s="1"/>
      <c r="XT94" s="1"/>
      <c r="XU94" s="1"/>
      <c r="XV94" s="1"/>
      <c r="XW94" s="1"/>
      <c r="XX94" s="1"/>
      <c r="XY94" s="1"/>
      <c r="XZ94" s="1"/>
      <c r="YA94" s="1"/>
      <c r="YB94" s="1"/>
      <c r="YC94" s="1"/>
      <c r="YD94" s="1"/>
      <c r="YE94" s="1"/>
      <c r="YF94" s="1"/>
      <c r="YG94" s="1"/>
      <c r="YH94" s="1"/>
      <c r="YI94" s="1"/>
      <c r="YJ94" s="1"/>
      <c r="YK94" s="1"/>
      <c r="YL94" s="1"/>
      <c r="YM94" s="1"/>
      <c r="YN94" s="1"/>
      <c r="YO94" s="1"/>
      <c r="YP94" s="1"/>
      <c r="YQ94" s="1"/>
      <c r="YR94" s="1"/>
      <c r="YS94" s="1"/>
      <c r="YT94" s="1"/>
      <c r="YU94" s="1"/>
      <c r="YV94" s="1"/>
      <c r="YW94" s="1"/>
      <c r="YX94" s="1"/>
      <c r="YY94" s="1"/>
      <c r="YZ94" s="1"/>
      <c r="ZA94" s="1"/>
      <c r="ZB94" s="1"/>
      <c r="ZC94" s="1"/>
      <c r="ZD94" s="1"/>
      <c r="ZE94" s="1"/>
      <c r="ZF94" s="1"/>
      <c r="ZG94" s="1"/>
      <c r="ZH94" s="1"/>
      <c r="ZI94" s="1"/>
      <c r="ZJ94" s="1"/>
      <c r="ZK94" s="1"/>
      <c r="ZL94" s="1"/>
      <c r="ZM94" s="1"/>
      <c r="ZN94" s="1"/>
      <c r="ZO94" s="1"/>
      <c r="ZP94" s="1"/>
      <c r="ZQ94" s="1"/>
      <c r="ZR94" s="1"/>
      <c r="ZS94" s="1"/>
      <c r="ZT94" s="1"/>
      <c r="ZU94" s="1"/>
      <c r="ZV94" s="1"/>
      <c r="ZW94" s="1"/>
      <c r="ZX94" s="1"/>
      <c r="ZY94" s="1"/>
      <c r="ZZ94" s="1"/>
      <c r="AAA94" s="1"/>
      <c r="AAB94" s="1"/>
      <c r="AAC94" s="1"/>
      <c r="AAD94" s="1"/>
      <c r="AAE94" s="1"/>
      <c r="AAF94" s="1"/>
      <c r="AAG94" s="1"/>
      <c r="AAH94" s="1"/>
      <c r="AAI94" s="1"/>
      <c r="AAJ94" s="1"/>
      <c r="AAK94" s="1"/>
      <c r="AAL94" s="1"/>
      <c r="AAM94" s="1"/>
      <c r="AAN94" s="1"/>
      <c r="AAO94" s="1"/>
      <c r="AAP94" s="1"/>
      <c r="AAQ94" s="1"/>
      <c r="AAR94" s="1"/>
      <c r="AAS94" s="1"/>
      <c r="AAT94" s="1"/>
      <c r="AAU94" s="1"/>
      <c r="AAV94" s="1"/>
      <c r="AAW94" s="1"/>
      <c r="AAX94" s="1"/>
      <c r="AAY94" s="1"/>
      <c r="AAZ94" s="1"/>
      <c r="ABA94" s="1"/>
      <c r="ABB94" s="1"/>
      <c r="ABC94" s="1"/>
      <c r="ABD94" s="1"/>
      <c r="ABE94" s="1"/>
      <c r="ABF94" s="1"/>
      <c r="ABG94" s="1"/>
      <c r="ABH94" s="1"/>
      <c r="ABI94" s="1"/>
      <c r="ABJ94" s="1"/>
      <c r="ABK94" s="1"/>
      <c r="ABL94" s="1"/>
      <c r="ABM94" s="1"/>
      <c r="ABN94" s="1"/>
      <c r="ABO94" s="1"/>
      <c r="ABP94" s="1"/>
      <c r="ABQ94" s="1"/>
      <c r="ABR94" s="1"/>
      <c r="ABS94" s="1"/>
      <c r="ABT94" s="1"/>
      <c r="ABU94" s="1"/>
      <c r="ABV94" s="1"/>
      <c r="ABW94" s="1"/>
      <c r="ABX94" s="1"/>
      <c r="ABY94" s="1"/>
      <c r="ABZ94" s="1"/>
      <c r="ACA94" s="1"/>
      <c r="ACB94" s="1"/>
      <c r="ACC94" s="1"/>
      <c r="ACD94" s="1"/>
      <c r="ACE94" s="1"/>
      <c r="ACF94" s="1"/>
      <c r="ACG94" s="1"/>
      <c r="ACH94" s="1"/>
      <c r="ACI94" s="1"/>
      <c r="ACJ94" s="1"/>
      <c r="ACK94" s="1"/>
      <c r="ACL94" s="1"/>
      <c r="ACM94" s="1"/>
      <c r="ACN94" s="1"/>
      <c r="ACO94" s="1"/>
      <c r="ACP94" s="1"/>
      <c r="ACQ94" s="1"/>
      <c r="ACR94" s="1"/>
      <c r="ACS94" s="1"/>
      <c r="ACT94" s="1"/>
      <c r="ACU94" s="1"/>
      <c r="ACV94" s="1"/>
      <c r="ACW94" s="1"/>
      <c r="ACX94" s="1"/>
      <c r="ACY94" s="1"/>
      <c r="ACZ94" s="1"/>
      <c r="ADA94" s="1"/>
      <c r="ADB94" s="1"/>
      <c r="ADC94" s="1"/>
      <c r="ADD94" s="1"/>
      <c r="ADE94" s="1"/>
      <c r="ADF94" s="1"/>
      <c r="ADG94" s="1"/>
      <c r="ADH94" s="1"/>
      <c r="ADI94" s="1"/>
      <c r="ADJ94" s="1"/>
      <c r="ADK94" s="1"/>
      <c r="ADL94" s="1"/>
      <c r="ADM94" s="1"/>
      <c r="ADN94" s="1"/>
      <c r="ADO94" s="1"/>
      <c r="ADP94" s="1"/>
      <c r="ADQ94" s="1"/>
      <c r="ADR94" s="1"/>
      <c r="ADS94" s="1"/>
      <c r="ADT94" s="1"/>
      <c r="ADU94" s="1"/>
      <c r="ADV94" s="1"/>
      <c r="ADW94" s="1"/>
      <c r="ADX94" s="1"/>
      <c r="ADY94" s="1"/>
      <c r="ADZ94" s="1"/>
      <c r="AEA94" s="1"/>
      <c r="AEB94" s="1"/>
      <c r="AEC94" s="1"/>
      <c r="AED94" s="1"/>
      <c r="AEE94" s="1"/>
      <c r="AEF94" s="1"/>
      <c r="AEG94" s="1"/>
      <c r="AEH94" s="1"/>
      <c r="AEI94" s="1"/>
      <c r="AEJ94" s="1"/>
      <c r="AEK94" s="1"/>
      <c r="AEL94" s="1"/>
      <c r="AEM94" s="1"/>
      <c r="AEN94" s="1"/>
      <c r="AEO94" s="1"/>
      <c r="AEP94" s="1"/>
      <c r="AEQ94" s="1"/>
      <c r="AER94" s="1"/>
      <c r="AES94" s="1"/>
      <c r="AET94" s="1"/>
      <c r="AEU94" s="1"/>
      <c r="AEV94" s="1"/>
      <c r="AEW94" s="1"/>
      <c r="AEX94" s="1"/>
      <c r="AEY94" s="1"/>
      <c r="AEZ94" s="1"/>
      <c r="AFA94" s="1"/>
      <c r="AFB94" s="1"/>
      <c r="AFC94" s="1"/>
      <c r="AFD94" s="1"/>
      <c r="AFE94" s="1"/>
      <c r="AFF94" s="1"/>
      <c r="AFG94" s="1"/>
      <c r="AFH94" s="1"/>
      <c r="AFI94" s="1"/>
      <c r="AFJ94" s="1"/>
      <c r="AFK94" s="1"/>
      <c r="AFL94" s="1"/>
      <c r="AFM94" s="1"/>
      <c r="AFN94" s="1"/>
      <c r="AFO94" s="1"/>
      <c r="AFP94" s="1"/>
      <c r="AFQ94" s="1"/>
      <c r="AFR94" s="1"/>
      <c r="AFS94" s="1"/>
      <c r="AFT94" s="1"/>
      <c r="AFU94" s="1"/>
      <c r="AFV94" s="1"/>
      <c r="AFW94" s="1"/>
      <c r="AFX94" s="1"/>
      <c r="AFY94" s="1"/>
      <c r="AFZ94" s="1"/>
      <c r="AGA94" s="1"/>
      <c r="AGB94" s="1"/>
      <c r="AGC94" s="1"/>
      <c r="AGD94" s="1"/>
      <c r="AGE94" s="1"/>
      <c r="AGF94" s="1"/>
      <c r="AGG94" s="1"/>
      <c r="AGH94" s="1"/>
      <c r="AGI94" s="1"/>
      <c r="AGJ94" s="1"/>
      <c r="AGK94" s="1"/>
      <c r="AGL94" s="1"/>
      <c r="AGM94" s="1"/>
      <c r="AGN94" s="1"/>
      <c r="AGO94" s="1"/>
      <c r="AGP94" s="1"/>
      <c r="AGQ94" s="1"/>
      <c r="AGR94" s="1"/>
      <c r="AGS94" s="1"/>
      <c r="AGT94" s="1"/>
      <c r="AGU94" s="1"/>
      <c r="AGV94" s="1"/>
      <c r="AGW94" s="1"/>
      <c r="AGX94" s="1"/>
      <c r="AGY94" s="1"/>
      <c r="AGZ94" s="1"/>
      <c r="AHA94" s="1"/>
      <c r="AHB94" s="1"/>
      <c r="AHC94" s="1"/>
      <c r="AHD94" s="1"/>
      <c r="AHE94" s="1"/>
      <c r="AHF94" s="1"/>
      <c r="AHG94" s="1"/>
      <c r="AHH94" s="1"/>
      <c r="AHI94" s="1"/>
      <c r="AHJ94" s="1"/>
      <c r="AHK94" s="1"/>
      <c r="AHL94" s="1"/>
      <c r="AHM94" s="1"/>
      <c r="AHN94" s="1"/>
      <c r="AHO94" s="1"/>
      <c r="AHP94" s="1"/>
      <c r="AHQ94" s="1"/>
      <c r="AHR94" s="1"/>
      <c r="AHS94" s="1"/>
      <c r="AHT94" s="1"/>
      <c r="AHU94" s="1"/>
      <c r="AHV94" s="1"/>
      <c r="AHW94" s="1"/>
      <c r="AHX94" s="1"/>
      <c r="AHY94" s="1"/>
      <c r="AHZ94" s="1"/>
      <c r="AIA94" s="1"/>
      <c r="AIB94" s="1"/>
      <c r="AIC94" s="1"/>
      <c r="AID94" s="1"/>
      <c r="AIE94" s="1"/>
      <c r="AIF94" s="1"/>
      <c r="AIG94" s="1"/>
      <c r="AIH94" s="1"/>
      <c r="AII94" s="1"/>
      <c r="AIJ94" s="1"/>
      <c r="AIK94" s="1"/>
      <c r="AIL94" s="1"/>
      <c r="AIM94" s="1"/>
      <c r="AIN94" s="1"/>
      <c r="AIO94" s="1"/>
      <c r="AIP94" s="1"/>
      <c r="AIQ94" s="1"/>
      <c r="AIR94" s="1"/>
      <c r="AIS94" s="1"/>
      <c r="AIT94" s="1"/>
      <c r="AIU94" s="1"/>
      <c r="AIV94" s="1"/>
      <c r="AIW94" s="1"/>
      <c r="AIX94" s="1"/>
      <c r="AIY94" s="1"/>
      <c r="AIZ94" s="1"/>
      <c r="AJA94" s="1"/>
      <c r="AJB94" s="1"/>
      <c r="AJC94" s="1"/>
      <c r="AJD94" s="1"/>
      <c r="AJE94" s="1"/>
      <c r="AJF94" s="1"/>
      <c r="AJG94" s="1"/>
      <c r="AJH94" s="1"/>
      <c r="AJI94" s="1"/>
      <c r="AJJ94" s="1"/>
      <c r="AJK94" s="1"/>
      <c r="AJL94" s="1"/>
      <c r="AJM94" s="1"/>
      <c r="AJN94" s="1"/>
      <c r="AJO94" s="1"/>
      <c r="AJP94" s="1"/>
      <c r="AJQ94" s="1"/>
      <c r="AJR94" s="1"/>
      <c r="AJS94" s="1"/>
      <c r="AJT94" s="1"/>
      <c r="AJU94" s="1"/>
      <c r="AJV94" s="1"/>
      <c r="AJW94" s="1"/>
      <c r="AJX94" s="1"/>
      <c r="AJY94" s="1"/>
      <c r="AJZ94" s="1"/>
      <c r="AKA94" s="1"/>
      <c r="AKB94" s="1"/>
      <c r="AKC94" s="1"/>
      <c r="AKD94" s="1"/>
      <c r="AKE94" s="1"/>
      <c r="AKF94" s="1"/>
      <c r="AKG94" s="1"/>
      <c r="AKH94" s="1"/>
      <c r="AKI94" s="1"/>
      <c r="AKJ94" s="1"/>
      <c r="AKK94" s="1"/>
      <c r="AKL94" s="1"/>
      <c r="AKM94" s="1"/>
      <c r="AKN94" s="1"/>
      <c r="AKO94" s="1"/>
      <c r="AKP94" s="1"/>
      <c r="AKQ94" s="1"/>
      <c r="AKR94" s="1"/>
      <c r="AKS94" s="1"/>
      <c r="AKT94" s="1"/>
      <c r="AKU94" s="1"/>
      <c r="AKV94" s="1"/>
      <c r="AKW94" s="1"/>
      <c r="AKX94" s="1"/>
      <c r="AKY94" s="1"/>
      <c r="AKZ94" s="1"/>
      <c r="ALA94" s="1"/>
      <c r="ALB94" s="1"/>
      <c r="ALC94" s="1"/>
      <c r="ALD94" s="1"/>
      <c r="ALE94" s="1"/>
      <c r="ALF94" s="1"/>
      <c r="ALG94" s="1"/>
      <c r="ALH94" s="1"/>
      <c r="ALI94" s="1"/>
      <c r="ALJ94" s="1"/>
      <c r="ALK94" s="1"/>
      <c r="ALL94" s="1"/>
      <c r="ALM94" s="1"/>
      <c r="ALN94" s="1"/>
      <c r="ALO94" s="1"/>
      <c r="ALP94" s="1"/>
      <c r="ALQ94" s="1"/>
      <c r="ALR94" s="1"/>
      <c r="ALS94" s="1"/>
      <c r="ALT94" s="1"/>
      <c r="ALU94" s="1"/>
      <c r="ALV94" s="1"/>
      <c r="ALW94" s="1"/>
      <c r="ALX94" s="1"/>
      <c r="ALY94" s="1"/>
      <c r="ALZ94" s="1"/>
      <c r="AMA94" s="1"/>
      <c r="AMB94" s="1"/>
      <c r="AMC94" s="1"/>
      <c r="AMD94" s="1"/>
      <c r="AME94" s="1"/>
      <c r="AMF94" s="1"/>
      <c r="AMG94" s="1"/>
      <c r="AMH94" s="1"/>
      <c r="AMI94" s="1"/>
      <c r="AMJ94" s="1"/>
    </row>
    <row r="95" customFormat="false" ht="10.5" hidden="false" customHeight="true" outlineLevel="0" collapsed="false">
      <c r="A95" s="127"/>
      <c r="B95" s="128"/>
      <c r="C95" s="128"/>
      <c r="D95" s="128"/>
      <c r="E95" s="128"/>
      <c r="F95" s="128"/>
      <c r="G95" s="128"/>
      <c r="H95" s="128"/>
      <c r="I95" s="128"/>
      <c r="J95" s="128"/>
      <c r="K95" s="46"/>
      <c r="L95" s="46"/>
      <c r="M95" s="46"/>
      <c r="N95" s="128"/>
      <c r="O95" s="128"/>
      <c r="P95" s="128"/>
      <c r="Q95" s="128"/>
      <c r="R95" s="128"/>
      <c r="S95" s="128"/>
      <c r="T95" s="128"/>
      <c r="U95" s="128"/>
      <c r="V95" s="128"/>
      <c r="W95" s="128"/>
      <c r="X95" s="47"/>
      <c r="Y95" s="129"/>
      <c r="Z95" s="130"/>
      <c r="AA95" s="130"/>
      <c r="AB95" s="130"/>
      <c r="AC95" s="131" t="str">
        <f aca="false">+D10</f>
        <v>JARAMILLO JIMENEZ CARLOS ISRAEL</v>
      </c>
      <c r="AD95" s="131"/>
      <c r="AE95" s="131"/>
      <c r="AF95" s="131"/>
      <c r="AG95" s="131"/>
      <c r="AH95" s="131"/>
      <c r="AI95" s="131"/>
      <c r="AJ95" s="131"/>
      <c r="AK95" s="131"/>
      <c r="AL95" s="131"/>
      <c r="AM95" s="131"/>
      <c r="AN95" s="131"/>
      <c r="AO95" s="13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c r="IY95" s="1"/>
      <c r="IZ95" s="1"/>
      <c r="JA95" s="1"/>
      <c r="JB95" s="1"/>
      <c r="JC95" s="1"/>
      <c r="JD95" s="1"/>
      <c r="JE95" s="1"/>
      <c r="JF95" s="1"/>
      <c r="JG95" s="1"/>
      <c r="JH95" s="1"/>
      <c r="JI95" s="1"/>
      <c r="JJ95" s="1"/>
      <c r="JK95" s="1"/>
      <c r="JL95" s="1"/>
      <c r="JM95" s="1"/>
      <c r="JN95" s="1"/>
      <c r="JO95" s="1"/>
      <c r="JP95" s="1"/>
      <c r="JQ95" s="1"/>
      <c r="JR95" s="1"/>
      <c r="JS95" s="1"/>
      <c r="JT95" s="1"/>
      <c r="JU95" s="1"/>
      <c r="JV95" s="1"/>
      <c r="JW95" s="1"/>
      <c r="JX95" s="1"/>
      <c r="JY95" s="1"/>
      <c r="JZ95" s="1"/>
      <c r="KA95" s="1"/>
      <c r="KB95" s="1"/>
      <c r="KC95" s="1"/>
      <c r="KD95" s="1"/>
      <c r="KE95" s="1"/>
      <c r="KF95" s="1"/>
      <c r="KG95" s="1"/>
      <c r="KH95" s="1"/>
      <c r="KI95" s="1"/>
      <c r="KJ95" s="1"/>
      <c r="KK95" s="1"/>
      <c r="KL95" s="1"/>
      <c r="KM95" s="1"/>
      <c r="KN95" s="1"/>
      <c r="KO95" s="1"/>
      <c r="KP95" s="1"/>
      <c r="KQ95" s="1"/>
      <c r="KR95" s="1"/>
      <c r="KS95" s="1"/>
      <c r="KT95" s="1"/>
      <c r="KU95" s="1"/>
      <c r="KV95" s="1"/>
      <c r="KW95" s="1"/>
      <c r="KX95" s="1"/>
      <c r="KY95" s="1"/>
      <c r="KZ95" s="1"/>
      <c r="LA95" s="1"/>
      <c r="LB95" s="1"/>
      <c r="LC95" s="1"/>
      <c r="LD95" s="1"/>
      <c r="LE95" s="1"/>
      <c r="LF95" s="1"/>
      <c r="LG95" s="1"/>
      <c r="LH95" s="1"/>
      <c r="LI95" s="1"/>
      <c r="LJ95" s="1"/>
      <c r="LK95" s="1"/>
      <c r="LL95" s="1"/>
      <c r="LM95" s="1"/>
      <c r="LN95" s="1"/>
      <c r="LO95" s="1"/>
      <c r="LP95" s="1"/>
      <c r="LQ95" s="1"/>
      <c r="LR95" s="1"/>
      <c r="LS95" s="1"/>
      <c r="LT95" s="1"/>
      <c r="LU95" s="1"/>
      <c r="LV95" s="1"/>
      <c r="LW95" s="1"/>
      <c r="LX95" s="1"/>
      <c r="LY95" s="1"/>
      <c r="LZ95" s="1"/>
      <c r="MA95" s="1"/>
      <c r="MB95" s="1"/>
      <c r="MC95" s="1"/>
      <c r="MD95" s="1"/>
      <c r="ME95" s="1"/>
      <c r="MF95" s="1"/>
      <c r="MG95" s="1"/>
      <c r="MH95" s="1"/>
      <c r="MI95" s="1"/>
      <c r="MJ95" s="1"/>
      <c r="MK95" s="1"/>
      <c r="ML95" s="1"/>
      <c r="MM95" s="1"/>
      <c r="MN95" s="1"/>
      <c r="MO95" s="1"/>
      <c r="MP95" s="1"/>
      <c r="MQ95" s="1"/>
      <c r="MR95" s="1"/>
      <c r="MS95" s="1"/>
      <c r="MT95" s="1"/>
      <c r="MU95" s="1"/>
      <c r="MV95" s="1"/>
      <c r="MW95" s="1"/>
      <c r="MX95" s="1"/>
      <c r="MY95" s="1"/>
      <c r="MZ95" s="1"/>
      <c r="NA95" s="1"/>
      <c r="NB95" s="1"/>
      <c r="NC95" s="1"/>
      <c r="ND95" s="1"/>
      <c r="NE95" s="1"/>
      <c r="NF95" s="1"/>
      <c r="NG95" s="1"/>
      <c r="NH95" s="1"/>
      <c r="NI95" s="1"/>
      <c r="NJ95" s="1"/>
      <c r="NK95" s="1"/>
      <c r="NL95" s="1"/>
      <c r="NM95" s="1"/>
      <c r="NN95" s="1"/>
      <c r="NO95" s="1"/>
      <c r="NP95" s="1"/>
      <c r="NQ95" s="1"/>
      <c r="NR95" s="1"/>
      <c r="NS95" s="1"/>
      <c r="NT95" s="1"/>
      <c r="NU95" s="1"/>
      <c r="NV95" s="1"/>
      <c r="NW95" s="1"/>
      <c r="NX95" s="1"/>
      <c r="NY95" s="1"/>
      <c r="NZ95" s="1"/>
      <c r="OA95" s="1"/>
      <c r="OB95" s="1"/>
      <c r="OC95" s="1"/>
      <c r="OD95" s="1"/>
      <c r="OE95" s="1"/>
      <c r="OF95" s="1"/>
      <c r="OG95" s="1"/>
      <c r="OH95" s="1"/>
      <c r="OI95" s="1"/>
      <c r="OJ95" s="1"/>
      <c r="OK95" s="1"/>
      <c r="OL95" s="1"/>
      <c r="OM95" s="1"/>
      <c r="ON95" s="1"/>
      <c r="OO95" s="1"/>
      <c r="OP95" s="1"/>
      <c r="OQ95" s="1"/>
      <c r="OR95" s="1"/>
      <c r="OS95" s="1"/>
      <c r="OT95" s="1"/>
      <c r="OU95" s="1"/>
      <c r="OV95" s="1"/>
      <c r="OW95" s="1"/>
      <c r="OX95" s="1"/>
      <c r="OY95" s="1"/>
      <c r="OZ95" s="1"/>
      <c r="PA95" s="1"/>
      <c r="PB95" s="1"/>
      <c r="PC95" s="1"/>
      <c r="PD95" s="1"/>
      <c r="PE95" s="1"/>
      <c r="PF95" s="1"/>
      <c r="PG95" s="1"/>
      <c r="PH95" s="1"/>
      <c r="PI95" s="1"/>
      <c r="PJ95" s="1"/>
      <c r="PK95" s="1"/>
      <c r="PL95" s="1"/>
      <c r="PM95" s="1"/>
      <c r="PN95" s="1"/>
      <c r="PO95" s="1"/>
      <c r="PP95" s="1"/>
      <c r="PQ95" s="1"/>
      <c r="PR95" s="1"/>
      <c r="PS95" s="1"/>
      <c r="PT95" s="1"/>
      <c r="PU95" s="1"/>
      <c r="PV95" s="1"/>
      <c r="PW95" s="1"/>
      <c r="PX95" s="1"/>
      <c r="PY95" s="1"/>
      <c r="PZ95" s="1"/>
      <c r="QA95" s="1"/>
      <c r="QB95" s="1"/>
      <c r="QC95" s="1"/>
      <c r="QD95" s="1"/>
      <c r="QE95" s="1"/>
      <c r="QF95" s="1"/>
      <c r="QG95" s="1"/>
      <c r="QH95" s="1"/>
      <c r="QI95" s="1"/>
      <c r="QJ95" s="1"/>
      <c r="QK95" s="1"/>
      <c r="QL95" s="1"/>
      <c r="QM95" s="1"/>
      <c r="QN95" s="1"/>
      <c r="QO95" s="1"/>
      <c r="QP95" s="1"/>
      <c r="QQ95" s="1"/>
      <c r="QR95" s="1"/>
      <c r="QS95" s="1"/>
      <c r="QT95" s="1"/>
      <c r="QU95" s="1"/>
      <c r="QV95" s="1"/>
      <c r="QW95" s="1"/>
      <c r="QX95" s="1"/>
      <c r="QY95" s="1"/>
      <c r="QZ95" s="1"/>
      <c r="RA95" s="1"/>
      <c r="RB95" s="1"/>
      <c r="RC95" s="1"/>
      <c r="RD95" s="1"/>
      <c r="RE95" s="1"/>
      <c r="RF95" s="1"/>
      <c r="RG95" s="1"/>
      <c r="RH95" s="1"/>
      <c r="RI95" s="1"/>
      <c r="RJ95" s="1"/>
      <c r="RK95" s="1"/>
      <c r="RL95" s="1"/>
      <c r="RM95" s="1"/>
      <c r="RN95" s="1"/>
      <c r="RO95" s="1"/>
      <c r="RP95" s="1"/>
      <c r="RQ95" s="1"/>
      <c r="RR95" s="1"/>
      <c r="RS95" s="1"/>
      <c r="RT95" s="1"/>
      <c r="RU95" s="1"/>
      <c r="RV95" s="1"/>
      <c r="RW95" s="1"/>
      <c r="RX95" s="1"/>
      <c r="RY95" s="1"/>
      <c r="RZ95" s="1"/>
      <c r="SA95" s="1"/>
      <c r="SB95" s="1"/>
      <c r="SC95" s="1"/>
      <c r="SD95" s="1"/>
      <c r="SE95" s="1"/>
      <c r="SF95" s="1"/>
      <c r="SG95" s="1"/>
      <c r="SH95" s="1"/>
      <c r="SI95" s="1"/>
      <c r="SJ95" s="1"/>
      <c r="SK95" s="1"/>
      <c r="SL95" s="1"/>
      <c r="SM95" s="1"/>
      <c r="SN95" s="1"/>
      <c r="SO95" s="1"/>
      <c r="SP95" s="1"/>
      <c r="SQ95" s="1"/>
      <c r="SR95" s="1"/>
      <c r="SS95" s="1"/>
      <c r="ST95" s="1"/>
      <c r="SU95" s="1"/>
      <c r="SV95" s="1"/>
      <c r="SW95" s="1"/>
      <c r="SX95" s="1"/>
      <c r="SY95" s="1"/>
      <c r="SZ95" s="1"/>
      <c r="TA95" s="1"/>
      <c r="TB95" s="1"/>
      <c r="TC95" s="1"/>
      <c r="TD95" s="1"/>
      <c r="TE95" s="1"/>
      <c r="TF95" s="1"/>
      <c r="TG95" s="1"/>
      <c r="TH95" s="1"/>
      <c r="TI95" s="1"/>
      <c r="TJ95" s="1"/>
      <c r="TK95" s="1"/>
      <c r="TL95" s="1"/>
      <c r="TM95" s="1"/>
      <c r="TN95" s="1"/>
      <c r="TO95" s="1"/>
      <c r="TP95" s="1"/>
      <c r="TQ95" s="1"/>
      <c r="TR95" s="1"/>
      <c r="TS95" s="1"/>
      <c r="TT95" s="1"/>
      <c r="TU95" s="1"/>
      <c r="TV95" s="1"/>
      <c r="TW95" s="1"/>
      <c r="TX95" s="1"/>
      <c r="TY95" s="1"/>
      <c r="TZ95" s="1"/>
      <c r="UA95" s="1"/>
      <c r="UB95" s="1"/>
      <c r="UC95" s="1"/>
      <c r="UD95" s="1"/>
      <c r="UE95" s="1"/>
      <c r="UF95" s="1"/>
      <c r="UG95" s="1"/>
      <c r="UH95" s="1"/>
      <c r="UI95" s="1"/>
      <c r="UJ95" s="1"/>
      <c r="UK95" s="1"/>
      <c r="UL95" s="1"/>
      <c r="UM95" s="1"/>
      <c r="UN95" s="1"/>
      <c r="UO95" s="1"/>
      <c r="UP95" s="1"/>
      <c r="UQ95" s="1"/>
      <c r="UR95" s="1"/>
      <c r="US95" s="1"/>
      <c r="UT95" s="1"/>
      <c r="UU95" s="1"/>
      <c r="UV95" s="1"/>
      <c r="UW95" s="1"/>
      <c r="UX95" s="1"/>
      <c r="UY95" s="1"/>
      <c r="UZ95" s="1"/>
      <c r="VA95" s="1"/>
      <c r="VB95" s="1"/>
      <c r="VC95" s="1"/>
      <c r="VD95" s="1"/>
      <c r="VE95" s="1"/>
      <c r="VF95" s="1"/>
      <c r="VG95" s="1"/>
      <c r="VH95" s="1"/>
      <c r="VI95" s="1"/>
      <c r="VJ95" s="1"/>
      <c r="VK95" s="1"/>
      <c r="VL95" s="1"/>
      <c r="VM95" s="1"/>
      <c r="VN95" s="1"/>
      <c r="VO95" s="1"/>
      <c r="VP95" s="1"/>
      <c r="VQ95" s="1"/>
      <c r="VR95" s="1"/>
      <c r="VS95" s="1"/>
      <c r="VT95" s="1"/>
      <c r="VU95" s="1"/>
      <c r="VV95" s="1"/>
      <c r="VW95" s="1"/>
      <c r="VX95" s="1"/>
      <c r="VY95" s="1"/>
      <c r="VZ95" s="1"/>
      <c r="WA95" s="1"/>
      <c r="WB95" s="1"/>
      <c r="WC95" s="1"/>
      <c r="WD95" s="1"/>
      <c r="WE95" s="1"/>
      <c r="WF95" s="1"/>
      <c r="WG95" s="1"/>
      <c r="WH95" s="1"/>
      <c r="WI95" s="1"/>
      <c r="WJ95" s="1"/>
      <c r="WK95" s="1"/>
      <c r="WL95" s="1"/>
      <c r="WM95" s="1"/>
      <c r="WN95" s="1"/>
      <c r="WO95" s="1"/>
      <c r="WP95" s="1"/>
      <c r="WQ95" s="1"/>
      <c r="WR95" s="1"/>
      <c r="WS95" s="1"/>
      <c r="WT95" s="1"/>
      <c r="WU95" s="1"/>
      <c r="WV95" s="1"/>
      <c r="WW95" s="1"/>
      <c r="WX95" s="1"/>
      <c r="WY95" s="1"/>
      <c r="WZ95" s="1"/>
      <c r="XA95" s="1"/>
      <c r="XB95" s="1"/>
      <c r="XC95" s="1"/>
      <c r="XD95" s="1"/>
      <c r="XE95" s="1"/>
      <c r="XF95" s="1"/>
      <c r="XG95" s="1"/>
      <c r="XH95" s="1"/>
      <c r="XI95" s="1"/>
      <c r="XJ95" s="1"/>
      <c r="XK95" s="1"/>
      <c r="XL95" s="1"/>
      <c r="XM95" s="1"/>
      <c r="XN95" s="1"/>
      <c r="XO95" s="1"/>
      <c r="XP95" s="1"/>
      <c r="XQ95" s="1"/>
      <c r="XR95" s="1"/>
      <c r="XS95" s="1"/>
      <c r="XT95" s="1"/>
      <c r="XU95" s="1"/>
      <c r="XV95" s="1"/>
      <c r="XW95" s="1"/>
      <c r="XX95" s="1"/>
      <c r="XY95" s="1"/>
      <c r="XZ95" s="1"/>
      <c r="YA95" s="1"/>
      <c r="YB95" s="1"/>
      <c r="YC95" s="1"/>
      <c r="YD95" s="1"/>
      <c r="YE95" s="1"/>
      <c r="YF95" s="1"/>
      <c r="YG95" s="1"/>
      <c r="YH95" s="1"/>
      <c r="YI95" s="1"/>
      <c r="YJ95" s="1"/>
      <c r="YK95" s="1"/>
      <c r="YL95" s="1"/>
      <c r="YM95" s="1"/>
      <c r="YN95" s="1"/>
      <c r="YO95" s="1"/>
      <c r="YP95" s="1"/>
      <c r="YQ95" s="1"/>
      <c r="YR95" s="1"/>
      <c r="YS95" s="1"/>
      <c r="YT95" s="1"/>
      <c r="YU95" s="1"/>
      <c r="YV95" s="1"/>
      <c r="YW95" s="1"/>
      <c r="YX95" s="1"/>
      <c r="YY95" s="1"/>
      <c r="YZ95" s="1"/>
      <c r="ZA95" s="1"/>
      <c r="ZB95" s="1"/>
      <c r="ZC95" s="1"/>
      <c r="ZD95" s="1"/>
      <c r="ZE95" s="1"/>
      <c r="ZF95" s="1"/>
      <c r="ZG95" s="1"/>
      <c r="ZH95" s="1"/>
      <c r="ZI95" s="1"/>
      <c r="ZJ95" s="1"/>
      <c r="ZK95" s="1"/>
      <c r="ZL95" s="1"/>
      <c r="ZM95" s="1"/>
      <c r="ZN95" s="1"/>
      <c r="ZO95" s="1"/>
      <c r="ZP95" s="1"/>
      <c r="ZQ95" s="1"/>
      <c r="ZR95" s="1"/>
      <c r="ZS95" s="1"/>
      <c r="ZT95" s="1"/>
      <c r="ZU95" s="1"/>
      <c r="ZV95" s="1"/>
      <c r="ZW95" s="1"/>
      <c r="ZX95" s="1"/>
      <c r="ZY95" s="1"/>
      <c r="ZZ95" s="1"/>
      <c r="AAA95" s="1"/>
      <c r="AAB95" s="1"/>
      <c r="AAC95" s="1"/>
      <c r="AAD95" s="1"/>
      <c r="AAE95" s="1"/>
      <c r="AAF95" s="1"/>
      <c r="AAG95" s="1"/>
      <c r="AAH95" s="1"/>
      <c r="AAI95" s="1"/>
      <c r="AAJ95" s="1"/>
      <c r="AAK95" s="1"/>
      <c r="AAL95" s="1"/>
      <c r="AAM95" s="1"/>
      <c r="AAN95" s="1"/>
      <c r="AAO95" s="1"/>
      <c r="AAP95" s="1"/>
      <c r="AAQ95" s="1"/>
      <c r="AAR95" s="1"/>
      <c r="AAS95" s="1"/>
      <c r="AAT95" s="1"/>
      <c r="AAU95" s="1"/>
      <c r="AAV95" s="1"/>
      <c r="AAW95" s="1"/>
      <c r="AAX95" s="1"/>
      <c r="AAY95" s="1"/>
      <c r="AAZ95" s="1"/>
      <c r="ABA95" s="1"/>
      <c r="ABB95" s="1"/>
      <c r="ABC95" s="1"/>
      <c r="ABD95" s="1"/>
      <c r="ABE95" s="1"/>
      <c r="ABF95" s="1"/>
      <c r="ABG95" s="1"/>
      <c r="ABH95" s="1"/>
      <c r="ABI95" s="1"/>
      <c r="ABJ95" s="1"/>
      <c r="ABK95" s="1"/>
      <c r="ABL95" s="1"/>
      <c r="ABM95" s="1"/>
      <c r="ABN95" s="1"/>
      <c r="ABO95" s="1"/>
      <c r="ABP95" s="1"/>
      <c r="ABQ95" s="1"/>
      <c r="ABR95" s="1"/>
      <c r="ABS95" s="1"/>
      <c r="ABT95" s="1"/>
      <c r="ABU95" s="1"/>
      <c r="ABV95" s="1"/>
      <c r="ABW95" s="1"/>
      <c r="ABX95" s="1"/>
      <c r="ABY95" s="1"/>
      <c r="ABZ95" s="1"/>
      <c r="ACA95" s="1"/>
      <c r="ACB95" s="1"/>
      <c r="ACC95" s="1"/>
      <c r="ACD95" s="1"/>
      <c r="ACE95" s="1"/>
      <c r="ACF95" s="1"/>
      <c r="ACG95" s="1"/>
      <c r="ACH95" s="1"/>
      <c r="ACI95" s="1"/>
      <c r="ACJ95" s="1"/>
      <c r="ACK95" s="1"/>
      <c r="ACL95" s="1"/>
      <c r="ACM95" s="1"/>
      <c r="ACN95" s="1"/>
      <c r="ACO95" s="1"/>
      <c r="ACP95" s="1"/>
      <c r="ACQ95" s="1"/>
      <c r="ACR95" s="1"/>
      <c r="ACS95" s="1"/>
      <c r="ACT95" s="1"/>
      <c r="ACU95" s="1"/>
      <c r="ACV95" s="1"/>
      <c r="ACW95" s="1"/>
      <c r="ACX95" s="1"/>
      <c r="ACY95" s="1"/>
      <c r="ACZ95" s="1"/>
      <c r="ADA95" s="1"/>
      <c r="ADB95" s="1"/>
      <c r="ADC95" s="1"/>
      <c r="ADD95" s="1"/>
      <c r="ADE95" s="1"/>
      <c r="ADF95" s="1"/>
      <c r="ADG95" s="1"/>
      <c r="ADH95" s="1"/>
      <c r="ADI95" s="1"/>
      <c r="ADJ95" s="1"/>
      <c r="ADK95" s="1"/>
      <c r="ADL95" s="1"/>
      <c r="ADM95" s="1"/>
      <c r="ADN95" s="1"/>
      <c r="ADO95" s="1"/>
      <c r="ADP95" s="1"/>
      <c r="ADQ95" s="1"/>
      <c r="ADR95" s="1"/>
      <c r="ADS95" s="1"/>
      <c r="ADT95" s="1"/>
      <c r="ADU95" s="1"/>
      <c r="ADV95" s="1"/>
      <c r="ADW95" s="1"/>
      <c r="ADX95" s="1"/>
      <c r="ADY95" s="1"/>
      <c r="ADZ95" s="1"/>
      <c r="AEA95" s="1"/>
      <c r="AEB95" s="1"/>
      <c r="AEC95" s="1"/>
      <c r="AED95" s="1"/>
      <c r="AEE95" s="1"/>
      <c r="AEF95" s="1"/>
      <c r="AEG95" s="1"/>
      <c r="AEH95" s="1"/>
      <c r="AEI95" s="1"/>
      <c r="AEJ95" s="1"/>
      <c r="AEK95" s="1"/>
      <c r="AEL95" s="1"/>
      <c r="AEM95" s="1"/>
      <c r="AEN95" s="1"/>
      <c r="AEO95" s="1"/>
      <c r="AEP95" s="1"/>
      <c r="AEQ95" s="1"/>
      <c r="AER95" s="1"/>
      <c r="AES95" s="1"/>
      <c r="AET95" s="1"/>
      <c r="AEU95" s="1"/>
      <c r="AEV95" s="1"/>
      <c r="AEW95" s="1"/>
      <c r="AEX95" s="1"/>
      <c r="AEY95" s="1"/>
      <c r="AEZ95" s="1"/>
      <c r="AFA95" s="1"/>
      <c r="AFB95" s="1"/>
      <c r="AFC95" s="1"/>
      <c r="AFD95" s="1"/>
      <c r="AFE95" s="1"/>
      <c r="AFF95" s="1"/>
      <c r="AFG95" s="1"/>
      <c r="AFH95" s="1"/>
      <c r="AFI95" s="1"/>
      <c r="AFJ95" s="1"/>
      <c r="AFK95" s="1"/>
      <c r="AFL95" s="1"/>
      <c r="AFM95" s="1"/>
      <c r="AFN95" s="1"/>
      <c r="AFO95" s="1"/>
      <c r="AFP95" s="1"/>
      <c r="AFQ95" s="1"/>
      <c r="AFR95" s="1"/>
      <c r="AFS95" s="1"/>
      <c r="AFT95" s="1"/>
      <c r="AFU95" s="1"/>
      <c r="AFV95" s="1"/>
      <c r="AFW95" s="1"/>
      <c r="AFX95" s="1"/>
      <c r="AFY95" s="1"/>
      <c r="AFZ95" s="1"/>
      <c r="AGA95" s="1"/>
      <c r="AGB95" s="1"/>
      <c r="AGC95" s="1"/>
      <c r="AGD95" s="1"/>
      <c r="AGE95" s="1"/>
      <c r="AGF95" s="1"/>
      <c r="AGG95" s="1"/>
      <c r="AGH95" s="1"/>
      <c r="AGI95" s="1"/>
      <c r="AGJ95" s="1"/>
      <c r="AGK95" s="1"/>
      <c r="AGL95" s="1"/>
      <c r="AGM95" s="1"/>
      <c r="AGN95" s="1"/>
      <c r="AGO95" s="1"/>
      <c r="AGP95" s="1"/>
      <c r="AGQ95" s="1"/>
      <c r="AGR95" s="1"/>
      <c r="AGS95" s="1"/>
      <c r="AGT95" s="1"/>
      <c r="AGU95" s="1"/>
      <c r="AGV95" s="1"/>
      <c r="AGW95" s="1"/>
      <c r="AGX95" s="1"/>
      <c r="AGY95" s="1"/>
      <c r="AGZ95" s="1"/>
      <c r="AHA95" s="1"/>
      <c r="AHB95" s="1"/>
      <c r="AHC95" s="1"/>
      <c r="AHD95" s="1"/>
      <c r="AHE95" s="1"/>
      <c r="AHF95" s="1"/>
      <c r="AHG95" s="1"/>
      <c r="AHH95" s="1"/>
      <c r="AHI95" s="1"/>
      <c r="AHJ95" s="1"/>
      <c r="AHK95" s="1"/>
      <c r="AHL95" s="1"/>
      <c r="AHM95" s="1"/>
      <c r="AHN95" s="1"/>
      <c r="AHO95" s="1"/>
      <c r="AHP95" s="1"/>
      <c r="AHQ95" s="1"/>
      <c r="AHR95" s="1"/>
      <c r="AHS95" s="1"/>
      <c r="AHT95" s="1"/>
      <c r="AHU95" s="1"/>
      <c r="AHV95" s="1"/>
      <c r="AHW95" s="1"/>
      <c r="AHX95" s="1"/>
      <c r="AHY95" s="1"/>
      <c r="AHZ95" s="1"/>
      <c r="AIA95" s="1"/>
      <c r="AIB95" s="1"/>
      <c r="AIC95" s="1"/>
      <c r="AID95" s="1"/>
      <c r="AIE95" s="1"/>
      <c r="AIF95" s="1"/>
      <c r="AIG95" s="1"/>
      <c r="AIH95" s="1"/>
      <c r="AII95" s="1"/>
      <c r="AIJ95" s="1"/>
      <c r="AIK95" s="1"/>
      <c r="AIL95" s="1"/>
      <c r="AIM95" s="1"/>
      <c r="AIN95" s="1"/>
      <c r="AIO95" s="1"/>
      <c r="AIP95" s="1"/>
      <c r="AIQ95" s="1"/>
      <c r="AIR95" s="1"/>
      <c r="AIS95" s="1"/>
      <c r="AIT95" s="1"/>
      <c r="AIU95" s="1"/>
      <c r="AIV95" s="1"/>
      <c r="AIW95" s="1"/>
      <c r="AIX95" s="1"/>
      <c r="AIY95" s="1"/>
      <c r="AIZ95" s="1"/>
      <c r="AJA95" s="1"/>
      <c r="AJB95" s="1"/>
      <c r="AJC95" s="1"/>
      <c r="AJD95" s="1"/>
      <c r="AJE95" s="1"/>
      <c r="AJF95" s="1"/>
      <c r="AJG95" s="1"/>
      <c r="AJH95" s="1"/>
      <c r="AJI95" s="1"/>
      <c r="AJJ95" s="1"/>
      <c r="AJK95" s="1"/>
      <c r="AJL95" s="1"/>
      <c r="AJM95" s="1"/>
      <c r="AJN95" s="1"/>
      <c r="AJO95" s="1"/>
      <c r="AJP95" s="1"/>
      <c r="AJQ95" s="1"/>
      <c r="AJR95" s="1"/>
      <c r="AJS95" s="1"/>
      <c r="AJT95" s="1"/>
      <c r="AJU95" s="1"/>
      <c r="AJV95" s="1"/>
      <c r="AJW95" s="1"/>
      <c r="AJX95" s="1"/>
      <c r="AJY95" s="1"/>
      <c r="AJZ95" s="1"/>
      <c r="AKA95" s="1"/>
      <c r="AKB95" s="1"/>
      <c r="AKC95" s="1"/>
      <c r="AKD95" s="1"/>
      <c r="AKE95" s="1"/>
      <c r="AKF95" s="1"/>
      <c r="AKG95" s="1"/>
      <c r="AKH95" s="1"/>
      <c r="AKI95" s="1"/>
      <c r="AKJ95" s="1"/>
      <c r="AKK95" s="1"/>
      <c r="AKL95" s="1"/>
      <c r="AKM95" s="1"/>
      <c r="AKN95" s="1"/>
      <c r="AKO95" s="1"/>
      <c r="AKP95" s="1"/>
      <c r="AKQ95" s="1"/>
      <c r="AKR95" s="1"/>
      <c r="AKS95" s="1"/>
      <c r="AKT95" s="1"/>
      <c r="AKU95" s="1"/>
      <c r="AKV95" s="1"/>
      <c r="AKW95" s="1"/>
      <c r="AKX95" s="1"/>
      <c r="AKY95" s="1"/>
      <c r="AKZ95" s="1"/>
      <c r="ALA95" s="1"/>
      <c r="ALB95" s="1"/>
      <c r="ALC95" s="1"/>
      <c r="ALD95" s="1"/>
      <c r="ALE95" s="1"/>
      <c r="ALF95" s="1"/>
      <c r="ALG95" s="1"/>
      <c r="ALH95" s="1"/>
      <c r="ALI95" s="1"/>
      <c r="ALJ95" s="1"/>
      <c r="ALK95" s="1"/>
      <c r="ALL95" s="1"/>
      <c r="ALM95" s="1"/>
      <c r="ALN95" s="1"/>
      <c r="ALO95" s="1"/>
      <c r="ALP95" s="1"/>
      <c r="ALQ95" s="1"/>
      <c r="ALR95" s="1"/>
      <c r="ALS95" s="1"/>
      <c r="ALT95" s="1"/>
      <c r="ALU95" s="1"/>
      <c r="ALV95" s="1"/>
      <c r="ALW95" s="1"/>
      <c r="ALX95" s="1"/>
      <c r="ALY95" s="1"/>
      <c r="ALZ95" s="1"/>
      <c r="AMA95" s="1"/>
      <c r="AMB95" s="1"/>
      <c r="AMC95" s="1"/>
      <c r="AMD95" s="1"/>
      <c r="AME95" s="1"/>
      <c r="AMF95" s="1"/>
      <c r="AMG95" s="1"/>
      <c r="AMH95" s="1"/>
      <c r="AMI95" s="1"/>
      <c r="AMJ95" s="1"/>
    </row>
    <row r="96" customFormat="false" ht="10.5" hidden="false" customHeight="true" outlineLevel="0" collapsed="false">
      <c r="A96" s="26"/>
      <c r="B96" s="26"/>
      <c r="C96" s="26"/>
      <c r="D96" s="26"/>
      <c r="E96" s="26"/>
      <c r="F96" s="26"/>
      <c r="G96" s="26"/>
      <c r="H96" s="26"/>
      <c r="I96" s="26"/>
      <c r="J96" s="26"/>
      <c r="N96" s="26"/>
      <c r="O96" s="26"/>
      <c r="P96" s="26"/>
      <c r="Q96" s="26"/>
      <c r="R96" s="26"/>
      <c r="S96" s="26"/>
      <c r="T96" s="26"/>
      <c r="U96" s="26"/>
      <c r="V96" s="26"/>
      <c r="W96" s="26"/>
      <c r="Y96" s="10"/>
      <c r="Z96" s="10"/>
      <c r="AA96" s="10"/>
      <c r="AB96" s="10"/>
      <c r="AC96" s="10"/>
      <c r="AD96" s="10"/>
      <c r="AE96" s="124"/>
      <c r="AF96" s="124"/>
      <c r="AG96" s="124"/>
      <c r="AH96" s="124"/>
      <c r="AI96" s="124"/>
      <c r="AJ96" s="124"/>
      <c r="AK96" s="124"/>
      <c r="AL96" s="124"/>
      <c r="AM96" s="124"/>
      <c r="AN96" s="124"/>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c r="IY96" s="1"/>
      <c r="IZ96" s="1"/>
      <c r="JA96" s="1"/>
      <c r="JB96" s="1"/>
      <c r="JC96" s="1"/>
      <c r="JD96" s="1"/>
      <c r="JE96" s="1"/>
      <c r="JF96" s="1"/>
      <c r="JG96" s="1"/>
      <c r="JH96" s="1"/>
      <c r="JI96" s="1"/>
      <c r="JJ96" s="1"/>
      <c r="JK96" s="1"/>
      <c r="JL96" s="1"/>
      <c r="JM96" s="1"/>
      <c r="JN96" s="1"/>
      <c r="JO96" s="1"/>
      <c r="JP96" s="1"/>
      <c r="JQ96" s="1"/>
      <c r="JR96" s="1"/>
      <c r="JS96" s="1"/>
      <c r="JT96" s="1"/>
      <c r="JU96" s="1"/>
      <c r="JV96" s="1"/>
      <c r="JW96" s="1"/>
      <c r="JX96" s="1"/>
      <c r="JY96" s="1"/>
      <c r="JZ96" s="1"/>
      <c r="KA96" s="1"/>
      <c r="KB96" s="1"/>
      <c r="KC96" s="1"/>
      <c r="KD96" s="1"/>
      <c r="KE96" s="1"/>
      <c r="KF96" s="1"/>
      <c r="KG96" s="1"/>
      <c r="KH96" s="1"/>
      <c r="KI96" s="1"/>
      <c r="KJ96" s="1"/>
      <c r="KK96" s="1"/>
      <c r="KL96" s="1"/>
      <c r="KM96" s="1"/>
      <c r="KN96" s="1"/>
      <c r="KO96" s="1"/>
      <c r="KP96" s="1"/>
      <c r="KQ96" s="1"/>
      <c r="KR96" s="1"/>
      <c r="KS96" s="1"/>
      <c r="KT96" s="1"/>
      <c r="KU96" s="1"/>
      <c r="KV96" s="1"/>
      <c r="KW96" s="1"/>
      <c r="KX96" s="1"/>
      <c r="KY96" s="1"/>
      <c r="KZ96" s="1"/>
      <c r="LA96" s="1"/>
      <c r="LB96" s="1"/>
      <c r="LC96" s="1"/>
      <c r="LD96" s="1"/>
      <c r="LE96" s="1"/>
      <c r="LF96" s="1"/>
      <c r="LG96" s="1"/>
      <c r="LH96" s="1"/>
      <c r="LI96" s="1"/>
      <c r="LJ96" s="1"/>
      <c r="LK96" s="1"/>
      <c r="LL96" s="1"/>
      <c r="LM96" s="1"/>
      <c r="LN96" s="1"/>
      <c r="LO96" s="1"/>
      <c r="LP96" s="1"/>
      <c r="LQ96" s="1"/>
      <c r="LR96" s="1"/>
      <c r="LS96" s="1"/>
      <c r="LT96" s="1"/>
      <c r="LU96" s="1"/>
      <c r="LV96" s="1"/>
      <c r="LW96" s="1"/>
      <c r="LX96" s="1"/>
      <c r="LY96" s="1"/>
      <c r="LZ96" s="1"/>
      <c r="MA96" s="1"/>
      <c r="MB96" s="1"/>
      <c r="MC96" s="1"/>
      <c r="MD96" s="1"/>
      <c r="ME96" s="1"/>
      <c r="MF96" s="1"/>
      <c r="MG96" s="1"/>
      <c r="MH96" s="1"/>
      <c r="MI96" s="1"/>
      <c r="MJ96" s="1"/>
      <c r="MK96" s="1"/>
      <c r="ML96" s="1"/>
      <c r="MM96" s="1"/>
      <c r="MN96" s="1"/>
      <c r="MO96" s="1"/>
      <c r="MP96" s="1"/>
      <c r="MQ96" s="1"/>
      <c r="MR96" s="1"/>
      <c r="MS96" s="1"/>
      <c r="MT96" s="1"/>
      <c r="MU96" s="1"/>
      <c r="MV96" s="1"/>
      <c r="MW96" s="1"/>
      <c r="MX96" s="1"/>
      <c r="MY96" s="1"/>
      <c r="MZ96" s="1"/>
      <c r="NA96" s="1"/>
      <c r="NB96" s="1"/>
      <c r="NC96" s="1"/>
      <c r="ND96" s="1"/>
      <c r="NE96" s="1"/>
      <c r="NF96" s="1"/>
      <c r="NG96" s="1"/>
      <c r="NH96" s="1"/>
      <c r="NI96" s="1"/>
      <c r="NJ96" s="1"/>
      <c r="NK96" s="1"/>
      <c r="NL96" s="1"/>
      <c r="NM96" s="1"/>
      <c r="NN96" s="1"/>
      <c r="NO96" s="1"/>
      <c r="NP96" s="1"/>
      <c r="NQ96" s="1"/>
      <c r="NR96" s="1"/>
      <c r="NS96" s="1"/>
      <c r="NT96" s="1"/>
      <c r="NU96" s="1"/>
      <c r="NV96" s="1"/>
      <c r="NW96" s="1"/>
      <c r="NX96" s="1"/>
      <c r="NY96" s="1"/>
      <c r="NZ96" s="1"/>
      <c r="OA96" s="1"/>
      <c r="OB96" s="1"/>
      <c r="OC96" s="1"/>
      <c r="OD96" s="1"/>
      <c r="OE96" s="1"/>
      <c r="OF96" s="1"/>
      <c r="OG96" s="1"/>
      <c r="OH96" s="1"/>
      <c r="OI96" s="1"/>
      <c r="OJ96" s="1"/>
      <c r="OK96" s="1"/>
      <c r="OL96" s="1"/>
      <c r="OM96" s="1"/>
      <c r="ON96" s="1"/>
      <c r="OO96" s="1"/>
      <c r="OP96" s="1"/>
      <c r="OQ96" s="1"/>
      <c r="OR96" s="1"/>
      <c r="OS96" s="1"/>
      <c r="OT96" s="1"/>
      <c r="OU96" s="1"/>
      <c r="OV96" s="1"/>
      <c r="OW96" s="1"/>
      <c r="OX96" s="1"/>
      <c r="OY96" s="1"/>
      <c r="OZ96" s="1"/>
      <c r="PA96" s="1"/>
      <c r="PB96" s="1"/>
      <c r="PC96" s="1"/>
      <c r="PD96" s="1"/>
      <c r="PE96" s="1"/>
      <c r="PF96" s="1"/>
      <c r="PG96" s="1"/>
      <c r="PH96" s="1"/>
      <c r="PI96" s="1"/>
      <c r="PJ96" s="1"/>
      <c r="PK96" s="1"/>
      <c r="PL96" s="1"/>
      <c r="PM96" s="1"/>
      <c r="PN96" s="1"/>
      <c r="PO96" s="1"/>
      <c r="PP96" s="1"/>
      <c r="PQ96" s="1"/>
      <c r="PR96" s="1"/>
      <c r="PS96" s="1"/>
      <c r="PT96" s="1"/>
      <c r="PU96" s="1"/>
      <c r="PV96" s="1"/>
      <c r="PW96" s="1"/>
      <c r="PX96" s="1"/>
      <c r="PY96" s="1"/>
      <c r="PZ96" s="1"/>
      <c r="QA96" s="1"/>
      <c r="QB96" s="1"/>
      <c r="QC96" s="1"/>
      <c r="QD96" s="1"/>
      <c r="QE96" s="1"/>
      <c r="QF96" s="1"/>
      <c r="QG96" s="1"/>
      <c r="QH96" s="1"/>
      <c r="QI96" s="1"/>
      <c r="QJ96" s="1"/>
      <c r="QK96" s="1"/>
      <c r="QL96" s="1"/>
      <c r="QM96" s="1"/>
      <c r="QN96" s="1"/>
      <c r="QO96" s="1"/>
      <c r="QP96" s="1"/>
      <c r="QQ96" s="1"/>
      <c r="QR96" s="1"/>
      <c r="QS96" s="1"/>
      <c r="QT96" s="1"/>
      <c r="QU96" s="1"/>
      <c r="QV96" s="1"/>
      <c r="QW96" s="1"/>
      <c r="QX96" s="1"/>
      <c r="QY96" s="1"/>
      <c r="QZ96" s="1"/>
      <c r="RA96" s="1"/>
      <c r="RB96" s="1"/>
      <c r="RC96" s="1"/>
      <c r="RD96" s="1"/>
      <c r="RE96" s="1"/>
      <c r="RF96" s="1"/>
      <c r="RG96" s="1"/>
      <c r="RH96" s="1"/>
      <c r="RI96" s="1"/>
      <c r="RJ96" s="1"/>
      <c r="RK96" s="1"/>
      <c r="RL96" s="1"/>
      <c r="RM96" s="1"/>
      <c r="RN96" s="1"/>
      <c r="RO96" s="1"/>
      <c r="RP96" s="1"/>
      <c r="RQ96" s="1"/>
      <c r="RR96" s="1"/>
      <c r="RS96" s="1"/>
      <c r="RT96" s="1"/>
      <c r="RU96" s="1"/>
      <c r="RV96" s="1"/>
      <c r="RW96" s="1"/>
      <c r="RX96" s="1"/>
      <c r="RY96" s="1"/>
      <c r="RZ96" s="1"/>
      <c r="SA96" s="1"/>
      <c r="SB96" s="1"/>
      <c r="SC96" s="1"/>
      <c r="SD96" s="1"/>
      <c r="SE96" s="1"/>
      <c r="SF96" s="1"/>
      <c r="SG96" s="1"/>
      <c r="SH96" s="1"/>
      <c r="SI96" s="1"/>
      <c r="SJ96" s="1"/>
      <c r="SK96" s="1"/>
      <c r="SL96" s="1"/>
      <c r="SM96" s="1"/>
      <c r="SN96" s="1"/>
      <c r="SO96" s="1"/>
      <c r="SP96" s="1"/>
      <c r="SQ96" s="1"/>
      <c r="SR96" s="1"/>
      <c r="SS96" s="1"/>
      <c r="ST96" s="1"/>
      <c r="SU96" s="1"/>
      <c r="SV96" s="1"/>
      <c r="SW96" s="1"/>
      <c r="SX96" s="1"/>
      <c r="SY96" s="1"/>
      <c r="SZ96" s="1"/>
      <c r="TA96" s="1"/>
      <c r="TB96" s="1"/>
      <c r="TC96" s="1"/>
      <c r="TD96" s="1"/>
      <c r="TE96" s="1"/>
      <c r="TF96" s="1"/>
      <c r="TG96" s="1"/>
      <c r="TH96" s="1"/>
      <c r="TI96" s="1"/>
      <c r="TJ96" s="1"/>
      <c r="TK96" s="1"/>
      <c r="TL96" s="1"/>
      <c r="TM96" s="1"/>
      <c r="TN96" s="1"/>
      <c r="TO96" s="1"/>
      <c r="TP96" s="1"/>
      <c r="TQ96" s="1"/>
      <c r="TR96" s="1"/>
      <c r="TS96" s="1"/>
      <c r="TT96" s="1"/>
      <c r="TU96" s="1"/>
      <c r="TV96" s="1"/>
      <c r="TW96" s="1"/>
      <c r="TX96" s="1"/>
      <c r="TY96" s="1"/>
      <c r="TZ96" s="1"/>
      <c r="UA96" s="1"/>
      <c r="UB96" s="1"/>
      <c r="UC96" s="1"/>
      <c r="UD96" s="1"/>
      <c r="UE96" s="1"/>
      <c r="UF96" s="1"/>
      <c r="UG96" s="1"/>
      <c r="UH96" s="1"/>
      <c r="UI96" s="1"/>
      <c r="UJ96" s="1"/>
      <c r="UK96" s="1"/>
      <c r="UL96" s="1"/>
      <c r="UM96" s="1"/>
      <c r="UN96" s="1"/>
      <c r="UO96" s="1"/>
      <c r="UP96" s="1"/>
      <c r="UQ96" s="1"/>
      <c r="UR96" s="1"/>
      <c r="US96" s="1"/>
      <c r="UT96" s="1"/>
      <c r="UU96" s="1"/>
      <c r="UV96" s="1"/>
      <c r="UW96" s="1"/>
      <c r="UX96" s="1"/>
      <c r="UY96" s="1"/>
      <c r="UZ96" s="1"/>
      <c r="VA96" s="1"/>
      <c r="VB96" s="1"/>
      <c r="VC96" s="1"/>
      <c r="VD96" s="1"/>
      <c r="VE96" s="1"/>
      <c r="VF96" s="1"/>
      <c r="VG96" s="1"/>
      <c r="VH96" s="1"/>
      <c r="VI96" s="1"/>
      <c r="VJ96" s="1"/>
      <c r="VK96" s="1"/>
      <c r="VL96" s="1"/>
      <c r="VM96" s="1"/>
      <c r="VN96" s="1"/>
      <c r="VO96" s="1"/>
      <c r="VP96" s="1"/>
      <c r="VQ96" s="1"/>
      <c r="VR96" s="1"/>
      <c r="VS96" s="1"/>
      <c r="VT96" s="1"/>
      <c r="VU96" s="1"/>
      <c r="VV96" s="1"/>
      <c r="VW96" s="1"/>
      <c r="VX96" s="1"/>
      <c r="VY96" s="1"/>
      <c r="VZ96" s="1"/>
      <c r="WA96" s="1"/>
      <c r="WB96" s="1"/>
      <c r="WC96" s="1"/>
      <c r="WD96" s="1"/>
      <c r="WE96" s="1"/>
      <c r="WF96" s="1"/>
      <c r="WG96" s="1"/>
      <c r="WH96" s="1"/>
      <c r="WI96" s="1"/>
      <c r="WJ96" s="1"/>
      <c r="WK96" s="1"/>
      <c r="WL96" s="1"/>
      <c r="WM96" s="1"/>
      <c r="WN96" s="1"/>
      <c r="WO96" s="1"/>
      <c r="WP96" s="1"/>
      <c r="WQ96" s="1"/>
      <c r="WR96" s="1"/>
      <c r="WS96" s="1"/>
      <c r="WT96" s="1"/>
      <c r="WU96" s="1"/>
      <c r="WV96" s="1"/>
      <c r="WW96" s="1"/>
      <c r="WX96" s="1"/>
      <c r="WY96" s="1"/>
      <c r="WZ96" s="1"/>
      <c r="XA96" s="1"/>
      <c r="XB96" s="1"/>
      <c r="XC96" s="1"/>
      <c r="XD96" s="1"/>
      <c r="XE96" s="1"/>
      <c r="XF96" s="1"/>
      <c r="XG96" s="1"/>
      <c r="XH96" s="1"/>
      <c r="XI96" s="1"/>
      <c r="XJ96" s="1"/>
      <c r="XK96" s="1"/>
      <c r="XL96" s="1"/>
      <c r="XM96" s="1"/>
      <c r="XN96" s="1"/>
      <c r="XO96" s="1"/>
      <c r="XP96" s="1"/>
      <c r="XQ96" s="1"/>
      <c r="XR96" s="1"/>
      <c r="XS96" s="1"/>
      <c r="XT96" s="1"/>
      <c r="XU96" s="1"/>
      <c r="XV96" s="1"/>
      <c r="XW96" s="1"/>
      <c r="XX96" s="1"/>
      <c r="XY96" s="1"/>
      <c r="XZ96" s="1"/>
      <c r="YA96" s="1"/>
      <c r="YB96" s="1"/>
      <c r="YC96" s="1"/>
      <c r="YD96" s="1"/>
      <c r="YE96" s="1"/>
      <c r="YF96" s="1"/>
      <c r="YG96" s="1"/>
      <c r="YH96" s="1"/>
      <c r="YI96" s="1"/>
      <c r="YJ96" s="1"/>
      <c r="YK96" s="1"/>
      <c r="YL96" s="1"/>
      <c r="YM96" s="1"/>
      <c r="YN96" s="1"/>
      <c r="YO96" s="1"/>
      <c r="YP96" s="1"/>
      <c r="YQ96" s="1"/>
      <c r="YR96" s="1"/>
      <c r="YS96" s="1"/>
      <c r="YT96" s="1"/>
      <c r="YU96" s="1"/>
      <c r="YV96" s="1"/>
      <c r="YW96" s="1"/>
      <c r="YX96" s="1"/>
      <c r="YY96" s="1"/>
      <c r="YZ96" s="1"/>
      <c r="ZA96" s="1"/>
      <c r="ZB96" s="1"/>
      <c r="ZC96" s="1"/>
      <c r="ZD96" s="1"/>
      <c r="ZE96" s="1"/>
      <c r="ZF96" s="1"/>
      <c r="ZG96" s="1"/>
      <c r="ZH96" s="1"/>
      <c r="ZI96" s="1"/>
      <c r="ZJ96" s="1"/>
      <c r="ZK96" s="1"/>
      <c r="ZL96" s="1"/>
      <c r="ZM96" s="1"/>
      <c r="ZN96" s="1"/>
      <c r="ZO96" s="1"/>
      <c r="ZP96" s="1"/>
      <c r="ZQ96" s="1"/>
      <c r="ZR96" s="1"/>
      <c r="ZS96" s="1"/>
      <c r="ZT96" s="1"/>
      <c r="ZU96" s="1"/>
      <c r="ZV96" s="1"/>
      <c r="ZW96" s="1"/>
      <c r="ZX96" s="1"/>
      <c r="ZY96" s="1"/>
      <c r="ZZ96" s="1"/>
      <c r="AAA96" s="1"/>
      <c r="AAB96" s="1"/>
      <c r="AAC96" s="1"/>
      <c r="AAD96" s="1"/>
      <c r="AAE96" s="1"/>
      <c r="AAF96" s="1"/>
      <c r="AAG96" s="1"/>
      <c r="AAH96" s="1"/>
      <c r="AAI96" s="1"/>
      <c r="AAJ96" s="1"/>
      <c r="AAK96" s="1"/>
      <c r="AAL96" s="1"/>
      <c r="AAM96" s="1"/>
      <c r="AAN96" s="1"/>
      <c r="AAO96" s="1"/>
      <c r="AAP96" s="1"/>
      <c r="AAQ96" s="1"/>
      <c r="AAR96" s="1"/>
      <c r="AAS96" s="1"/>
      <c r="AAT96" s="1"/>
      <c r="AAU96" s="1"/>
      <c r="AAV96" s="1"/>
      <c r="AAW96" s="1"/>
      <c r="AAX96" s="1"/>
      <c r="AAY96" s="1"/>
      <c r="AAZ96" s="1"/>
      <c r="ABA96" s="1"/>
      <c r="ABB96" s="1"/>
      <c r="ABC96" s="1"/>
      <c r="ABD96" s="1"/>
      <c r="ABE96" s="1"/>
      <c r="ABF96" s="1"/>
      <c r="ABG96" s="1"/>
      <c r="ABH96" s="1"/>
      <c r="ABI96" s="1"/>
      <c r="ABJ96" s="1"/>
      <c r="ABK96" s="1"/>
      <c r="ABL96" s="1"/>
      <c r="ABM96" s="1"/>
      <c r="ABN96" s="1"/>
      <c r="ABO96" s="1"/>
      <c r="ABP96" s="1"/>
      <c r="ABQ96" s="1"/>
      <c r="ABR96" s="1"/>
      <c r="ABS96" s="1"/>
      <c r="ABT96" s="1"/>
      <c r="ABU96" s="1"/>
      <c r="ABV96" s="1"/>
      <c r="ABW96" s="1"/>
      <c r="ABX96" s="1"/>
      <c r="ABY96" s="1"/>
      <c r="ABZ96" s="1"/>
      <c r="ACA96" s="1"/>
      <c r="ACB96" s="1"/>
      <c r="ACC96" s="1"/>
      <c r="ACD96" s="1"/>
      <c r="ACE96" s="1"/>
      <c r="ACF96" s="1"/>
      <c r="ACG96" s="1"/>
      <c r="ACH96" s="1"/>
      <c r="ACI96" s="1"/>
      <c r="ACJ96" s="1"/>
      <c r="ACK96" s="1"/>
      <c r="ACL96" s="1"/>
      <c r="ACM96" s="1"/>
      <c r="ACN96" s="1"/>
      <c r="ACO96" s="1"/>
      <c r="ACP96" s="1"/>
      <c r="ACQ96" s="1"/>
      <c r="ACR96" s="1"/>
      <c r="ACS96" s="1"/>
      <c r="ACT96" s="1"/>
      <c r="ACU96" s="1"/>
      <c r="ACV96" s="1"/>
      <c r="ACW96" s="1"/>
      <c r="ACX96" s="1"/>
      <c r="ACY96" s="1"/>
      <c r="ACZ96" s="1"/>
      <c r="ADA96" s="1"/>
      <c r="ADB96" s="1"/>
      <c r="ADC96" s="1"/>
      <c r="ADD96" s="1"/>
      <c r="ADE96" s="1"/>
      <c r="ADF96" s="1"/>
      <c r="ADG96" s="1"/>
      <c r="ADH96" s="1"/>
      <c r="ADI96" s="1"/>
      <c r="ADJ96" s="1"/>
      <c r="ADK96" s="1"/>
      <c r="ADL96" s="1"/>
      <c r="ADM96" s="1"/>
      <c r="ADN96" s="1"/>
      <c r="ADO96" s="1"/>
      <c r="ADP96" s="1"/>
      <c r="ADQ96" s="1"/>
      <c r="ADR96" s="1"/>
      <c r="ADS96" s="1"/>
      <c r="ADT96" s="1"/>
      <c r="ADU96" s="1"/>
      <c r="ADV96" s="1"/>
      <c r="ADW96" s="1"/>
      <c r="ADX96" s="1"/>
      <c r="ADY96" s="1"/>
      <c r="ADZ96" s="1"/>
      <c r="AEA96" s="1"/>
      <c r="AEB96" s="1"/>
      <c r="AEC96" s="1"/>
      <c r="AED96" s="1"/>
      <c r="AEE96" s="1"/>
      <c r="AEF96" s="1"/>
      <c r="AEG96" s="1"/>
      <c r="AEH96" s="1"/>
      <c r="AEI96" s="1"/>
      <c r="AEJ96" s="1"/>
      <c r="AEK96" s="1"/>
      <c r="AEL96" s="1"/>
      <c r="AEM96" s="1"/>
      <c r="AEN96" s="1"/>
      <c r="AEO96" s="1"/>
      <c r="AEP96" s="1"/>
      <c r="AEQ96" s="1"/>
      <c r="AER96" s="1"/>
      <c r="AES96" s="1"/>
      <c r="AET96" s="1"/>
      <c r="AEU96" s="1"/>
      <c r="AEV96" s="1"/>
      <c r="AEW96" s="1"/>
      <c r="AEX96" s="1"/>
      <c r="AEY96" s="1"/>
      <c r="AEZ96" s="1"/>
      <c r="AFA96" s="1"/>
      <c r="AFB96" s="1"/>
      <c r="AFC96" s="1"/>
      <c r="AFD96" s="1"/>
      <c r="AFE96" s="1"/>
      <c r="AFF96" s="1"/>
      <c r="AFG96" s="1"/>
      <c r="AFH96" s="1"/>
      <c r="AFI96" s="1"/>
      <c r="AFJ96" s="1"/>
      <c r="AFK96" s="1"/>
      <c r="AFL96" s="1"/>
      <c r="AFM96" s="1"/>
      <c r="AFN96" s="1"/>
      <c r="AFO96" s="1"/>
      <c r="AFP96" s="1"/>
      <c r="AFQ96" s="1"/>
      <c r="AFR96" s="1"/>
      <c r="AFS96" s="1"/>
      <c r="AFT96" s="1"/>
      <c r="AFU96" s="1"/>
      <c r="AFV96" s="1"/>
      <c r="AFW96" s="1"/>
      <c r="AFX96" s="1"/>
      <c r="AFY96" s="1"/>
      <c r="AFZ96" s="1"/>
      <c r="AGA96" s="1"/>
      <c r="AGB96" s="1"/>
      <c r="AGC96" s="1"/>
      <c r="AGD96" s="1"/>
      <c r="AGE96" s="1"/>
      <c r="AGF96" s="1"/>
      <c r="AGG96" s="1"/>
      <c r="AGH96" s="1"/>
      <c r="AGI96" s="1"/>
      <c r="AGJ96" s="1"/>
      <c r="AGK96" s="1"/>
      <c r="AGL96" s="1"/>
      <c r="AGM96" s="1"/>
      <c r="AGN96" s="1"/>
      <c r="AGO96" s="1"/>
      <c r="AGP96" s="1"/>
      <c r="AGQ96" s="1"/>
      <c r="AGR96" s="1"/>
      <c r="AGS96" s="1"/>
      <c r="AGT96" s="1"/>
      <c r="AGU96" s="1"/>
      <c r="AGV96" s="1"/>
      <c r="AGW96" s="1"/>
      <c r="AGX96" s="1"/>
      <c r="AGY96" s="1"/>
      <c r="AGZ96" s="1"/>
      <c r="AHA96" s="1"/>
      <c r="AHB96" s="1"/>
      <c r="AHC96" s="1"/>
      <c r="AHD96" s="1"/>
      <c r="AHE96" s="1"/>
      <c r="AHF96" s="1"/>
      <c r="AHG96" s="1"/>
      <c r="AHH96" s="1"/>
      <c r="AHI96" s="1"/>
      <c r="AHJ96" s="1"/>
      <c r="AHK96" s="1"/>
      <c r="AHL96" s="1"/>
      <c r="AHM96" s="1"/>
      <c r="AHN96" s="1"/>
      <c r="AHO96" s="1"/>
      <c r="AHP96" s="1"/>
      <c r="AHQ96" s="1"/>
      <c r="AHR96" s="1"/>
      <c r="AHS96" s="1"/>
      <c r="AHT96" s="1"/>
      <c r="AHU96" s="1"/>
      <c r="AHV96" s="1"/>
      <c r="AHW96" s="1"/>
      <c r="AHX96" s="1"/>
      <c r="AHY96" s="1"/>
      <c r="AHZ96" s="1"/>
      <c r="AIA96" s="1"/>
      <c r="AIB96" s="1"/>
      <c r="AIC96" s="1"/>
      <c r="AID96" s="1"/>
      <c r="AIE96" s="1"/>
      <c r="AIF96" s="1"/>
      <c r="AIG96" s="1"/>
      <c r="AIH96" s="1"/>
      <c r="AII96" s="1"/>
      <c r="AIJ96" s="1"/>
      <c r="AIK96" s="1"/>
      <c r="AIL96" s="1"/>
      <c r="AIM96" s="1"/>
      <c r="AIN96" s="1"/>
      <c r="AIO96" s="1"/>
      <c r="AIP96" s="1"/>
      <c r="AIQ96" s="1"/>
      <c r="AIR96" s="1"/>
      <c r="AIS96" s="1"/>
      <c r="AIT96" s="1"/>
      <c r="AIU96" s="1"/>
      <c r="AIV96" s="1"/>
      <c r="AIW96" s="1"/>
      <c r="AIX96" s="1"/>
      <c r="AIY96" s="1"/>
      <c r="AIZ96" s="1"/>
      <c r="AJA96" s="1"/>
      <c r="AJB96" s="1"/>
      <c r="AJC96" s="1"/>
      <c r="AJD96" s="1"/>
      <c r="AJE96" s="1"/>
      <c r="AJF96" s="1"/>
      <c r="AJG96" s="1"/>
      <c r="AJH96" s="1"/>
      <c r="AJI96" s="1"/>
      <c r="AJJ96" s="1"/>
      <c r="AJK96" s="1"/>
      <c r="AJL96" s="1"/>
      <c r="AJM96" s="1"/>
      <c r="AJN96" s="1"/>
      <c r="AJO96" s="1"/>
      <c r="AJP96" s="1"/>
      <c r="AJQ96" s="1"/>
      <c r="AJR96" s="1"/>
      <c r="AJS96" s="1"/>
      <c r="AJT96" s="1"/>
      <c r="AJU96" s="1"/>
      <c r="AJV96" s="1"/>
      <c r="AJW96" s="1"/>
      <c r="AJX96" s="1"/>
      <c r="AJY96" s="1"/>
      <c r="AJZ96" s="1"/>
      <c r="AKA96" s="1"/>
      <c r="AKB96" s="1"/>
      <c r="AKC96" s="1"/>
      <c r="AKD96" s="1"/>
      <c r="AKE96" s="1"/>
      <c r="AKF96" s="1"/>
      <c r="AKG96" s="1"/>
      <c r="AKH96" s="1"/>
      <c r="AKI96" s="1"/>
      <c r="AKJ96" s="1"/>
      <c r="AKK96" s="1"/>
      <c r="AKL96" s="1"/>
      <c r="AKM96" s="1"/>
      <c r="AKN96" s="1"/>
      <c r="AKO96" s="1"/>
      <c r="AKP96" s="1"/>
      <c r="AKQ96" s="1"/>
      <c r="AKR96" s="1"/>
      <c r="AKS96" s="1"/>
      <c r="AKT96" s="1"/>
      <c r="AKU96" s="1"/>
      <c r="AKV96" s="1"/>
      <c r="AKW96" s="1"/>
      <c r="AKX96" s="1"/>
      <c r="AKY96" s="1"/>
      <c r="AKZ96" s="1"/>
      <c r="ALA96" s="1"/>
      <c r="ALB96" s="1"/>
      <c r="ALC96" s="1"/>
      <c r="ALD96" s="1"/>
      <c r="ALE96" s="1"/>
      <c r="ALF96" s="1"/>
      <c r="ALG96" s="1"/>
      <c r="ALH96" s="1"/>
      <c r="ALI96" s="1"/>
      <c r="ALJ96" s="1"/>
      <c r="ALK96" s="1"/>
      <c r="ALL96" s="1"/>
      <c r="ALM96" s="1"/>
      <c r="ALN96" s="1"/>
      <c r="ALO96" s="1"/>
      <c r="ALP96" s="1"/>
      <c r="ALQ96" s="1"/>
      <c r="ALR96" s="1"/>
      <c r="ALS96" s="1"/>
      <c r="ALT96" s="1"/>
      <c r="ALU96" s="1"/>
      <c r="ALV96" s="1"/>
      <c r="ALW96" s="1"/>
      <c r="ALX96" s="1"/>
      <c r="ALY96" s="1"/>
      <c r="ALZ96" s="1"/>
      <c r="AMA96" s="1"/>
      <c r="AMB96" s="1"/>
      <c r="AMC96" s="1"/>
      <c r="AMD96" s="1"/>
      <c r="AME96" s="1"/>
      <c r="AMF96" s="1"/>
      <c r="AMG96" s="1"/>
      <c r="AMH96" s="1"/>
      <c r="AMI96" s="1"/>
      <c r="AMJ96" s="1"/>
    </row>
    <row r="97" customFormat="false" ht="27" hidden="false" customHeight="true" outlineLevel="0" collapsed="false">
      <c r="A97" s="73" t="s">
        <v>229</v>
      </c>
      <c r="B97" s="73"/>
      <c r="C97" s="73"/>
      <c r="D97" s="73"/>
      <c r="E97" s="73"/>
      <c r="F97" s="73"/>
      <c r="G97" s="73"/>
      <c r="H97" s="73"/>
      <c r="I97" s="73"/>
      <c r="J97" s="73"/>
      <c r="K97" s="73"/>
      <c r="L97" s="73"/>
      <c r="M97" s="73"/>
      <c r="N97" s="73"/>
      <c r="O97" s="73"/>
      <c r="P97" s="73"/>
      <c r="Q97" s="73"/>
      <c r="R97" s="73"/>
      <c r="S97" s="73"/>
      <c r="T97" s="73"/>
      <c r="U97" s="73"/>
      <c r="V97" s="73"/>
      <c r="W97" s="73"/>
      <c r="X97" s="73"/>
      <c r="Y97" s="73"/>
      <c r="Z97" s="73"/>
      <c r="AA97" s="73"/>
      <c r="AB97" s="73"/>
      <c r="AC97" s="73"/>
      <c r="AD97" s="73"/>
      <c r="AE97" s="73"/>
      <c r="AF97" s="73"/>
      <c r="AG97" s="73"/>
      <c r="AH97" s="73"/>
      <c r="AI97" s="73"/>
      <c r="AJ97" s="73"/>
      <c r="AK97" s="73"/>
      <c r="AL97" s="73"/>
      <c r="AM97" s="73"/>
      <c r="AN97" s="73"/>
      <c r="AO97" s="73"/>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c r="IY97" s="1"/>
      <c r="IZ97" s="1"/>
      <c r="JA97" s="1"/>
      <c r="JB97" s="1"/>
      <c r="JC97" s="1"/>
      <c r="JD97" s="1"/>
      <c r="JE97" s="1"/>
      <c r="JF97" s="1"/>
      <c r="JG97" s="1"/>
      <c r="JH97" s="1"/>
      <c r="JI97" s="1"/>
      <c r="JJ97" s="1"/>
      <c r="JK97" s="1"/>
      <c r="JL97" s="1"/>
      <c r="JM97" s="1"/>
      <c r="JN97" s="1"/>
      <c r="JO97" s="1"/>
      <c r="JP97" s="1"/>
      <c r="JQ97" s="1"/>
      <c r="JR97" s="1"/>
      <c r="JS97" s="1"/>
      <c r="JT97" s="1"/>
      <c r="JU97" s="1"/>
      <c r="JV97" s="1"/>
      <c r="JW97" s="1"/>
      <c r="JX97" s="1"/>
      <c r="JY97" s="1"/>
      <c r="JZ97" s="1"/>
      <c r="KA97" s="1"/>
      <c r="KB97" s="1"/>
      <c r="KC97" s="1"/>
      <c r="KD97" s="1"/>
      <c r="KE97" s="1"/>
      <c r="KF97" s="1"/>
      <c r="KG97" s="1"/>
      <c r="KH97" s="1"/>
      <c r="KI97" s="1"/>
      <c r="KJ97" s="1"/>
      <c r="KK97" s="1"/>
      <c r="KL97" s="1"/>
      <c r="KM97" s="1"/>
      <c r="KN97" s="1"/>
      <c r="KO97" s="1"/>
      <c r="KP97" s="1"/>
      <c r="KQ97" s="1"/>
      <c r="KR97" s="1"/>
      <c r="KS97" s="1"/>
      <c r="KT97" s="1"/>
      <c r="KU97" s="1"/>
      <c r="KV97" s="1"/>
      <c r="KW97" s="1"/>
      <c r="KX97" s="1"/>
      <c r="KY97" s="1"/>
      <c r="KZ97" s="1"/>
      <c r="LA97" s="1"/>
      <c r="LB97" s="1"/>
      <c r="LC97" s="1"/>
      <c r="LD97" s="1"/>
      <c r="LE97" s="1"/>
      <c r="LF97" s="1"/>
      <c r="LG97" s="1"/>
      <c r="LH97" s="1"/>
      <c r="LI97" s="1"/>
      <c r="LJ97" s="1"/>
      <c r="LK97" s="1"/>
      <c r="LL97" s="1"/>
      <c r="LM97" s="1"/>
      <c r="LN97" s="1"/>
      <c r="LO97" s="1"/>
      <c r="LP97" s="1"/>
      <c r="LQ97" s="1"/>
      <c r="LR97" s="1"/>
      <c r="LS97" s="1"/>
      <c r="LT97" s="1"/>
      <c r="LU97" s="1"/>
      <c r="LV97" s="1"/>
      <c r="LW97" s="1"/>
      <c r="LX97" s="1"/>
      <c r="LY97" s="1"/>
      <c r="LZ97" s="1"/>
      <c r="MA97" s="1"/>
      <c r="MB97" s="1"/>
      <c r="MC97" s="1"/>
      <c r="MD97" s="1"/>
      <c r="ME97" s="1"/>
      <c r="MF97" s="1"/>
      <c r="MG97" s="1"/>
      <c r="MH97" s="1"/>
      <c r="MI97" s="1"/>
      <c r="MJ97" s="1"/>
      <c r="MK97" s="1"/>
      <c r="ML97" s="1"/>
      <c r="MM97" s="1"/>
      <c r="MN97" s="1"/>
      <c r="MO97" s="1"/>
      <c r="MP97" s="1"/>
      <c r="MQ97" s="1"/>
      <c r="MR97" s="1"/>
      <c r="MS97" s="1"/>
      <c r="MT97" s="1"/>
      <c r="MU97" s="1"/>
      <c r="MV97" s="1"/>
      <c r="MW97" s="1"/>
      <c r="MX97" s="1"/>
      <c r="MY97" s="1"/>
      <c r="MZ97" s="1"/>
      <c r="NA97" s="1"/>
      <c r="NB97" s="1"/>
      <c r="NC97" s="1"/>
      <c r="ND97" s="1"/>
      <c r="NE97" s="1"/>
      <c r="NF97" s="1"/>
      <c r="NG97" s="1"/>
      <c r="NH97" s="1"/>
      <c r="NI97" s="1"/>
      <c r="NJ97" s="1"/>
      <c r="NK97" s="1"/>
      <c r="NL97" s="1"/>
      <c r="NM97" s="1"/>
      <c r="NN97" s="1"/>
      <c r="NO97" s="1"/>
      <c r="NP97" s="1"/>
      <c r="NQ97" s="1"/>
      <c r="NR97" s="1"/>
      <c r="NS97" s="1"/>
      <c r="NT97" s="1"/>
      <c r="NU97" s="1"/>
      <c r="NV97" s="1"/>
      <c r="NW97" s="1"/>
      <c r="NX97" s="1"/>
      <c r="NY97" s="1"/>
      <c r="NZ97" s="1"/>
      <c r="OA97" s="1"/>
      <c r="OB97" s="1"/>
      <c r="OC97" s="1"/>
      <c r="OD97" s="1"/>
      <c r="OE97" s="1"/>
      <c r="OF97" s="1"/>
      <c r="OG97" s="1"/>
      <c r="OH97" s="1"/>
      <c r="OI97" s="1"/>
      <c r="OJ97" s="1"/>
      <c r="OK97" s="1"/>
      <c r="OL97" s="1"/>
      <c r="OM97" s="1"/>
      <c r="ON97" s="1"/>
      <c r="OO97" s="1"/>
      <c r="OP97" s="1"/>
      <c r="OQ97" s="1"/>
      <c r="OR97" s="1"/>
      <c r="OS97" s="1"/>
      <c r="OT97" s="1"/>
      <c r="OU97" s="1"/>
      <c r="OV97" s="1"/>
      <c r="OW97" s="1"/>
      <c r="OX97" s="1"/>
      <c r="OY97" s="1"/>
      <c r="OZ97" s="1"/>
      <c r="PA97" s="1"/>
      <c r="PB97" s="1"/>
      <c r="PC97" s="1"/>
      <c r="PD97" s="1"/>
      <c r="PE97" s="1"/>
      <c r="PF97" s="1"/>
      <c r="PG97" s="1"/>
      <c r="PH97" s="1"/>
      <c r="PI97" s="1"/>
      <c r="PJ97" s="1"/>
      <c r="PK97" s="1"/>
      <c r="PL97" s="1"/>
      <c r="PM97" s="1"/>
      <c r="PN97" s="1"/>
      <c r="PO97" s="1"/>
      <c r="PP97" s="1"/>
      <c r="PQ97" s="1"/>
      <c r="PR97" s="1"/>
      <c r="PS97" s="1"/>
      <c r="PT97" s="1"/>
      <c r="PU97" s="1"/>
      <c r="PV97" s="1"/>
      <c r="PW97" s="1"/>
      <c r="PX97" s="1"/>
      <c r="PY97" s="1"/>
      <c r="PZ97" s="1"/>
      <c r="QA97" s="1"/>
      <c r="QB97" s="1"/>
      <c r="QC97" s="1"/>
      <c r="QD97" s="1"/>
      <c r="QE97" s="1"/>
      <c r="QF97" s="1"/>
      <c r="QG97" s="1"/>
      <c r="QH97" s="1"/>
      <c r="QI97" s="1"/>
      <c r="QJ97" s="1"/>
      <c r="QK97" s="1"/>
      <c r="QL97" s="1"/>
      <c r="QM97" s="1"/>
      <c r="QN97" s="1"/>
      <c r="QO97" s="1"/>
      <c r="QP97" s="1"/>
      <c r="QQ97" s="1"/>
      <c r="QR97" s="1"/>
      <c r="QS97" s="1"/>
      <c r="QT97" s="1"/>
      <c r="QU97" s="1"/>
      <c r="QV97" s="1"/>
      <c r="QW97" s="1"/>
      <c r="QX97" s="1"/>
      <c r="QY97" s="1"/>
      <c r="QZ97" s="1"/>
      <c r="RA97" s="1"/>
      <c r="RB97" s="1"/>
      <c r="RC97" s="1"/>
      <c r="RD97" s="1"/>
      <c r="RE97" s="1"/>
      <c r="RF97" s="1"/>
      <c r="RG97" s="1"/>
      <c r="RH97" s="1"/>
      <c r="RI97" s="1"/>
      <c r="RJ97" s="1"/>
      <c r="RK97" s="1"/>
      <c r="RL97" s="1"/>
      <c r="RM97" s="1"/>
      <c r="RN97" s="1"/>
      <c r="RO97" s="1"/>
      <c r="RP97" s="1"/>
      <c r="RQ97" s="1"/>
      <c r="RR97" s="1"/>
      <c r="RS97" s="1"/>
      <c r="RT97" s="1"/>
      <c r="RU97" s="1"/>
      <c r="RV97" s="1"/>
      <c r="RW97" s="1"/>
      <c r="RX97" s="1"/>
      <c r="RY97" s="1"/>
      <c r="RZ97" s="1"/>
      <c r="SA97" s="1"/>
      <c r="SB97" s="1"/>
      <c r="SC97" s="1"/>
      <c r="SD97" s="1"/>
      <c r="SE97" s="1"/>
      <c r="SF97" s="1"/>
      <c r="SG97" s="1"/>
      <c r="SH97" s="1"/>
      <c r="SI97" s="1"/>
      <c r="SJ97" s="1"/>
      <c r="SK97" s="1"/>
      <c r="SL97" s="1"/>
      <c r="SM97" s="1"/>
      <c r="SN97" s="1"/>
      <c r="SO97" s="1"/>
      <c r="SP97" s="1"/>
      <c r="SQ97" s="1"/>
      <c r="SR97" s="1"/>
      <c r="SS97" s="1"/>
      <c r="ST97" s="1"/>
      <c r="SU97" s="1"/>
      <c r="SV97" s="1"/>
      <c r="SW97" s="1"/>
      <c r="SX97" s="1"/>
      <c r="SY97" s="1"/>
      <c r="SZ97" s="1"/>
      <c r="TA97" s="1"/>
      <c r="TB97" s="1"/>
      <c r="TC97" s="1"/>
      <c r="TD97" s="1"/>
      <c r="TE97" s="1"/>
      <c r="TF97" s="1"/>
      <c r="TG97" s="1"/>
      <c r="TH97" s="1"/>
      <c r="TI97" s="1"/>
      <c r="TJ97" s="1"/>
      <c r="TK97" s="1"/>
      <c r="TL97" s="1"/>
      <c r="TM97" s="1"/>
      <c r="TN97" s="1"/>
      <c r="TO97" s="1"/>
      <c r="TP97" s="1"/>
      <c r="TQ97" s="1"/>
      <c r="TR97" s="1"/>
      <c r="TS97" s="1"/>
      <c r="TT97" s="1"/>
      <c r="TU97" s="1"/>
      <c r="TV97" s="1"/>
      <c r="TW97" s="1"/>
      <c r="TX97" s="1"/>
      <c r="TY97" s="1"/>
      <c r="TZ97" s="1"/>
      <c r="UA97" s="1"/>
      <c r="UB97" s="1"/>
      <c r="UC97" s="1"/>
      <c r="UD97" s="1"/>
      <c r="UE97" s="1"/>
      <c r="UF97" s="1"/>
      <c r="UG97" s="1"/>
      <c r="UH97" s="1"/>
      <c r="UI97" s="1"/>
      <c r="UJ97" s="1"/>
      <c r="UK97" s="1"/>
      <c r="UL97" s="1"/>
      <c r="UM97" s="1"/>
      <c r="UN97" s="1"/>
      <c r="UO97" s="1"/>
      <c r="UP97" s="1"/>
      <c r="UQ97" s="1"/>
      <c r="UR97" s="1"/>
      <c r="US97" s="1"/>
      <c r="UT97" s="1"/>
      <c r="UU97" s="1"/>
      <c r="UV97" s="1"/>
      <c r="UW97" s="1"/>
      <c r="UX97" s="1"/>
      <c r="UY97" s="1"/>
      <c r="UZ97" s="1"/>
      <c r="VA97" s="1"/>
      <c r="VB97" s="1"/>
      <c r="VC97" s="1"/>
      <c r="VD97" s="1"/>
      <c r="VE97" s="1"/>
      <c r="VF97" s="1"/>
      <c r="VG97" s="1"/>
      <c r="VH97" s="1"/>
      <c r="VI97" s="1"/>
      <c r="VJ97" s="1"/>
      <c r="VK97" s="1"/>
      <c r="VL97" s="1"/>
      <c r="VM97" s="1"/>
      <c r="VN97" s="1"/>
      <c r="VO97" s="1"/>
      <c r="VP97" s="1"/>
      <c r="VQ97" s="1"/>
      <c r="VR97" s="1"/>
      <c r="VS97" s="1"/>
      <c r="VT97" s="1"/>
      <c r="VU97" s="1"/>
      <c r="VV97" s="1"/>
      <c r="VW97" s="1"/>
      <c r="VX97" s="1"/>
      <c r="VY97" s="1"/>
      <c r="VZ97" s="1"/>
      <c r="WA97" s="1"/>
      <c r="WB97" s="1"/>
      <c r="WC97" s="1"/>
      <c r="WD97" s="1"/>
      <c r="WE97" s="1"/>
      <c r="WF97" s="1"/>
      <c r="WG97" s="1"/>
      <c r="WH97" s="1"/>
      <c r="WI97" s="1"/>
      <c r="WJ97" s="1"/>
      <c r="WK97" s="1"/>
      <c r="WL97" s="1"/>
      <c r="WM97" s="1"/>
      <c r="WN97" s="1"/>
      <c r="WO97" s="1"/>
      <c r="WP97" s="1"/>
      <c r="WQ97" s="1"/>
      <c r="WR97" s="1"/>
      <c r="WS97" s="1"/>
      <c r="WT97" s="1"/>
      <c r="WU97" s="1"/>
      <c r="WV97" s="1"/>
      <c r="WW97" s="1"/>
      <c r="WX97" s="1"/>
      <c r="WY97" s="1"/>
      <c r="WZ97" s="1"/>
      <c r="XA97" s="1"/>
      <c r="XB97" s="1"/>
      <c r="XC97" s="1"/>
      <c r="XD97" s="1"/>
      <c r="XE97" s="1"/>
      <c r="XF97" s="1"/>
      <c r="XG97" s="1"/>
      <c r="XH97" s="1"/>
      <c r="XI97" s="1"/>
      <c r="XJ97" s="1"/>
      <c r="XK97" s="1"/>
      <c r="XL97" s="1"/>
      <c r="XM97" s="1"/>
      <c r="XN97" s="1"/>
      <c r="XO97" s="1"/>
      <c r="XP97" s="1"/>
      <c r="XQ97" s="1"/>
      <c r="XR97" s="1"/>
      <c r="XS97" s="1"/>
      <c r="XT97" s="1"/>
      <c r="XU97" s="1"/>
      <c r="XV97" s="1"/>
      <c r="XW97" s="1"/>
      <c r="XX97" s="1"/>
      <c r="XY97" s="1"/>
      <c r="XZ97" s="1"/>
      <c r="YA97" s="1"/>
      <c r="YB97" s="1"/>
      <c r="YC97" s="1"/>
      <c r="YD97" s="1"/>
      <c r="YE97" s="1"/>
      <c r="YF97" s="1"/>
      <c r="YG97" s="1"/>
      <c r="YH97" s="1"/>
      <c r="YI97" s="1"/>
      <c r="YJ97" s="1"/>
      <c r="YK97" s="1"/>
      <c r="YL97" s="1"/>
      <c r="YM97" s="1"/>
      <c r="YN97" s="1"/>
      <c r="YO97" s="1"/>
      <c r="YP97" s="1"/>
      <c r="YQ97" s="1"/>
      <c r="YR97" s="1"/>
      <c r="YS97" s="1"/>
      <c r="YT97" s="1"/>
      <c r="YU97" s="1"/>
      <c r="YV97" s="1"/>
      <c r="YW97" s="1"/>
      <c r="YX97" s="1"/>
      <c r="YY97" s="1"/>
      <c r="YZ97" s="1"/>
      <c r="ZA97" s="1"/>
      <c r="ZB97" s="1"/>
      <c r="ZC97" s="1"/>
      <c r="ZD97" s="1"/>
      <c r="ZE97" s="1"/>
      <c r="ZF97" s="1"/>
      <c r="ZG97" s="1"/>
      <c r="ZH97" s="1"/>
      <c r="ZI97" s="1"/>
      <c r="ZJ97" s="1"/>
      <c r="ZK97" s="1"/>
      <c r="ZL97" s="1"/>
      <c r="ZM97" s="1"/>
      <c r="ZN97" s="1"/>
      <c r="ZO97" s="1"/>
      <c r="ZP97" s="1"/>
      <c r="ZQ97" s="1"/>
      <c r="ZR97" s="1"/>
      <c r="ZS97" s="1"/>
      <c r="ZT97" s="1"/>
      <c r="ZU97" s="1"/>
      <c r="ZV97" s="1"/>
      <c r="ZW97" s="1"/>
      <c r="ZX97" s="1"/>
      <c r="ZY97" s="1"/>
      <c r="ZZ97" s="1"/>
      <c r="AAA97" s="1"/>
      <c r="AAB97" s="1"/>
      <c r="AAC97" s="1"/>
      <c r="AAD97" s="1"/>
      <c r="AAE97" s="1"/>
      <c r="AAF97" s="1"/>
      <c r="AAG97" s="1"/>
      <c r="AAH97" s="1"/>
      <c r="AAI97" s="1"/>
      <c r="AAJ97" s="1"/>
      <c r="AAK97" s="1"/>
      <c r="AAL97" s="1"/>
      <c r="AAM97" s="1"/>
      <c r="AAN97" s="1"/>
      <c r="AAO97" s="1"/>
      <c r="AAP97" s="1"/>
      <c r="AAQ97" s="1"/>
      <c r="AAR97" s="1"/>
      <c r="AAS97" s="1"/>
      <c r="AAT97" s="1"/>
      <c r="AAU97" s="1"/>
      <c r="AAV97" s="1"/>
      <c r="AAW97" s="1"/>
      <c r="AAX97" s="1"/>
      <c r="AAY97" s="1"/>
      <c r="AAZ97" s="1"/>
      <c r="ABA97" s="1"/>
      <c r="ABB97" s="1"/>
      <c r="ABC97" s="1"/>
      <c r="ABD97" s="1"/>
      <c r="ABE97" s="1"/>
      <c r="ABF97" s="1"/>
      <c r="ABG97" s="1"/>
      <c r="ABH97" s="1"/>
      <c r="ABI97" s="1"/>
      <c r="ABJ97" s="1"/>
      <c r="ABK97" s="1"/>
      <c r="ABL97" s="1"/>
      <c r="ABM97" s="1"/>
      <c r="ABN97" s="1"/>
      <c r="ABO97" s="1"/>
      <c r="ABP97" s="1"/>
      <c r="ABQ97" s="1"/>
      <c r="ABR97" s="1"/>
      <c r="ABS97" s="1"/>
      <c r="ABT97" s="1"/>
      <c r="ABU97" s="1"/>
      <c r="ABV97" s="1"/>
      <c r="ABW97" s="1"/>
      <c r="ABX97" s="1"/>
      <c r="ABY97" s="1"/>
      <c r="ABZ97" s="1"/>
      <c r="ACA97" s="1"/>
      <c r="ACB97" s="1"/>
      <c r="ACC97" s="1"/>
      <c r="ACD97" s="1"/>
      <c r="ACE97" s="1"/>
      <c r="ACF97" s="1"/>
      <c r="ACG97" s="1"/>
      <c r="ACH97" s="1"/>
      <c r="ACI97" s="1"/>
      <c r="ACJ97" s="1"/>
      <c r="ACK97" s="1"/>
      <c r="ACL97" s="1"/>
      <c r="ACM97" s="1"/>
      <c r="ACN97" s="1"/>
      <c r="ACO97" s="1"/>
      <c r="ACP97" s="1"/>
      <c r="ACQ97" s="1"/>
      <c r="ACR97" s="1"/>
      <c r="ACS97" s="1"/>
      <c r="ACT97" s="1"/>
      <c r="ACU97" s="1"/>
      <c r="ACV97" s="1"/>
      <c r="ACW97" s="1"/>
      <c r="ACX97" s="1"/>
      <c r="ACY97" s="1"/>
      <c r="ACZ97" s="1"/>
      <c r="ADA97" s="1"/>
      <c r="ADB97" s="1"/>
      <c r="ADC97" s="1"/>
      <c r="ADD97" s="1"/>
      <c r="ADE97" s="1"/>
      <c r="ADF97" s="1"/>
      <c r="ADG97" s="1"/>
      <c r="ADH97" s="1"/>
      <c r="ADI97" s="1"/>
      <c r="ADJ97" s="1"/>
      <c r="ADK97" s="1"/>
      <c r="ADL97" s="1"/>
      <c r="ADM97" s="1"/>
      <c r="ADN97" s="1"/>
      <c r="ADO97" s="1"/>
      <c r="ADP97" s="1"/>
      <c r="ADQ97" s="1"/>
      <c r="ADR97" s="1"/>
      <c r="ADS97" s="1"/>
      <c r="ADT97" s="1"/>
      <c r="ADU97" s="1"/>
      <c r="ADV97" s="1"/>
      <c r="ADW97" s="1"/>
      <c r="ADX97" s="1"/>
      <c r="ADY97" s="1"/>
      <c r="ADZ97" s="1"/>
      <c r="AEA97" s="1"/>
      <c r="AEB97" s="1"/>
      <c r="AEC97" s="1"/>
      <c r="AED97" s="1"/>
      <c r="AEE97" s="1"/>
      <c r="AEF97" s="1"/>
      <c r="AEG97" s="1"/>
      <c r="AEH97" s="1"/>
      <c r="AEI97" s="1"/>
      <c r="AEJ97" s="1"/>
      <c r="AEK97" s="1"/>
      <c r="AEL97" s="1"/>
      <c r="AEM97" s="1"/>
      <c r="AEN97" s="1"/>
      <c r="AEO97" s="1"/>
      <c r="AEP97" s="1"/>
      <c r="AEQ97" s="1"/>
      <c r="AER97" s="1"/>
      <c r="AES97" s="1"/>
      <c r="AET97" s="1"/>
      <c r="AEU97" s="1"/>
      <c r="AEV97" s="1"/>
      <c r="AEW97" s="1"/>
      <c r="AEX97" s="1"/>
      <c r="AEY97" s="1"/>
      <c r="AEZ97" s="1"/>
      <c r="AFA97" s="1"/>
      <c r="AFB97" s="1"/>
      <c r="AFC97" s="1"/>
      <c r="AFD97" s="1"/>
      <c r="AFE97" s="1"/>
      <c r="AFF97" s="1"/>
      <c r="AFG97" s="1"/>
      <c r="AFH97" s="1"/>
      <c r="AFI97" s="1"/>
      <c r="AFJ97" s="1"/>
      <c r="AFK97" s="1"/>
      <c r="AFL97" s="1"/>
      <c r="AFM97" s="1"/>
      <c r="AFN97" s="1"/>
      <c r="AFO97" s="1"/>
      <c r="AFP97" s="1"/>
      <c r="AFQ97" s="1"/>
      <c r="AFR97" s="1"/>
      <c r="AFS97" s="1"/>
      <c r="AFT97" s="1"/>
      <c r="AFU97" s="1"/>
      <c r="AFV97" s="1"/>
      <c r="AFW97" s="1"/>
      <c r="AFX97" s="1"/>
      <c r="AFY97" s="1"/>
      <c r="AFZ97" s="1"/>
      <c r="AGA97" s="1"/>
      <c r="AGB97" s="1"/>
      <c r="AGC97" s="1"/>
      <c r="AGD97" s="1"/>
      <c r="AGE97" s="1"/>
      <c r="AGF97" s="1"/>
      <c r="AGG97" s="1"/>
      <c r="AGH97" s="1"/>
      <c r="AGI97" s="1"/>
      <c r="AGJ97" s="1"/>
      <c r="AGK97" s="1"/>
      <c r="AGL97" s="1"/>
      <c r="AGM97" s="1"/>
      <c r="AGN97" s="1"/>
      <c r="AGO97" s="1"/>
      <c r="AGP97" s="1"/>
      <c r="AGQ97" s="1"/>
      <c r="AGR97" s="1"/>
      <c r="AGS97" s="1"/>
      <c r="AGT97" s="1"/>
      <c r="AGU97" s="1"/>
      <c r="AGV97" s="1"/>
      <c r="AGW97" s="1"/>
      <c r="AGX97" s="1"/>
      <c r="AGY97" s="1"/>
      <c r="AGZ97" s="1"/>
      <c r="AHA97" s="1"/>
      <c r="AHB97" s="1"/>
      <c r="AHC97" s="1"/>
      <c r="AHD97" s="1"/>
      <c r="AHE97" s="1"/>
      <c r="AHF97" s="1"/>
      <c r="AHG97" s="1"/>
      <c r="AHH97" s="1"/>
      <c r="AHI97" s="1"/>
      <c r="AHJ97" s="1"/>
      <c r="AHK97" s="1"/>
      <c r="AHL97" s="1"/>
      <c r="AHM97" s="1"/>
      <c r="AHN97" s="1"/>
      <c r="AHO97" s="1"/>
      <c r="AHP97" s="1"/>
      <c r="AHQ97" s="1"/>
      <c r="AHR97" s="1"/>
      <c r="AHS97" s="1"/>
      <c r="AHT97" s="1"/>
      <c r="AHU97" s="1"/>
      <c r="AHV97" s="1"/>
      <c r="AHW97" s="1"/>
      <c r="AHX97" s="1"/>
      <c r="AHY97" s="1"/>
      <c r="AHZ97" s="1"/>
      <c r="AIA97" s="1"/>
      <c r="AIB97" s="1"/>
      <c r="AIC97" s="1"/>
      <c r="AID97" s="1"/>
      <c r="AIE97" s="1"/>
      <c r="AIF97" s="1"/>
      <c r="AIG97" s="1"/>
      <c r="AIH97" s="1"/>
      <c r="AII97" s="1"/>
      <c r="AIJ97" s="1"/>
      <c r="AIK97" s="1"/>
      <c r="AIL97" s="1"/>
      <c r="AIM97" s="1"/>
      <c r="AIN97" s="1"/>
      <c r="AIO97" s="1"/>
      <c r="AIP97" s="1"/>
      <c r="AIQ97" s="1"/>
      <c r="AIR97" s="1"/>
      <c r="AIS97" s="1"/>
      <c r="AIT97" s="1"/>
      <c r="AIU97" s="1"/>
      <c r="AIV97" s="1"/>
      <c r="AIW97" s="1"/>
      <c r="AIX97" s="1"/>
      <c r="AIY97" s="1"/>
      <c r="AIZ97" s="1"/>
      <c r="AJA97" s="1"/>
      <c r="AJB97" s="1"/>
      <c r="AJC97" s="1"/>
      <c r="AJD97" s="1"/>
      <c r="AJE97" s="1"/>
      <c r="AJF97" s="1"/>
      <c r="AJG97" s="1"/>
      <c r="AJH97" s="1"/>
      <c r="AJI97" s="1"/>
      <c r="AJJ97" s="1"/>
      <c r="AJK97" s="1"/>
      <c r="AJL97" s="1"/>
      <c r="AJM97" s="1"/>
      <c r="AJN97" s="1"/>
      <c r="AJO97" s="1"/>
      <c r="AJP97" s="1"/>
      <c r="AJQ97" s="1"/>
      <c r="AJR97" s="1"/>
      <c r="AJS97" s="1"/>
      <c r="AJT97" s="1"/>
      <c r="AJU97" s="1"/>
      <c r="AJV97" s="1"/>
      <c r="AJW97" s="1"/>
      <c r="AJX97" s="1"/>
      <c r="AJY97" s="1"/>
      <c r="AJZ97" s="1"/>
      <c r="AKA97" s="1"/>
      <c r="AKB97" s="1"/>
      <c r="AKC97" s="1"/>
      <c r="AKD97" s="1"/>
      <c r="AKE97" s="1"/>
      <c r="AKF97" s="1"/>
      <c r="AKG97" s="1"/>
      <c r="AKH97" s="1"/>
      <c r="AKI97" s="1"/>
      <c r="AKJ97" s="1"/>
      <c r="AKK97" s="1"/>
      <c r="AKL97" s="1"/>
      <c r="AKM97" s="1"/>
      <c r="AKN97" s="1"/>
      <c r="AKO97" s="1"/>
      <c r="AKP97" s="1"/>
      <c r="AKQ97" s="1"/>
      <c r="AKR97" s="1"/>
      <c r="AKS97" s="1"/>
      <c r="AKT97" s="1"/>
      <c r="AKU97" s="1"/>
      <c r="AKV97" s="1"/>
      <c r="AKW97" s="1"/>
      <c r="AKX97" s="1"/>
      <c r="AKY97" s="1"/>
      <c r="AKZ97" s="1"/>
      <c r="ALA97" s="1"/>
      <c r="ALB97" s="1"/>
      <c r="ALC97" s="1"/>
      <c r="ALD97" s="1"/>
      <c r="ALE97" s="1"/>
      <c r="ALF97" s="1"/>
      <c r="ALG97" s="1"/>
      <c r="ALH97" s="1"/>
      <c r="ALI97" s="1"/>
      <c r="ALJ97" s="1"/>
      <c r="ALK97" s="1"/>
      <c r="ALL97" s="1"/>
      <c r="ALM97" s="1"/>
      <c r="ALN97" s="1"/>
      <c r="ALO97" s="1"/>
      <c r="ALP97" s="1"/>
      <c r="ALQ97" s="1"/>
      <c r="ALR97" s="1"/>
      <c r="ALS97" s="1"/>
      <c r="ALT97" s="1"/>
      <c r="ALU97" s="1"/>
      <c r="ALV97" s="1"/>
      <c r="ALW97" s="1"/>
      <c r="ALX97" s="1"/>
      <c r="ALY97" s="1"/>
      <c r="ALZ97" s="1"/>
      <c r="AMA97" s="1"/>
      <c r="AMB97" s="1"/>
      <c r="AMC97" s="1"/>
      <c r="AMD97" s="1"/>
      <c r="AME97" s="1"/>
      <c r="AMF97" s="1"/>
      <c r="AMG97" s="1"/>
      <c r="AMH97" s="1"/>
      <c r="AMI97" s="1"/>
      <c r="AMJ97" s="1"/>
    </row>
    <row r="98" customFormat="false" ht="10.5" hidden="false" customHeight="true" outlineLevel="0" collapsed="false">
      <c r="A98" s="132" t="s">
        <v>230</v>
      </c>
      <c r="B98" s="132"/>
      <c r="C98" s="132"/>
      <c r="D98" s="132"/>
      <c r="E98" s="132"/>
      <c r="F98" s="132"/>
      <c r="G98" s="132"/>
      <c r="H98" s="132"/>
      <c r="I98" s="132"/>
      <c r="J98" s="132"/>
      <c r="K98" s="132"/>
      <c r="L98" s="132"/>
      <c r="M98" s="132"/>
      <c r="N98" s="132"/>
      <c r="O98" s="132"/>
      <c r="P98" s="132"/>
      <c r="Q98" s="132"/>
      <c r="R98" s="132"/>
      <c r="S98" s="132"/>
      <c r="T98" s="132"/>
      <c r="U98" s="132"/>
      <c r="V98" s="132"/>
      <c r="W98" s="132"/>
      <c r="X98" s="132"/>
      <c r="Y98" s="132"/>
      <c r="Z98" s="132"/>
      <c r="AA98" s="132"/>
      <c r="AB98" s="132"/>
      <c r="AC98" s="132"/>
      <c r="AD98" s="132"/>
      <c r="AE98" s="132"/>
      <c r="AF98" s="132"/>
      <c r="AG98" s="132"/>
      <c r="AH98" s="132"/>
      <c r="AI98" s="132"/>
      <c r="AJ98" s="132"/>
      <c r="AK98" s="132"/>
      <c r="AL98" s="132"/>
      <c r="AM98" s="132"/>
      <c r="AN98" s="132"/>
      <c r="AO98" s="132"/>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c r="IY98" s="1"/>
      <c r="IZ98" s="1"/>
      <c r="JA98" s="1"/>
      <c r="JB98" s="1"/>
      <c r="JC98" s="1"/>
      <c r="JD98" s="1"/>
      <c r="JE98" s="1"/>
      <c r="JF98" s="1"/>
      <c r="JG98" s="1"/>
      <c r="JH98" s="1"/>
      <c r="JI98" s="1"/>
      <c r="JJ98" s="1"/>
      <c r="JK98" s="1"/>
      <c r="JL98" s="1"/>
      <c r="JM98" s="1"/>
      <c r="JN98" s="1"/>
      <c r="JO98" s="1"/>
      <c r="JP98" s="1"/>
      <c r="JQ98" s="1"/>
      <c r="JR98" s="1"/>
      <c r="JS98" s="1"/>
      <c r="JT98" s="1"/>
      <c r="JU98" s="1"/>
      <c r="JV98" s="1"/>
      <c r="JW98" s="1"/>
      <c r="JX98" s="1"/>
      <c r="JY98" s="1"/>
      <c r="JZ98" s="1"/>
      <c r="KA98" s="1"/>
      <c r="KB98" s="1"/>
      <c r="KC98" s="1"/>
      <c r="KD98" s="1"/>
      <c r="KE98" s="1"/>
      <c r="KF98" s="1"/>
      <c r="KG98" s="1"/>
      <c r="KH98" s="1"/>
      <c r="KI98" s="1"/>
      <c r="KJ98" s="1"/>
      <c r="KK98" s="1"/>
      <c r="KL98" s="1"/>
      <c r="KM98" s="1"/>
      <c r="KN98" s="1"/>
      <c r="KO98" s="1"/>
      <c r="KP98" s="1"/>
      <c r="KQ98" s="1"/>
      <c r="KR98" s="1"/>
      <c r="KS98" s="1"/>
      <c r="KT98" s="1"/>
      <c r="KU98" s="1"/>
      <c r="KV98" s="1"/>
      <c r="KW98" s="1"/>
      <c r="KX98" s="1"/>
      <c r="KY98" s="1"/>
      <c r="KZ98" s="1"/>
      <c r="LA98" s="1"/>
      <c r="LB98" s="1"/>
      <c r="LC98" s="1"/>
      <c r="LD98" s="1"/>
      <c r="LE98" s="1"/>
      <c r="LF98" s="1"/>
      <c r="LG98" s="1"/>
      <c r="LH98" s="1"/>
      <c r="LI98" s="1"/>
      <c r="LJ98" s="1"/>
      <c r="LK98" s="1"/>
      <c r="LL98" s="1"/>
      <c r="LM98" s="1"/>
      <c r="LN98" s="1"/>
      <c r="LO98" s="1"/>
      <c r="LP98" s="1"/>
      <c r="LQ98" s="1"/>
      <c r="LR98" s="1"/>
      <c r="LS98" s="1"/>
      <c r="LT98" s="1"/>
      <c r="LU98" s="1"/>
      <c r="LV98" s="1"/>
      <c r="LW98" s="1"/>
      <c r="LX98" s="1"/>
      <c r="LY98" s="1"/>
      <c r="LZ98" s="1"/>
      <c r="MA98" s="1"/>
      <c r="MB98" s="1"/>
      <c r="MC98" s="1"/>
      <c r="MD98" s="1"/>
      <c r="ME98" s="1"/>
      <c r="MF98" s="1"/>
      <c r="MG98" s="1"/>
      <c r="MH98" s="1"/>
      <c r="MI98" s="1"/>
      <c r="MJ98" s="1"/>
      <c r="MK98" s="1"/>
      <c r="ML98" s="1"/>
      <c r="MM98" s="1"/>
      <c r="MN98" s="1"/>
      <c r="MO98" s="1"/>
      <c r="MP98" s="1"/>
      <c r="MQ98" s="1"/>
      <c r="MR98" s="1"/>
      <c r="MS98" s="1"/>
      <c r="MT98" s="1"/>
      <c r="MU98" s="1"/>
      <c r="MV98" s="1"/>
      <c r="MW98" s="1"/>
      <c r="MX98" s="1"/>
      <c r="MY98" s="1"/>
      <c r="MZ98" s="1"/>
      <c r="NA98" s="1"/>
      <c r="NB98" s="1"/>
      <c r="NC98" s="1"/>
      <c r="ND98" s="1"/>
      <c r="NE98" s="1"/>
      <c r="NF98" s="1"/>
      <c r="NG98" s="1"/>
      <c r="NH98" s="1"/>
      <c r="NI98" s="1"/>
      <c r="NJ98" s="1"/>
      <c r="NK98" s="1"/>
      <c r="NL98" s="1"/>
      <c r="NM98" s="1"/>
      <c r="NN98" s="1"/>
      <c r="NO98" s="1"/>
      <c r="NP98" s="1"/>
      <c r="NQ98" s="1"/>
      <c r="NR98" s="1"/>
      <c r="NS98" s="1"/>
      <c r="NT98" s="1"/>
      <c r="NU98" s="1"/>
      <c r="NV98" s="1"/>
      <c r="NW98" s="1"/>
      <c r="NX98" s="1"/>
      <c r="NY98" s="1"/>
      <c r="NZ98" s="1"/>
      <c r="OA98" s="1"/>
      <c r="OB98" s="1"/>
      <c r="OC98" s="1"/>
      <c r="OD98" s="1"/>
      <c r="OE98" s="1"/>
      <c r="OF98" s="1"/>
      <c r="OG98" s="1"/>
      <c r="OH98" s="1"/>
      <c r="OI98" s="1"/>
      <c r="OJ98" s="1"/>
      <c r="OK98" s="1"/>
      <c r="OL98" s="1"/>
      <c r="OM98" s="1"/>
      <c r="ON98" s="1"/>
      <c r="OO98" s="1"/>
      <c r="OP98" s="1"/>
      <c r="OQ98" s="1"/>
      <c r="OR98" s="1"/>
      <c r="OS98" s="1"/>
      <c r="OT98" s="1"/>
      <c r="OU98" s="1"/>
      <c r="OV98" s="1"/>
      <c r="OW98" s="1"/>
      <c r="OX98" s="1"/>
      <c r="OY98" s="1"/>
      <c r="OZ98" s="1"/>
      <c r="PA98" s="1"/>
      <c r="PB98" s="1"/>
      <c r="PC98" s="1"/>
      <c r="PD98" s="1"/>
      <c r="PE98" s="1"/>
      <c r="PF98" s="1"/>
      <c r="PG98" s="1"/>
      <c r="PH98" s="1"/>
      <c r="PI98" s="1"/>
      <c r="PJ98" s="1"/>
      <c r="PK98" s="1"/>
      <c r="PL98" s="1"/>
      <c r="PM98" s="1"/>
      <c r="PN98" s="1"/>
      <c r="PO98" s="1"/>
      <c r="PP98" s="1"/>
      <c r="PQ98" s="1"/>
      <c r="PR98" s="1"/>
      <c r="PS98" s="1"/>
      <c r="PT98" s="1"/>
      <c r="PU98" s="1"/>
      <c r="PV98" s="1"/>
      <c r="PW98" s="1"/>
      <c r="PX98" s="1"/>
      <c r="PY98" s="1"/>
      <c r="PZ98" s="1"/>
      <c r="QA98" s="1"/>
      <c r="QB98" s="1"/>
      <c r="QC98" s="1"/>
      <c r="QD98" s="1"/>
      <c r="QE98" s="1"/>
      <c r="QF98" s="1"/>
      <c r="QG98" s="1"/>
      <c r="QH98" s="1"/>
      <c r="QI98" s="1"/>
      <c r="QJ98" s="1"/>
      <c r="QK98" s="1"/>
      <c r="QL98" s="1"/>
      <c r="QM98" s="1"/>
      <c r="QN98" s="1"/>
      <c r="QO98" s="1"/>
      <c r="QP98" s="1"/>
      <c r="QQ98" s="1"/>
      <c r="QR98" s="1"/>
      <c r="QS98" s="1"/>
      <c r="QT98" s="1"/>
      <c r="QU98" s="1"/>
      <c r="QV98" s="1"/>
      <c r="QW98" s="1"/>
      <c r="QX98" s="1"/>
      <c r="QY98" s="1"/>
      <c r="QZ98" s="1"/>
      <c r="RA98" s="1"/>
      <c r="RB98" s="1"/>
      <c r="RC98" s="1"/>
      <c r="RD98" s="1"/>
      <c r="RE98" s="1"/>
      <c r="RF98" s="1"/>
      <c r="RG98" s="1"/>
      <c r="RH98" s="1"/>
      <c r="RI98" s="1"/>
      <c r="RJ98" s="1"/>
      <c r="RK98" s="1"/>
      <c r="RL98" s="1"/>
      <c r="RM98" s="1"/>
      <c r="RN98" s="1"/>
      <c r="RO98" s="1"/>
      <c r="RP98" s="1"/>
      <c r="RQ98" s="1"/>
      <c r="RR98" s="1"/>
      <c r="RS98" s="1"/>
      <c r="RT98" s="1"/>
      <c r="RU98" s="1"/>
      <c r="RV98" s="1"/>
      <c r="RW98" s="1"/>
      <c r="RX98" s="1"/>
      <c r="RY98" s="1"/>
      <c r="RZ98" s="1"/>
      <c r="SA98" s="1"/>
      <c r="SB98" s="1"/>
      <c r="SC98" s="1"/>
      <c r="SD98" s="1"/>
      <c r="SE98" s="1"/>
      <c r="SF98" s="1"/>
      <c r="SG98" s="1"/>
      <c r="SH98" s="1"/>
      <c r="SI98" s="1"/>
      <c r="SJ98" s="1"/>
      <c r="SK98" s="1"/>
      <c r="SL98" s="1"/>
      <c r="SM98" s="1"/>
      <c r="SN98" s="1"/>
      <c r="SO98" s="1"/>
      <c r="SP98" s="1"/>
      <c r="SQ98" s="1"/>
      <c r="SR98" s="1"/>
      <c r="SS98" s="1"/>
      <c r="ST98" s="1"/>
      <c r="SU98" s="1"/>
      <c r="SV98" s="1"/>
      <c r="SW98" s="1"/>
      <c r="SX98" s="1"/>
      <c r="SY98" s="1"/>
      <c r="SZ98" s="1"/>
      <c r="TA98" s="1"/>
      <c r="TB98" s="1"/>
      <c r="TC98" s="1"/>
      <c r="TD98" s="1"/>
      <c r="TE98" s="1"/>
      <c r="TF98" s="1"/>
      <c r="TG98" s="1"/>
      <c r="TH98" s="1"/>
      <c r="TI98" s="1"/>
      <c r="TJ98" s="1"/>
      <c r="TK98" s="1"/>
      <c r="TL98" s="1"/>
      <c r="TM98" s="1"/>
      <c r="TN98" s="1"/>
      <c r="TO98" s="1"/>
      <c r="TP98" s="1"/>
      <c r="TQ98" s="1"/>
      <c r="TR98" s="1"/>
      <c r="TS98" s="1"/>
      <c r="TT98" s="1"/>
      <c r="TU98" s="1"/>
      <c r="TV98" s="1"/>
      <c r="TW98" s="1"/>
      <c r="TX98" s="1"/>
      <c r="TY98" s="1"/>
      <c r="TZ98" s="1"/>
      <c r="UA98" s="1"/>
      <c r="UB98" s="1"/>
      <c r="UC98" s="1"/>
      <c r="UD98" s="1"/>
      <c r="UE98" s="1"/>
      <c r="UF98" s="1"/>
      <c r="UG98" s="1"/>
      <c r="UH98" s="1"/>
      <c r="UI98" s="1"/>
      <c r="UJ98" s="1"/>
      <c r="UK98" s="1"/>
      <c r="UL98" s="1"/>
      <c r="UM98" s="1"/>
      <c r="UN98" s="1"/>
      <c r="UO98" s="1"/>
      <c r="UP98" s="1"/>
      <c r="UQ98" s="1"/>
      <c r="UR98" s="1"/>
      <c r="US98" s="1"/>
      <c r="UT98" s="1"/>
      <c r="UU98" s="1"/>
      <c r="UV98" s="1"/>
      <c r="UW98" s="1"/>
      <c r="UX98" s="1"/>
      <c r="UY98" s="1"/>
      <c r="UZ98" s="1"/>
      <c r="VA98" s="1"/>
      <c r="VB98" s="1"/>
      <c r="VC98" s="1"/>
      <c r="VD98" s="1"/>
      <c r="VE98" s="1"/>
      <c r="VF98" s="1"/>
      <c r="VG98" s="1"/>
      <c r="VH98" s="1"/>
      <c r="VI98" s="1"/>
      <c r="VJ98" s="1"/>
      <c r="VK98" s="1"/>
      <c r="VL98" s="1"/>
      <c r="VM98" s="1"/>
      <c r="VN98" s="1"/>
      <c r="VO98" s="1"/>
      <c r="VP98" s="1"/>
      <c r="VQ98" s="1"/>
      <c r="VR98" s="1"/>
      <c r="VS98" s="1"/>
      <c r="VT98" s="1"/>
      <c r="VU98" s="1"/>
      <c r="VV98" s="1"/>
      <c r="VW98" s="1"/>
      <c r="VX98" s="1"/>
      <c r="VY98" s="1"/>
      <c r="VZ98" s="1"/>
      <c r="WA98" s="1"/>
      <c r="WB98" s="1"/>
      <c r="WC98" s="1"/>
      <c r="WD98" s="1"/>
      <c r="WE98" s="1"/>
      <c r="WF98" s="1"/>
      <c r="WG98" s="1"/>
      <c r="WH98" s="1"/>
      <c r="WI98" s="1"/>
      <c r="WJ98" s="1"/>
      <c r="WK98" s="1"/>
      <c r="WL98" s="1"/>
      <c r="WM98" s="1"/>
      <c r="WN98" s="1"/>
      <c r="WO98" s="1"/>
      <c r="WP98" s="1"/>
      <c r="WQ98" s="1"/>
      <c r="WR98" s="1"/>
      <c r="WS98" s="1"/>
      <c r="WT98" s="1"/>
      <c r="WU98" s="1"/>
      <c r="WV98" s="1"/>
      <c r="WW98" s="1"/>
      <c r="WX98" s="1"/>
      <c r="WY98" s="1"/>
      <c r="WZ98" s="1"/>
      <c r="XA98" s="1"/>
      <c r="XB98" s="1"/>
      <c r="XC98" s="1"/>
      <c r="XD98" s="1"/>
      <c r="XE98" s="1"/>
      <c r="XF98" s="1"/>
      <c r="XG98" s="1"/>
      <c r="XH98" s="1"/>
      <c r="XI98" s="1"/>
      <c r="XJ98" s="1"/>
      <c r="XK98" s="1"/>
      <c r="XL98" s="1"/>
      <c r="XM98" s="1"/>
      <c r="XN98" s="1"/>
      <c r="XO98" s="1"/>
      <c r="XP98" s="1"/>
      <c r="XQ98" s="1"/>
      <c r="XR98" s="1"/>
      <c r="XS98" s="1"/>
      <c r="XT98" s="1"/>
      <c r="XU98" s="1"/>
      <c r="XV98" s="1"/>
      <c r="XW98" s="1"/>
      <c r="XX98" s="1"/>
      <c r="XY98" s="1"/>
      <c r="XZ98" s="1"/>
      <c r="YA98" s="1"/>
      <c r="YB98" s="1"/>
      <c r="YC98" s="1"/>
      <c r="YD98" s="1"/>
      <c r="YE98" s="1"/>
      <c r="YF98" s="1"/>
      <c r="YG98" s="1"/>
      <c r="YH98" s="1"/>
      <c r="YI98" s="1"/>
      <c r="YJ98" s="1"/>
      <c r="YK98" s="1"/>
      <c r="YL98" s="1"/>
      <c r="YM98" s="1"/>
      <c r="YN98" s="1"/>
      <c r="YO98" s="1"/>
      <c r="YP98" s="1"/>
      <c r="YQ98" s="1"/>
      <c r="YR98" s="1"/>
      <c r="YS98" s="1"/>
      <c r="YT98" s="1"/>
      <c r="YU98" s="1"/>
      <c r="YV98" s="1"/>
      <c r="YW98" s="1"/>
      <c r="YX98" s="1"/>
      <c r="YY98" s="1"/>
      <c r="YZ98" s="1"/>
      <c r="ZA98" s="1"/>
      <c r="ZB98" s="1"/>
      <c r="ZC98" s="1"/>
      <c r="ZD98" s="1"/>
      <c r="ZE98" s="1"/>
      <c r="ZF98" s="1"/>
      <c r="ZG98" s="1"/>
      <c r="ZH98" s="1"/>
      <c r="ZI98" s="1"/>
      <c r="ZJ98" s="1"/>
      <c r="ZK98" s="1"/>
      <c r="ZL98" s="1"/>
      <c r="ZM98" s="1"/>
      <c r="ZN98" s="1"/>
      <c r="ZO98" s="1"/>
      <c r="ZP98" s="1"/>
      <c r="ZQ98" s="1"/>
      <c r="ZR98" s="1"/>
      <c r="ZS98" s="1"/>
      <c r="ZT98" s="1"/>
      <c r="ZU98" s="1"/>
      <c r="ZV98" s="1"/>
      <c r="ZW98" s="1"/>
      <c r="ZX98" s="1"/>
      <c r="ZY98" s="1"/>
      <c r="ZZ98" s="1"/>
      <c r="AAA98" s="1"/>
      <c r="AAB98" s="1"/>
      <c r="AAC98" s="1"/>
      <c r="AAD98" s="1"/>
      <c r="AAE98" s="1"/>
      <c r="AAF98" s="1"/>
      <c r="AAG98" s="1"/>
      <c r="AAH98" s="1"/>
      <c r="AAI98" s="1"/>
      <c r="AAJ98" s="1"/>
      <c r="AAK98" s="1"/>
      <c r="AAL98" s="1"/>
      <c r="AAM98" s="1"/>
      <c r="AAN98" s="1"/>
      <c r="AAO98" s="1"/>
      <c r="AAP98" s="1"/>
      <c r="AAQ98" s="1"/>
      <c r="AAR98" s="1"/>
      <c r="AAS98" s="1"/>
      <c r="AAT98" s="1"/>
      <c r="AAU98" s="1"/>
      <c r="AAV98" s="1"/>
      <c r="AAW98" s="1"/>
      <c r="AAX98" s="1"/>
      <c r="AAY98" s="1"/>
      <c r="AAZ98" s="1"/>
      <c r="ABA98" s="1"/>
      <c r="ABB98" s="1"/>
      <c r="ABC98" s="1"/>
      <c r="ABD98" s="1"/>
      <c r="ABE98" s="1"/>
      <c r="ABF98" s="1"/>
      <c r="ABG98" s="1"/>
      <c r="ABH98" s="1"/>
      <c r="ABI98" s="1"/>
      <c r="ABJ98" s="1"/>
      <c r="ABK98" s="1"/>
      <c r="ABL98" s="1"/>
      <c r="ABM98" s="1"/>
      <c r="ABN98" s="1"/>
      <c r="ABO98" s="1"/>
      <c r="ABP98" s="1"/>
      <c r="ABQ98" s="1"/>
      <c r="ABR98" s="1"/>
      <c r="ABS98" s="1"/>
      <c r="ABT98" s="1"/>
      <c r="ABU98" s="1"/>
      <c r="ABV98" s="1"/>
      <c r="ABW98" s="1"/>
      <c r="ABX98" s="1"/>
      <c r="ABY98" s="1"/>
      <c r="ABZ98" s="1"/>
      <c r="ACA98" s="1"/>
      <c r="ACB98" s="1"/>
      <c r="ACC98" s="1"/>
      <c r="ACD98" s="1"/>
      <c r="ACE98" s="1"/>
      <c r="ACF98" s="1"/>
      <c r="ACG98" s="1"/>
      <c r="ACH98" s="1"/>
      <c r="ACI98" s="1"/>
      <c r="ACJ98" s="1"/>
      <c r="ACK98" s="1"/>
      <c r="ACL98" s="1"/>
      <c r="ACM98" s="1"/>
      <c r="ACN98" s="1"/>
      <c r="ACO98" s="1"/>
      <c r="ACP98" s="1"/>
      <c r="ACQ98" s="1"/>
      <c r="ACR98" s="1"/>
      <c r="ACS98" s="1"/>
      <c r="ACT98" s="1"/>
      <c r="ACU98" s="1"/>
      <c r="ACV98" s="1"/>
      <c r="ACW98" s="1"/>
      <c r="ACX98" s="1"/>
      <c r="ACY98" s="1"/>
      <c r="ACZ98" s="1"/>
      <c r="ADA98" s="1"/>
      <c r="ADB98" s="1"/>
      <c r="ADC98" s="1"/>
      <c r="ADD98" s="1"/>
      <c r="ADE98" s="1"/>
      <c r="ADF98" s="1"/>
      <c r="ADG98" s="1"/>
      <c r="ADH98" s="1"/>
      <c r="ADI98" s="1"/>
      <c r="ADJ98" s="1"/>
      <c r="ADK98" s="1"/>
      <c r="ADL98" s="1"/>
      <c r="ADM98" s="1"/>
      <c r="ADN98" s="1"/>
      <c r="ADO98" s="1"/>
      <c r="ADP98" s="1"/>
      <c r="ADQ98" s="1"/>
      <c r="ADR98" s="1"/>
      <c r="ADS98" s="1"/>
      <c r="ADT98" s="1"/>
      <c r="ADU98" s="1"/>
      <c r="ADV98" s="1"/>
      <c r="ADW98" s="1"/>
      <c r="ADX98" s="1"/>
      <c r="ADY98" s="1"/>
      <c r="ADZ98" s="1"/>
      <c r="AEA98" s="1"/>
      <c r="AEB98" s="1"/>
      <c r="AEC98" s="1"/>
      <c r="AED98" s="1"/>
      <c r="AEE98" s="1"/>
      <c r="AEF98" s="1"/>
      <c r="AEG98" s="1"/>
      <c r="AEH98" s="1"/>
      <c r="AEI98" s="1"/>
      <c r="AEJ98" s="1"/>
      <c r="AEK98" s="1"/>
      <c r="AEL98" s="1"/>
      <c r="AEM98" s="1"/>
      <c r="AEN98" s="1"/>
      <c r="AEO98" s="1"/>
      <c r="AEP98" s="1"/>
      <c r="AEQ98" s="1"/>
      <c r="AER98" s="1"/>
      <c r="AES98" s="1"/>
      <c r="AET98" s="1"/>
      <c r="AEU98" s="1"/>
      <c r="AEV98" s="1"/>
      <c r="AEW98" s="1"/>
      <c r="AEX98" s="1"/>
      <c r="AEY98" s="1"/>
      <c r="AEZ98" s="1"/>
      <c r="AFA98" s="1"/>
      <c r="AFB98" s="1"/>
      <c r="AFC98" s="1"/>
      <c r="AFD98" s="1"/>
      <c r="AFE98" s="1"/>
      <c r="AFF98" s="1"/>
      <c r="AFG98" s="1"/>
      <c r="AFH98" s="1"/>
      <c r="AFI98" s="1"/>
      <c r="AFJ98" s="1"/>
      <c r="AFK98" s="1"/>
      <c r="AFL98" s="1"/>
      <c r="AFM98" s="1"/>
      <c r="AFN98" s="1"/>
      <c r="AFO98" s="1"/>
      <c r="AFP98" s="1"/>
      <c r="AFQ98" s="1"/>
      <c r="AFR98" s="1"/>
      <c r="AFS98" s="1"/>
      <c r="AFT98" s="1"/>
      <c r="AFU98" s="1"/>
      <c r="AFV98" s="1"/>
      <c r="AFW98" s="1"/>
      <c r="AFX98" s="1"/>
      <c r="AFY98" s="1"/>
      <c r="AFZ98" s="1"/>
      <c r="AGA98" s="1"/>
      <c r="AGB98" s="1"/>
      <c r="AGC98" s="1"/>
      <c r="AGD98" s="1"/>
      <c r="AGE98" s="1"/>
      <c r="AGF98" s="1"/>
      <c r="AGG98" s="1"/>
      <c r="AGH98" s="1"/>
      <c r="AGI98" s="1"/>
      <c r="AGJ98" s="1"/>
      <c r="AGK98" s="1"/>
      <c r="AGL98" s="1"/>
      <c r="AGM98" s="1"/>
      <c r="AGN98" s="1"/>
      <c r="AGO98" s="1"/>
      <c r="AGP98" s="1"/>
      <c r="AGQ98" s="1"/>
      <c r="AGR98" s="1"/>
      <c r="AGS98" s="1"/>
      <c r="AGT98" s="1"/>
      <c r="AGU98" s="1"/>
      <c r="AGV98" s="1"/>
      <c r="AGW98" s="1"/>
      <c r="AGX98" s="1"/>
      <c r="AGY98" s="1"/>
      <c r="AGZ98" s="1"/>
      <c r="AHA98" s="1"/>
      <c r="AHB98" s="1"/>
      <c r="AHC98" s="1"/>
      <c r="AHD98" s="1"/>
      <c r="AHE98" s="1"/>
      <c r="AHF98" s="1"/>
      <c r="AHG98" s="1"/>
      <c r="AHH98" s="1"/>
      <c r="AHI98" s="1"/>
      <c r="AHJ98" s="1"/>
      <c r="AHK98" s="1"/>
      <c r="AHL98" s="1"/>
      <c r="AHM98" s="1"/>
      <c r="AHN98" s="1"/>
      <c r="AHO98" s="1"/>
      <c r="AHP98" s="1"/>
      <c r="AHQ98" s="1"/>
      <c r="AHR98" s="1"/>
      <c r="AHS98" s="1"/>
      <c r="AHT98" s="1"/>
      <c r="AHU98" s="1"/>
      <c r="AHV98" s="1"/>
      <c r="AHW98" s="1"/>
      <c r="AHX98" s="1"/>
      <c r="AHY98" s="1"/>
      <c r="AHZ98" s="1"/>
      <c r="AIA98" s="1"/>
      <c r="AIB98" s="1"/>
      <c r="AIC98" s="1"/>
      <c r="AID98" s="1"/>
      <c r="AIE98" s="1"/>
      <c r="AIF98" s="1"/>
      <c r="AIG98" s="1"/>
      <c r="AIH98" s="1"/>
      <c r="AII98" s="1"/>
      <c r="AIJ98" s="1"/>
      <c r="AIK98" s="1"/>
      <c r="AIL98" s="1"/>
      <c r="AIM98" s="1"/>
      <c r="AIN98" s="1"/>
      <c r="AIO98" s="1"/>
      <c r="AIP98" s="1"/>
      <c r="AIQ98" s="1"/>
      <c r="AIR98" s="1"/>
      <c r="AIS98" s="1"/>
      <c r="AIT98" s="1"/>
      <c r="AIU98" s="1"/>
      <c r="AIV98" s="1"/>
      <c r="AIW98" s="1"/>
      <c r="AIX98" s="1"/>
      <c r="AIY98" s="1"/>
      <c r="AIZ98" s="1"/>
      <c r="AJA98" s="1"/>
      <c r="AJB98" s="1"/>
      <c r="AJC98" s="1"/>
      <c r="AJD98" s="1"/>
      <c r="AJE98" s="1"/>
      <c r="AJF98" s="1"/>
      <c r="AJG98" s="1"/>
      <c r="AJH98" s="1"/>
      <c r="AJI98" s="1"/>
      <c r="AJJ98" s="1"/>
      <c r="AJK98" s="1"/>
      <c r="AJL98" s="1"/>
      <c r="AJM98" s="1"/>
      <c r="AJN98" s="1"/>
      <c r="AJO98" s="1"/>
      <c r="AJP98" s="1"/>
      <c r="AJQ98" s="1"/>
      <c r="AJR98" s="1"/>
      <c r="AJS98" s="1"/>
      <c r="AJT98" s="1"/>
      <c r="AJU98" s="1"/>
      <c r="AJV98" s="1"/>
      <c r="AJW98" s="1"/>
      <c r="AJX98" s="1"/>
      <c r="AJY98" s="1"/>
      <c r="AJZ98" s="1"/>
      <c r="AKA98" s="1"/>
      <c r="AKB98" s="1"/>
      <c r="AKC98" s="1"/>
      <c r="AKD98" s="1"/>
      <c r="AKE98" s="1"/>
      <c r="AKF98" s="1"/>
      <c r="AKG98" s="1"/>
      <c r="AKH98" s="1"/>
      <c r="AKI98" s="1"/>
      <c r="AKJ98" s="1"/>
      <c r="AKK98" s="1"/>
      <c r="AKL98" s="1"/>
      <c r="AKM98" s="1"/>
      <c r="AKN98" s="1"/>
      <c r="AKO98" s="1"/>
      <c r="AKP98" s="1"/>
      <c r="AKQ98" s="1"/>
      <c r="AKR98" s="1"/>
      <c r="AKS98" s="1"/>
      <c r="AKT98" s="1"/>
      <c r="AKU98" s="1"/>
      <c r="AKV98" s="1"/>
      <c r="AKW98" s="1"/>
      <c r="AKX98" s="1"/>
      <c r="AKY98" s="1"/>
      <c r="AKZ98" s="1"/>
      <c r="ALA98" s="1"/>
      <c r="ALB98" s="1"/>
      <c r="ALC98" s="1"/>
      <c r="ALD98" s="1"/>
      <c r="ALE98" s="1"/>
      <c r="ALF98" s="1"/>
      <c r="ALG98" s="1"/>
      <c r="ALH98" s="1"/>
      <c r="ALI98" s="1"/>
      <c r="ALJ98" s="1"/>
      <c r="ALK98" s="1"/>
      <c r="ALL98" s="1"/>
      <c r="ALM98" s="1"/>
      <c r="ALN98" s="1"/>
      <c r="ALO98" s="1"/>
      <c r="ALP98" s="1"/>
      <c r="ALQ98" s="1"/>
      <c r="ALR98" s="1"/>
      <c r="ALS98" s="1"/>
      <c r="ALT98" s="1"/>
      <c r="ALU98" s="1"/>
      <c r="ALV98" s="1"/>
      <c r="ALW98" s="1"/>
      <c r="ALX98" s="1"/>
      <c r="ALY98" s="1"/>
      <c r="ALZ98" s="1"/>
      <c r="AMA98" s="1"/>
      <c r="AMB98" s="1"/>
      <c r="AMC98" s="1"/>
      <c r="AMD98" s="1"/>
      <c r="AME98" s="1"/>
      <c r="AMF98" s="1"/>
      <c r="AMG98" s="1"/>
      <c r="AMH98" s="1"/>
      <c r="AMI98" s="1"/>
      <c r="AMJ98" s="1"/>
    </row>
    <row r="99" customFormat="false" ht="10.5" hidden="false" customHeight="true" outlineLevel="0" collapsed="false">
      <c r="A99" s="133" t="s">
        <v>231</v>
      </c>
      <c r="B99" s="133"/>
      <c r="C99" s="133"/>
      <c r="D99" s="133"/>
      <c r="E99" s="133"/>
      <c r="F99" s="133"/>
      <c r="G99" s="133"/>
      <c r="H99" s="133"/>
      <c r="I99" s="133"/>
      <c r="J99" s="133"/>
      <c r="K99" s="133"/>
      <c r="L99" s="133"/>
      <c r="M99" s="133"/>
      <c r="N99" s="133"/>
      <c r="O99" s="133"/>
      <c r="P99" s="133"/>
      <c r="Q99" s="133"/>
      <c r="R99" s="133"/>
      <c r="S99" s="133"/>
      <c r="T99" s="133"/>
      <c r="U99" s="133"/>
      <c r="V99" s="133"/>
      <c r="W99" s="133"/>
      <c r="X99" s="133"/>
      <c r="Y99" s="133"/>
      <c r="Z99" s="133"/>
      <c r="AA99" s="133"/>
      <c r="AB99" s="133"/>
      <c r="AC99" s="133"/>
      <c r="AD99" s="133"/>
      <c r="AE99" s="133"/>
      <c r="AF99" s="133"/>
      <c r="AG99" s="133"/>
      <c r="AH99" s="133"/>
      <c r="AI99" s="133"/>
      <c r="AJ99" s="133"/>
      <c r="AK99" s="133"/>
      <c r="AL99" s="133"/>
      <c r="AM99" s="133"/>
      <c r="AN99" s="133"/>
      <c r="AO99" s="133"/>
      <c r="AP99" s="38"/>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c r="IY99" s="1"/>
      <c r="IZ99" s="1"/>
      <c r="JA99" s="1"/>
      <c r="JB99" s="1"/>
      <c r="JC99" s="1"/>
      <c r="JD99" s="1"/>
      <c r="JE99" s="1"/>
      <c r="JF99" s="1"/>
      <c r="JG99" s="1"/>
      <c r="JH99" s="1"/>
      <c r="JI99" s="1"/>
      <c r="JJ99" s="1"/>
      <c r="JK99" s="1"/>
      <c r="JL99" s="1"/>
      <c r="JM99" s="1"/>
      <c r="JN99" s="1"/>
      <c r="JO99" s="1"/>
      <c r="JP99" s="1"/>
      <c r="JQ99" s="1"/>
      <c r="JR99" s="1"/>
      <c r="JS99" s="1"/>
      <c r="JT99" s="1"/>
      <c r="JU99" s="1"/>
      <c r="JV99" s="1"/>
      <c r="JW99" s="1"/>
      <c r="JX99" s="1"/>
      <c r="JY99" s="1"/>
      <c r="JZ99" s="1"/>
      <c r="KA99" s="1"/>
      <c r="KB99" s="1"/>
      <c r="KC99" s="1"/>
      <c r="KD99" s="1"/>
      <c r="KE99" s="1"/>
      <c r="KF99" s="1"/>
      <c r="KG99" s="1"/>
      <c r="KH99" s="1"/>
      <c r="KI99" s="1"/>
      <c r="KJ99" s="1"/>
      <c r="KK99" s="1"/>
      <c r="KL99" s="1"/>
      <c r="KM99" s="1"/>
      <c r="KN99" s="1"/>
      <c r="KO99" s="1"/>
      <c r="KP99" s="1"/>
      <c r="KQ99" s="1"/>
      <c r="KR99" s="1"/>
      <c r="KS99" s="1"/>
      <c r="KT99" s="1"/>
      <c r="KU99" s="1"/>
      <c r="KV99" s="1"/>
      <c r="KW99" s="1"/>
      <c r="KX99" s="1"/>
      <c r="KY99" s="1"/>
      <c r="KZ99" s="1"/>
      <c r="LA99" s="1"/>
      <c r="LB99" s="1"/>
      <c r="LC99" s="1"/>
      <c r="LD99" s="1"/>
      <c r="LE99" s="1"/>
      <c r="LF99" s="1"/>
      <c r="LG99" s="1"/>
      <c r="LH99" s="1"/>
      <c r="LI99" s="1"/>
      <c r="LJ99" s="1"/>
      <c r="LK99" s="1"/>
      <c r="LL99" s="1"/>
      <c r="LM99" s="1"/>
      <c r="LN99" s="1"/>
      <c r="LO99" s="1"/>
      <c r="LP99" s="1"/>
      <c r="LQ99" s="1"/>
      <c r="LR99" s="1"/>
      <c r="LS99" s="1"/>
      <c r="LT99" s="1"/>
      <c r="LU99" s="1"/>
      <c r="LV99" s="1"/>
      <c r="LW99" s="1"/>
      <c r="LX99" s="1"/>
      <c r="LY99" s="1"/>
      <c r="LZ99" s="1"/>
      <c r="MA99" s="1"/>
      <c r="MB99" s="1"/>
      <c r="MC99" s="1"/>
      <c r="MD99" s="1"/>
      <c r="ME99" s="1"/>
      <c r="MF99" s="1"/>
      <c r="MG99" s="1"/>
      <c r="MH99" s="1"/>
      <c r="MI99" s="1"/>
      <c r="MJ99" s="1"/>
      <c r="MK99" s="1"/>
      <c r="ML99" s="1"/>
      <c r="MM99" s="1"/>
      <c r="MN99" s="1"/>
      <c r="MO99" s="1"/>
      <c r="MP99" s="1"/>
      <c r="MQ99" s="1"/>
      <c r="MR99" s="1"/>
      <c r="MS99" s="1"/>
      <c r="MT99" s="1"/>
      <c r="MU99" s="1"/>
      <c r="MV99" s="1"/>
      <c r="MW99" s="1"/>
      <c r="MX99" s="1"/>
      <c r="MY99" s="1"/>
      <c r="MZ99" s="1"/>
      <c r="NA99" s="1"/>
      <c r="NB99" s="1"/>
      <c r="NC99" s="1"/>
      <c r="ND99" s="1"/>
      <c r="NE99" s="1"/>
      <c r="NF99" s="1"/>
      <c r="NG99" s="1"/>
      <c r="NH99" s="1"/>
      <c r="NI99" s="1"/>
      <c r="NJ99" s="1"/>
      <c r="NK99" s="1"/>
      <c r="NL99" s="1"/>
      <c r="NM99" s="1"/>
      <c r="NN99" s="1"/>
      <c r="NO99" s="1"/>
      <c r="NP99" s="1"/>
      <c r="NQ99" s="1"/>
      <c r="NR99" s="1"/>
      <c r="NS99" s="1"/>
      <c r="NT99" s="1"/>
      <c r="NU99" s="1"/>
      <c r="NV99" s="1"/>
      <c r="NW99" s="1"/>
      <c r="NX99" s="1"/>
      <c r="NY99" s="1"/>
      <c r="NZ99" s="1"/>
      <c r="OA99" s="1"/>
      <c r="OB99" s="1"/>
      <c r="OC99" s="1"/>
      <c r="OD99" s="1"/>
      <c r="OE99" s="1"/>
      <c r="OF99" s="1"/>
      <c r="OG99" s="1"/>
      <c r="OH99" s="1"/>
      <c r="OI99" s="1"/>
      <c r="OJ99" s="1"/>
      <c r="OK99" s="1"/>
      <c r="OL99" s="1"/>
      <c r="OM99" s="1"/>
      <c r="ON99" s="1"/>
      <c r="OO99" s="1"/>
      <c r="OP99" s="1"/>
      <c r="OQ99" s="1"/>
      <c r="OR99" s="1"/>
      <c r="OS99" s="1"/>
      <c r="OT99" s="1"/>
      <c r="OU99" s="1"/>
      <c r="OV99" s="1"/>
      <c r="OW99" s="1"/>
      <c r="OX99" s="1"/>
      <c r="OY99" s="1"/>
      <c r="OZ99" s="1"/>
      <c r="PA99" s="1"/>
      <c r="PB99" s="1"/>
      <c r="PC99" s="1"/>
      <c r="PD99" s="1"/>
      <c r="PE99" s="1"/>
      <c r="PF99" s="1"/>
      <c r="PG99" s="1"/>
      <c r="PH99" s="1"/>
      <c r="PI99" s="1"/>
      <c r="PJ99" s="1"/>
      <c r="PK99" s="1"/>
      <c r="PL99" s="1"/>
      <c r="PM99" s="1"/>
      <c r="PN99" s="1"/>
      <c r="PO99" s="1"/>
      <c r="PP99" s="1"/>
      <c r="PQ99" s="1"/>
      <c r="PR99" s="1"/>
      <c r="PS99" s="1"/>
      <c r="PT99" s="1"/>
      <c r="PU99" s="1"/>
      <c r="PV99" s="1"/>
      <c r="PW99" s="1"/>
      <c r="PX99" s="1"/>
      <c r="PY99" s="1"/>
      <c r="PZ99" s="1"/>
      <c r="QA99" s="1"/>
      <c r="QB99" s="1"/>
      <c r="QC99" s="1"/>
      <c r="QD99" s="1"/>
      <c r="QE99" s="1"/>
      <c r="QF99" s="1"/>
      <c r="QG99" s="1"/>
      <c r="QH99" s="1"/>
      <c r="QI99" s="1"/>
      <c r="QJ99" s="1"/>
      <c r="QK99" s="1"/>
      <c r="QL99" s="1"/>
      <c r="QM99" s="1"/>
      <c r="QN99" s="1"/>
      <c r="QO99" s="1"/>
      <c r="QP99" s="1"/>
      <c r="QQ99" s="1"/>
      <c r="QR99" s="1"/>
      <c r="QS99" s="1"/>
      <c r="QT99" s="1"/>
      <c r="QU99" s="1"/>
      <c r="QV99" s="1"/>
      <c r="QW99" s="1"/>
      <c r="QX99" s="1"/>
      <c r="QY99" s="1"/>
      <c r="QZ99" s="1"/>
      <c r="RA99" s="1"/>
      <c r="RB99" s="1"/>
      <c r="RC99" s="1"/>
      <c r="RD99" s="1"/>
      <c r="RE99" s="1"/>
      <c r="RF99" s="1"/>
      <c r="RG99" s="1"/>
      <c r="RH99" s="1"/>
      <c r="RI99" s="1"/>
      <c r="RJ99" s="1"/>
      <c r="RK99" s="1"/>
      <c r="RL99" s="1"/>
      <c r="RM99" s="1"/>
      <c r="RN99" s="1"/>
      <c r="RO99" s="1"/>
      <c r="RP99" s="1"/>
      <c r="RQ99" s="1"/>
      <c r="RR99" s="1"/>
      <c r="RS99" s="1"/>
      <c r="RT99" s="1"/>
      <c r="RU99" s="1"/>
      <c r="RV99" s="1"/>
      <c r="RW99" s="1"/>
      <c r="RX99" s="1"/>
      <c r="RY99" s="1"/>
      <c r="RZ99" s="1"/>
      <c r="SA99" s="1"/>
      <c r="SB99" s="1"/>
      <c r="SC99" s="1"/>
      <c r="SD99" s="1"/>
      <c r="SE99" s="1"/>
      <c r="SF99" s="1"/>
      <c r="SG99" s="1"/>
      <c r="SH99" s="1"/>
      <c r="SI99" s="1"/>
      <c r="SJ99" s="1"/>
      <c r="SK99" s="1"/>
      <c r="SL99" s="1"/>
      <c r="SM99" s="1"/>
      <c r="SN99" s="1"/>
      <c r="SO99" s="1"/>
      <c r="SP99" s="1"/>
      <c r="SQ99" s="1"/>
      <c r="SR99" s="1"/>
      <c r="SS99" s="1"/>
      <c r="ST99" s="1"/>
      <c r="SU99" s="1"/>
      <c r="SV99" s="1"/>
      <c r="SW99" s="1"/>
      <c r="SX99" s="1"/>
      <c r="SY99" s="1"/>
      <c r="SZ99" s="1"/>
      <c r="TA99" s="1"/>
      <c r="TB99" s="1"/>
      <c r="TC99" s="1"/>
      <c r="TD99" s="1"/>
      <c r="TE99" s="1"/>
      <c r="TF99" s="1"/>
      <c r="TG99" s="1"/>
      <c r="TH99" s="1"/>
      <c r="TI99" s="1"/>
      <c r="TJ99" s="1"/>
      <c r="TK99" s="1"/>
      <c r="TL99" s="1"/>
      <c r="TM99" s="1"/>
      <c r="TN99" s="1"/>
      <c r="TO99" s="1"/>
      <c r="TP99" s="1"/>
      <c r="TQ99" s="1"/>
      <c r="TR99" s="1"/>
      <c r="TS99" s="1"/>
      <c r="TT99" s="1"/>
      <c r="TU99" s="1"/>
      <c r="TV99" s="1"/>
      <c r="TW99" s="1"/>
      <c r="TX99" s="1"/>
      <c r="TY99" s="1"/>
      <c r="TZ99" s="1"/>
      <c r="UA99" s="1"/>
      <c r="UB99" s="1"/>
      <c r="UC99" s="1"/>
      <c r="UD99" s="1"/>
      <c r="UE99" s="1"/>
      <c r="UF99" s="1"/>
      <c r="UG99" s="1"/>
      <c r="UH99" s="1"/>
      <c r="UI99" s="1"/>
      <c r="UJ99" s="1"/>
      <c r="UK99" s="1"/>
      <c r="UL99" s="1"/>
      <c r="UM99" s="1"/>
      <c r="UN99" s="1"/>
      <c r="UO99" s="1"/>
      <c r="UP99" s="1"/>
      <c r="UQ99" s="1"/>
      <c r="UR99" s="1"/>
      <c r="US99" s="1"/>
      <c r="UT99" s="1"/>
      <c r="UU99" s="1"/>
      <c r="UV99" s="1"/>
      <c r="UW99" s="1"/>
      <c r="UX99" s="1"/>
      <c r="UY99" s="1"/>
      <c r="UZ99" s="1"/>
      <c r="VA99" s="1"/>
      <c r="VB99" s="1"/>
      <c r="VC99" s="1"/>
      <c r="VD99" s="1"/>
      <c r="VE99" s="1"/>
      <c r="VF99" s="1"/>
      <c r="VG99" s="1"/>
      <c r="VH99" s="1"/>
      <c r="VI99" s="1"/>
      <c r="VJ99" s="1"/>
      <c r="VK99" s="1"/>
      <c r="VL99" s="1"/>
      <c r="VM99" s="1"/>
      <c r="VN99" s="1"/>
      <c r="VO99" s="1"/>
      <c r="VP99" s="1"/>
      <c r="VQ99" s="1"/>
      <c r="VR99" s="1"/>
      <c r="VS99" s="1"/>
      <c r="VT99" s="1"/>
      <c r="VU99" s="1"/>
      <c r="VV99" s="1"/>
      <c r="VW99" s="1"/>
      <c r="VX99" s="1"/>
      <c r="VY99" s="1"/>
      <c r="VZ99" s="1"/>
      <c r="WA99" s="1"/>
      <c r="WB99" s="1"/>
      <c r="WC99" s="1"/>
      <c r="WD99" s="1"/>
      <c r="WE99" s="1"/>
      <c r="WF99" s="1"/>
      <c r="WG99" s="1"/>
      <c r="WH99" s="1"/>
      <c r="WI99" s="1"/>
      <c r="WJ99" s="1"/>
      <c r="WK99" s="1"/>
      <c r="WL99" s="1"/>
      <c r="WM99" s="1"/>
      <c r="WN99" s="1"/>
      <c r="WO99" s="1"/>
      <c r="WP99" s="1"/>
      <c r="WQ99" s="1"/>
      <c r="WR99" s="1"/>
      <c r="WS99" s="1"/>
      <c r="WT99" s="1"/>
      <c r="WU99" s="1"/>
      <c r="WV99" s="1"/>
      <c r="WW99" s="1"/>
      <c r="WX99" s="1"/>
      <c r="WY99" s="1"/>
      <c r="WZ99" s="1"/>
      <c r="XA99" s="1"/>
      <c r="XB99" s="1"/>
      <c r="XC99" s="1"/>
      <c r="XD99" s="1"/>
      <c r="XE99" s="1"/>
      <c r="XF99" s="1"/>
      <c r="XG99" s="1"/>
      <c r="XH99" s="1"/>
      <c r="XI99" s="1"/>
      <c r="XJ99" s="1"/>
      <c r="XK99" s="1"/>
      <c r="XL99" s="1"/>
      <c r="XM99" s="1"/>
      <c r="XN99" s="1"/>
      <c r="XO99" s="1"/>
      <c r="XP99" s="1"/>
      <c r="XQ99" s="1"/>
      <c r="XR99" s="1"/>
      <c r="XS99" s="1"/>
      <c r="XT99" s="1"/>
      <c r="XU99" s="1"/>
      <c r="XV99" s="1"/>
      <c r="XW99" s="1"/>
      <c r="XX99" s="1"/>
      <c r="XY99" s="1"/>
      <c r="XZ99" s="1"/>
      <c r="YA99" s="1"/>
      <c r="YB99" s="1"/>
      <c r="YC99" s="1"/>
      <c r="YD99" s="1"/>
      <c r="YE99" s="1"/>
      <c r="YF99" s="1"/>
      <c r="YG99" s="1"/>
      <c r="YH99" s="1"/>
      <c r="YI99" s="1"/>
      <c r="YJ99" s="1"/>
      <c r="YK99" s="1"/>
      <c r="YL99" s="1"/>
      <c r="YM99" s="1"/>
      <c r="YN99" s="1"/>
      <c r="YO99" s="1"/>
      <c r="YP99" s="1"/>
      <c r="YQ99" s="1"/>
      <c r="YR99" s="1"/>
      <c r="YS99" s="1"/>
      <c r="YT99" s="1"/>
      <c r="YU99" s="1"/>
      <c r="YV99" s="1"/>
      <c r="YW99" s="1"/>
      <c r="YX99" s="1"/>
      <c r="YY99" s="1"/>
      <c r="YZ99" s="1"/>
      <c r="ZA99" s="1"/>
      <c r="ZB99" s="1"/>
      <c r="ZC99" s="1"/>
      <c r="ZD99" s="1"/>
      <c r="ZE99" s="1"/>
      <c r="ZF99" s="1"/>
      <c r="ZG99" s="1"/>
      <c r="ZH99" s="1"/>
      <c r="ZI99" s="1"/>
      <c r="ZJ99" s="1"/>
      <c r="ZK99" s="1"/>
      <c r="ZL99" s="1"/>
      <c r="ZM99" s="1"/>
      <c r="ZN99" s="1"/>
      <c r="ZO99" s="1"/>
      <c r="ZP99" s="1"/>
      <c r="ZQ99" s="1"/>
      <c r="ZR99" s="1"/>
      <c r="ZS99" s="1"/>
      <c r="ZT99" s="1"/>
      <c r="ZU99" s="1"/>
      <c r="ZV99" s="1"/>
      <c r="ZW99" s="1"/>
      <c r="ZX99" s="1"/>
      <c r="ZY99" s="1"/>
      <c r="ZZ99" s="1"/>
      <c r="AAA99" s="1"/>
      <c r="AAB99" s="1"/>
      <c r="AAC99" s="1"/>
      <c r="AAD99" s="1"/>
      <c r="AAE99" s="1"/>
      <c r="AAF99" s="1"/>
      <c r="AAG99" s="1"/>
      <c r="AAH99" s="1"/>
      <c r="AAI99" s="1"/>
      <c r="AAJ99" s="1"/>
      <c r="AAK99" s="1"/>
      <c r="AAL99" s="1"/>
      <c r="AAM99" s="1"/>
      <c r="AAN99" s="1"/>
      <c r="AAO99" s="1"/>
      <c r="AAP99" s="1"/>
      <c r="AAQ99" s="1"/>
      <c r="AAR99" s="1"/>
      <c r="AAS99" s="1"/>
      <c r="AAT99" s="1"/>
      <c r="AAU99" s="1"/>
      <c r="AAV99" s="1"/>
      <c r="AAW99" s="1"/>
      <c r="AAX99" s="1"/>
      <c r="AAY99" s="1"/>
      <c r="AAZ99" s="1"/>
      <c r="ABA99" s="1"/>
      <c r="ABB99" s="1"/>
      <c r="ABC99" s="1"/>
      <c r="ABD99" s="1"/>
      <c r="ABE99" s="1"/>
      <c r="ABF99" s="1"/>
      <c r="ABG99" s="1"/>
      <c r="ABH99" s="1"/>
      <c r="ABI99" s="1"/>
      <c r="ABJ99" s="1"/>
      <c r="ABK99" s="1"/>
      <c r="ABL99" s="1"/>
      <c r="ABM99" s="1"/>
      <c r="ABN99" s="1"/>
      <c r="ABO99" s="1"/>
      <c r="ABP99" s="1"/>
      <c r="ABQ99" s="1"/>
      <c r="ABR99" s="1"/>
      <c r="ABS99" s="1"/>
      <c r="ABT99" s="1"/>
      <c r="ABU99" s="1"/>
      <c r="ABV99" s="1"/>
      <c r="ABW99" s="1"/>
      <c r="ABX99" s="1"/>
      <c r="ABY99" s="1"/>
      <c r="ABZ99" s="1"/>
      <c r="ACA99" s="1"/>
      <c r="ACB99" s="1"/>
      <c r="ACC99" s="1"/>
      <c r="ACD99" s="1"/>
      <c r="ACE99" s="1"/>
      <c r="ACF99" s="1"/>
      <c r="ACG99" s="1"/>
      <c r="ACH99" s="1"/>
      <c r="ACI99" s="1"/>
      <c r="ACJ99" s="1"/>
      <c r="ACK99" s="1"/>
      <c r="ACL99" s="1"/>
      <c r="ACM99" s="1"/>
      <c r="ACN99" s="1"/>
      <c r="ACO99" s="1"/>
      <c r="ACP99" s="1"/>
      <c r="ACQ99" s="1"/>
      <c r="ACR99" s="1"/>
      <c r="ACS99" s="1"/>
      <c r="ACT99" s="1"/>
      <c r="ACU99" s="1"/>
      <c r="ACV99" s="1"/>
      <c r="ACW99" s="1"/>
      <c r="ACX99" s="1"/>
      <c r="ACY99" s="1"/>
      <c r="ACZ99" s="1"/>
      <c r="ADA99" s="1"/>
      <c r="ADB99" s="1"/>
      <c r="ADC99" s="1"/>
      <c r="ADD99" s="1"/>
      <c r="ADE99" s="1"/>
      <c r="ADF99" s="1"/>
      <c r="ADG99" s="1"/>
      <c r="ADH99" s="1"/>
      <c r="ADI99" s="1"/>
      <c r="ADJ99" s="1"/>
      <c r="ADK99" s="1"/>
      <c r="ADL99" s="1"/>
      <c r="ADM99" s="1"/>
      <c r="ADN99" s="1"/>
      <c r="ADO99" s="1"/>
      <c r="ADP99" s="1"/>
      <c r="ADQ99" s="1"/>
      <c r="ADR99" s="1"/>
      <c r="ADS99" s="1"/>
      <c r="ADT99" s="1"/>
      <c r="ADU99" s="1"/>
      <c r="ADV99" s="1"/>
      <c r="ADW99" s="1"/>
      <c r="ADX99" s="1"/>
      <c r="ADY99" s="1"/>
      <c r="ADZ99" s="1"/>
      <c r="AEA99" s="1"/>
      <c r="AEB99" s="1"/>
      <c r="AEC99" s="1"/>
      <c r="AED99" s="1"/>
      <c r="AEE99" s="1"/>
      <c r="AEF99" s="1"/>
      <c r="AEG99" s="1"/>
      <c r="AEH99" s="1"/>
      <c r="AEI99" s="1"/>
      <c r="AEJ99" s="1"/>
      <c r="AEK99" s="1"/>
      <c r="AEL99" s="1"/>
      <c r="AEM99" s="1"/>
      <c r="AEN99" s="1"/>
      <c r="AEO99" s="1"/>
      <c r="AEP99" s="1"/>
      <c r="AEQ99" s="1"/>
      <c r="AER99" s="1"/>
      <c r="AES99" s="1"/>
      <c r="AET99" s="1"/>
      <c r="AEU99" s="1"/>
      <c r="AEV99" s="1"/>
      <c r="AEW99" s="1"/>
      <c r="AEX99" s="1"/>
      <c r="AEY99" s="1"/>
      <c r="AEZ99" s="1"/>
      <c r="AFA99" s="1"/>
      <c r="AFB99" s="1"/>
      <c r="AFC99" s="1"/>
      <c r="AFD99" s="1"/>
      <c r="AFE99" s="1"/>
      <c r="AFF99" s="1"/>
      <c r="AFG99" s="1"/>
      <c r="AFH99" s="1"/>
      <c r="AFI99" s="1"/>
      <c r="AFJ99" s="1"/>
      <c r="AFK99" s="1"/>
      <c r="AFL99" s="1"/>
      <c r="AFM99" s="1"/>
      <c r="AFN99" s="1"/>
      <c r="AFO99" s="1"/>
      <c r="AFP99" s="1"/>
      <c r="AFQ99" s="1"/>
      <c r="AFR99" s="1"/>
      <c r="AFS99" s="1"/>
      <c r="AFT99" s="1"/>
      <c r="AFU99" s="1"/>
      <c r="AFV99" s="1"/>
      <c r="AFW99" s="1"/>
      <c r="AFX99" s="1"/>
      <c r="AFY99" s="1"/>
      <c r="AFZ99" s="1"/>
      <c r="AGA99" s="1"/>
      <c r="AGB99" s="1"/>
      <c r="AGC99" s="1"/>
      <c r="AGD99" s="1"/>
      <c r="AGE99" s="1"/>
      <c r="AGF99" s="1"/>
      <c r="AGG99" s="1"/>
      <c r="AGH99" s="1"/>
      <c r="AGI99" s="1"/>
      <c r="AGJ99" s="1"/>
      <c r="AGK99" s="1"/>
      <c r="AGL99" s="1"/>
      <c r="AGM99" s="1"/>
      <c r="AGN99" s="1"/>
      <c r="AGO99" s="1"/>
      <c r="AGP99" s="1"/>
      <c r="AGQ99" s="1"/>
      <c r="AGR99" s="1"/>
      <c r="AGS99" s="1"/>
      <c r="AGT99" s="1"/>
      <c r="AGU99" s="1"/>
      <c r="AGV99" s="1"/>
      <c r="AGW99" s="1"/>
      <c r="AGX99" s="1"/>
      <c r="AGY99" s="1"/>
      <c r="AGZ99" s="1"/>
      <c r="AHA99" s="1"/>
      <c r="AHB99" s="1"/>
      <c r="AHC99" s="1"/>
      <c r="AHD99" s="1"/>
      <c r="AHE99" s="1"/>
      <c r="AHF99" s="1"/>
      <c r="AHG99" s="1"/>
      <c r="AHH99" s="1"/>
      <c r="AHI99" s="1"/>
      <c r="AHJ99" s="1"/>
      <c r="AHK99" s="1"/>
      <c r="AHL99" s="1"/>
      <c r="AHM99" s="1"/>
      <c r="AHN99" s="1"/>
      <c r="AHO99" s="1"/>
      <c r="AHP99" s="1"/>
      <c r="AHQ99" s="1"/>
      <c r="AHR99" s="1"/>
      <c r="AHS99" s="1"/>
      <c r="AHT99" s="1"/>
      <c r="AHU99" s="1"/>
      <c r="AHV99" s="1"/>
      <c r="AHW99" s="1"/>
      <c r="AHX99" s="1"/>
      <c r="AHY99" s="1"/>
      <c r="AHZ99" s="1"/>
      <c r="AIA99" s="1"/>
      <c r="AIB99" s="1"/>
      <c r="AIC99" s="1"/>
      <c r="AID99" s="1"/>
      <c r="AIE99" s="1"/>
      <c r="AIF99" s="1"/>
      <c r="AIG99" s="1"/>
      <c r="AIH99" s="1"/>
      <c r="AII99" s="1"/>
      <c r="AIJ99" s="1"/>
      <c r="AIK99" s="1"/>
      <c r="AIL99" s="1"/>
      <c r="AIM99" s="1"/>
      <c r="AIN99" s="1"/>
      <c r="AIO99" s="1"/>
      <c r="AIP99" s="1"/>
      <c r="AIQ99" s="1"/>
      <c r="AIR99" s="1"/>
      <c r="AIS99" s="1"/>
      <c r="AIT99" s="1"/>
      <c r="AIU99" s="1"/>
      <c r="AIV99" s="1"/>
      <c r="AIW99" s="1"/>
      <c r="AIX99" s="1"/>
      <c r="AIY99" s="1"/>
      <c r="AIZ99" s="1"/>
      <c r="AJA99" s="1"/>
      <c r="AJB99" s="1"/>
      <c r="AJC99" s="1"/>
      <c r="AJD99" s="1"/>
      <c r="AJE99" s="1"/>
      <c r="AJF99" s="1"/>
      <c r="AJG99" s="1"/>
      <c r="AJH99" s="1"/>
      <c r="AJI99" s="1"/>
      <c r="AJJ99" s="1"/>
      <c r="AJK99" s="1"/>
      <c r="AJL99" s="1"/>
      <c r="AJM99" s="1"/>
      <c r="AJN99" s="1"/>
      <c r="AJO99" s="1"/>
      <c r="AJP99" s="1"/>
      <c r="AJQ99" s="1"/>
      <c r="AJR99" s="1"/>
      <c r="AJS99" s="1"/>
      <c r="AJT99" s="1"/>
      <c r="AJU99" s="1"/>
      <c r="AJV99" s="1"/>
      <c r="AJW99" s="1"/>
      <c r="AJX99" s="1"/>
      <c r="AJY99" s="1"/>
      <c r="AJZ99" s="1"/>
      <c r="AKA99" s="1"/>
      <c r="AKB99" s="1"/>
      <c r="AKC99" s="1"/>
      <c r="AKD99" s="1"/>
      <c r="AKE99" s="1"/>
      <c r="AKF99" s="1"/>
      <c r="AKG99" s="1"/>
      <c r="AKH99" s="1"/>
      <c r="AKI99" s="1"/>
      <c r="AKJ99" s="1"/>
      <c r="AKK99" s="1"/>
      <c r="AKL99" s="1"/>
      <c r="AKM99" s="1"/>
      <c r="AKN99" s="1"/>
      <c r="AKO99" s="1"/>
      <c r="AKP99" s="1"/>
      <c r="AKQ99" s="1"/>
      <c r="AKR99" s="1"/>
      <c r="AKS99" s="1"/>
      <c r="AKT99" s="1"/>
      <c r="AKU99" s="1"/>
      <c r="AKV99" s="1"/>
      <c r="AKW99" s="1"/>
      <c r="AKX99" s="1"/>
      <c r="AKY99" s="1"/>
      <c r="AKZ99" s="1"/>
      <c r="ALA99" s="1"/>
      <c r="ALB99" s="1"/>
      <c r="ALC99" s="1"/>
      <c r="ALD99" s="1"/>
      <c r="ALE99" s="1"/>
      <c r="ALF99" s="1"/>
      <c r="ALG99" s="1"/>
      <c r="ALH99" s="1"/>
      <c r="ALI99" s="1"/>
      <c r="ALJ99" s="1"/>
      <c r="ALK99" s="1"/>
      <c r="ALL99" s="1"/>
      <c r="ALM99" s="1"/>
      <c r="ALN99" s="1"/>
      <c r="ALO99" s="1"/>
      <c r="ALP99" s="1"/>
      <c r="ALQ99" s="1"/>
      <c r="ALR99" s="1"/>
      <c r="ALS99" s="1"/>
      <c r="ALT99" s="1"/>
      <c r="ALU99" s="1"/>
      <c r="ALV99" s="1"/>
      <c r="ALW99" s="1"/>
      <c r="ALX99" s="1"/>
      <c r="ALY99" s="1"/>
      <c r="ALZ99" s="1"/>
      <c r="AMA99" s="1"/>
      <c r="AMB99" s="1"/>
      <c r="AMC99" s="1"/>
      <c r="AMD99" s="1"/>
      <c r="AME99" s="1"/>
      <c r="AMF99" s="1"/>
      <c r="AMG99" s="1"/>
      <c r="AMH99" s="1"/>
      <c r="AMI99" s="1"/>
      <c r="AMJ99" s="1"/>
    </row>
    <row r="100" customFormat="false" ht="10.5" hidden="false" customHeight="true" outlineLevel="0" collapsed="false">
      <c r="A100" s="134" t="s">
        <v>232</v>
      </c>
      <c r="B100" s="134"/>
      <c r="C100" s="134"/>
      <c r="D100" s="134"/>
      <c r="E100" s="134"/>
      <c r="F100" s="134"/>
      <c r="G100" s="134"/>
      <c r="H100" s="134"/>
      <c r="I100" s="134"/>
      <c r="J100" s="135" t="s">
        <v>233</v>
      </c>
      <c r="K100" s="135"/>
      <c r="L100" s="135"/>
      <c r="M100" s="135" t="s">
        <v>234</v>
      </c>
      <c r="N100" s="135"/>
      <c r="O100" s="135"/>
      <c r="P100" s="135" t="s">
        <v>235</v>
      </c>
      <c r="Q100" s="135"/>
      <c r="R100" s="135"/>
      <c r="S100" s="135" t="s">
        <v>236</v>
      </c>
      <c r="T100" s="135"/>
      <c r="U100" s="135"/>
      <c r="V100" s="135"/>
      <c r="W100" s="135" t="s">
        <v>237</v>
      </c>
      <c r="X100" s="135"/>
      <c r="Y100" s="135"/>
      <c r="Z100" s="135"/>
      <c r="AA100" s="135" t="s">
        <v>238</v>
      </c>
      <c r="AB100" s="135"/>
      <c r="AC100" s="135"/>
      <c r="AD100" s="135"/>
      <c r="AE100" s="135" t="s">
        <v>239</v>
      </c>
      <c r="AF100" s="135"/>
      <c r="AG100" s="135"/>
      <c r="AH100" s="136" t="s">
        <v>240</v>
      </c>
      <c r="AI100" s="136"/>
      <c r="AJ100" s="136"/>
      <c r="AK100" s="136"/>
      <c r="AL100" s="137" t="s">
        <v>241</v>
      </c>
      <c r="AM100" s="137"/>
      <c r="AN100" s="137"/>
      <c r="AO100" s="137"/>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c r="IY100" s="1"/>
      <c r="IZ100" s="1"/>
      <c r="JA100" s="1"/>
      <c r="JB100" s="1"/>
      <c r="JC100" s="1"/>
      <c r="JD100" s="1"/>
      <c r="JE100" s="1"/>
      <c r="JF100" s="1"/>
      <c r="JG100" s="1"/>
      <c r="JH100" s="1"/>
      <c r="JI100" s="1"/>
      <c r="JJ100" s="1"/>
      <c r="JK100" s="1"/>
      <c r="JL100" s="1"/>
      <c r="JM100" s="1"/>
      <c r="JN100" s="1"/>
      <c r="JO100" s="1"/>
      <c r="JP100" s="1"/>
      <c r="JQ100" s="1"/>
      <c r="JR100" s="1"/>
      <c r="JS100" s="1"/>
      <c r="JT100" s="1"/>
      <c r="JU100" s="1"/>
      <c r="JV100" s="1"/>
      <c r="JW100" s="1"/>
      <c r="JX100" s="1"/>
      <c r="JY100" s="1"/>
      <c r="JZ100" s="1"/>
      <c r="KA100" s="1"/>
      <c r="KB100" s="1"/>
      <c r="KC100" s="1"/>
      <c r="KD100" s="1"/>
      <c r="KE100" s="1"/>
      <c r="KF100" s="1"/>
      <c r="KG100" s="1"/>
      <c r="KH100" s="1"/>
      <c r="KI100" s="1"/>
      <c r="KJ100" s="1"/>
      <c r="KK100" s="1"/>
      <c r="KL100" s="1"/>
      <c r="KM100" s="1"/>
      <c r="KN100" s="1"/>
      <c r="KO100" s="1"/>
      <c r="KP100" s="1"/>
      <c r="KQ100" s="1"/>
      <c r="KR100" s="1"/>
      <c r="KS100" s="1"/>
      <c r="KT100" s="1"/>
      <c r="KU100" s="1"/>
      <c r="KV100" s="1"/>
      <c r="KW100" s="1"/>
      <c r="KX100" s="1"/>
      <c r="KY100" s="1"/>
      <c r="KZ100" s="1"/>
      <c r="LA100" s="1"/>
      <c r="LB100" s="1"/>
      <c r="LC100" s="1"/>
      <c r="LD100" s="1"/>
      <c r="LE100" s="1"/>
      <c r="LF100" s="1"/>
      <c r="LG100" s="1"/>
      <c r="LH100" s="1"/>
      <c r="LI100" s="1"/>
      <c r="LJ100" s="1"/>
      <c r="LK100" s="1"/>
      <c r="LL100" s="1"/>
      <c r="LM100" s="1"/>
      <c r="LN100" s="1"/>
      <c r="LO100" s="1"/>
      <c r="LP100" s="1"/>
      <c r="LQ100" s="1"/>
      <c r="LR100" s="1"/>
      <c r="LS100" s="1"/>
      <c r="LT100" s="1"/>
      <c r="LU100" s="1"/>
      <c r="LV100" s="1"/>
      <c r="LW100" s="1"/>
      <c r="LX100" s="1"/>
      <c r="LY100" s="1"/>
      <c r="LZ100" s="1"/>
      <c r="MA100" s="1"/>
      <c r="MB100" s="1"/>
      <c r="MC100" s="1"/>
      <c r="MD100" s="1"/>
      <c r="ME100" s="1"/>
      <c r="MF100" s="1"/>
      <c r="MG100" s="1"/>
      <c r="MH100" s="1"/>
      <c r="MI100" s="1"/>
      <c r="MJ100" s="1"/>
      <c r="MK100" s="1"/>
      <c r="ML100" s="1"/>
      <c r="MM100" s="1"/>
      <c r="MN100" s="1"/>
      <c r="MO100" s="1"/>
      <c r="MP100" s="1"/>
      <c r="MQ100" s="1"/>
      <c r="MR100" s="1"/>
      <c r="MS100" s="1"/>
      <c r="MT100" s="1"/>
      <c r="MU100" s="1"/>
      <c r="MV100" s="1"/>
      <c r="MW100" s="1"/>
      <c r="MX100" s="1"/>
      <c r="MY100" s="1"/>
      <c r="MZ100" s="1"/>
      <c r="NA100" s="1"/>
      <c r="NB100" s="1"/>
      <c r="NC100" s="1"/>
      <c r="ND100" s="1"/>
      <c r="NE100" s="1"/>
      <c r="NF100" s="1"/>
      <c r="NG100" s="1"/>
      <c r="NH100" s="1"/>
      <c r="NI100" s="1"/>
      <c r="NJ100" s="1"/>
      <c r="NK100" s="1"/>
      <c r="NL100" s="1"/>
      <c r="NM100" s="1"/>
      <c r="NN100" s="1"/>
      <c r="NO100" s="1"/>
      <c r="NP100" s="1"/>
      <c r="NQ100" s="1"/>
      <c r="NR100" s="1"/>
      <c r="NS100" s="1"/>
      <c r="NT100" s="1"/>
      <c r="NU100" s="1"/>
      <c r="NV100" s="1"/>
      <c r="NW100" s="1"/>
      <c r="NX100" s="1"/>
      <c r="NY100" s="1"/>
      <c r="NZ100" s="1"/>
      <c r="OA100" s="1"/>
      <c r="OB100" s="1"/>
      <c r="OC100" s="1"/>
      <c r="OD100" s="1"/>
      <c r="OE100" s="1"/>
      <c r="OF100" s="1"/>
      <c r="OG100" s="1"/>
      <c r="OH100" s="1"/>
      <c r="OI100" s="1"/>
      <c r="OJ100" s="1"/>
      <c r="OK100" s="1"/>
      <c r="OL100" s="1"/>
      <c r="OM100" s="1"/>
      <c r="ON100" s="1"/>
      <c r="OO100" s="1"/>
      <c r="OP100" s="1"/>
      <c r="OQ100" s="1"/>
      <c r="OR100" s="1"/>
      <c r="OS100" s="1"/>
      <c r="OT100" s="1"/>
      <c r="OU100" s="1"/>
      <c r="OV100" s="1"/>
      <c r="OW100" s="1"/>
      <c r="OX100" s="1"/>
      <c r="OY100" s="1"/>
      <c r="OZ100" s="1"/>
      <c r="PA100" s="1"/>
      <c r="PB100" s="1"/>
      <c r="PC100" s="1"/>
      <c r="PD100" s="1"/>
      <c r="PE100" s="1"/>
      <c r="PF100" s="1"/>
      <c r="PG100" s="1"/>
      <c r="PH100" s="1"/>
      <c r="PI100" s="1"/>
      <c r="PJ100" s="1"/>
      <c r="PK100" s="1"/>
      <c r="PL100" s="1"/>
      <c r="PM100" s="1"/>
      <c r="PN100" s="1"/>
      <c r="PO100" s="1"/>
      <c r="PP100" s="1"/>
      <c r="PQ100" s="1"/>
      <c r="PR100" s="1"/>
      <c r="PS100" s="1"/>
      <c r="PT100" s="1"/>
      <c r="PU100" s="1"/>
      <c r="PV100" s="1"/>
      <c r="PW100" s="1"/>
      <c r="PX100" s="1"/>
      <c r="PY100" s="1"/>
      <c r="PZ100" s="1"/>
      <c r="QA100" s="1"/>
      <c r="QB100" s="1"/>
      <c r="QC100" s="1"/>
      <c r="QD100" s="1"/>
      <c r="QE100" s="1"/>
      <c r="QF100" s="1"/>
      <c r="QG100" s="1"/>
      <c r="QH100" s="1"/>
      <c r="QI100" s="1"/>
      <c r="QJ100" s="1"/>
      <c r="QK100" s="1"/>
      <c r="QL100" s="1"/>
      <c r="QM100" s="1"/>
      <c r="QN100" s="1"/>
      <c r="QO100" s="1"/>
      <c r="QP100" s="1"/>
      <c r="QQ100" s="1"/>
      <c r="QR100" s="1"/>
      <c r="QS100" s="1"/>
      <c r="QT100" s="1"/>
      <c r="QU100" s="1"/>
      <c r="QV100" s="1"/>
      <c r="QW100" s="1"/>
      <c r="QX100" s="1"/>
      <c r="QY100" s="1"/>
      <c r="QZ100" s="1"/>
      <c r="RA100" s="1"/>
      <c r="RB100" s="1"/>
      <c r="RC100" s="1"/>
      <c r="RD100" s="1"/>
      <c r="RE100" s="1"/>
      <c r="RF100" s="1"/>
      <c r="RG100" s="1"/>
      <c r="RH100" s="1"/>
      <c r="RI100" s="1"/>
      <c r="RJ100" s="1"/>
      <c r="RK100" s="1"/>
      <c r="RL100" s="1"/>
      <c r="RM100" s="1"/>
      <c r="RN100" s="1"/>
      <c r="RO100" s="1"/>
      <c r="RP100" s="1"/>
      <c r="RQ100" s="1"/>
      <c r="RR100" s="1"/>
      <c r="RS100" s="1"/>
      <c r="RT100" s="1"/>
      <c r="RU100" s="1"/>
      <c r="RV100" s="1"/>
      <c r="RW100" s="1"/>
      <c r="RX100" s="1"/>
      <c r="RY100" s="1"/>
      <c r="RZ100" s="1"/>
      <c r="SA100" s="1"/>
      <c r="SB100" s="1"/>
      <c r="SC100" s="1"/>
      <c r="SD100" s="1"/>
      <c r="SE100" s="1"/>
      <c r="SF100" s="1"/>
      <c r="SG100" s="1"/>
      <c r="SH100" s="1"/>
      <c r="SI100" s="1"/>
      <c r="SJ100" s="1"/>
      <c r="SK100" s="1"/>
      <c r="SL100" s="1"/>
      <c r="SM100" s="1"/>
      <c r="SN100" s="1"/>
      <c r="SO100" s="1"/>
      <c r="SP100" s="1"/>
      <c r="SQ100" s="1"/>
      <c r="SR100" s="1"/>
      <c r="SS100" s="1"/>
      <c r="ST100" s="1"/>
      <c r="SU100" s="1"/>
      <c r="SV100" s="1"/>
      <c r="SW100" s="1"/>
      <c r="SX100" s="1"/>
      <c r="SY100" s="1"/>
      <c r="SZ100" s="1"/>
      <c r="TA100" s="1"/>
      <c r="TB100" s="1"/>
      <c r="TC100" s="1"/>
      <c r="TD100" s="1"/>
      <c r="TE100" s="1"/>
      <c r="TF100" s="1"/>
      <c r="TG100" s="1"/>
      <c r="TH100" s="1"/>
      <c r="TI100" s="1"/>
      <c r="TJ100" s="1"/>
      <c r="TK100" s="1"/>
      <c r="TL100" s="1"/>
      <c r="TM100" s="1"/>
      <c r="TN100" s="1"/>
      <c r="TO100" s="1"/>
      <c r="TP100" s="1"/>
      <c r="TQ100" s="1"/>
      <c r="TR100" s="1"/>
      <c r="TS100" s="1"/>
      <c r="TT100" s="1"/>
      <c r="TU100" s="1"/>
      <c r="TV100" s="1"/>
      <c r="TW100" s="1"/>
      <c r="TX100" s="1"/>
      <c r="TY100" s="1"/>
      <c r="TZ100" s="1"/>
      <c r="UA100" s="1"/>
      <c r="UB100" s="1"/>
      <c r="UC100" s="1"/>
      <c r="UD100" s="1"/>
      <c r="UE100" s="1"/>
      <c r="UF100" s="1"/>
      <c r="UG100" s="1"/>
      <c r="UH100" s="1"/>
      <c r="UI100" s="1"/>
      <c r="UJ100" s="1"/>
      <c r="UK100" s="1"/>
      <c r="UL100" s="1"/>
      <c r="UM100" s="1"/>
      <c r="UN100" s="1"/>
      <c r="UO100" s="1"/>
      <c r="UP100" s="1"/>
      <c r="UQ100" s="1"/>
      <c r="UR100" s="1"/>
      <c r="US100" s="1"/>
      <c r="UT100" s="1"/>
      <c r="UU100" s="1"/>
      <c r="UV100" s="1"/>
      <c r="UW100" s="1"/>
      <c r="UX100" s="1"/>
      <c r="UY100" s="1"/>
      <c r="UZ100" s="1"/>
      <c r="VA100" s="1"/>
      <c r="VB100" s="1"/>
      <c r="VC100" s="1"/>
      <c r="VD100" s="1"/>
      <c r="VE100" s="1"/>
      <c r="VF100" s="1"/>
      <c r="VG100" s="1"/>
      <c r="VH100" s="1"/>
      <c r="VI100" s="1"/>
      <c r="VJ100" s="1"/>
      <c r="VK100" s="1"/>
      <c r="VL100" s="1"/>
      <c r="VM100" s="1"/>
      <c r="VN100" s="1"/>
      <c r="VO100" s="1"/>
      <c r="VP100" s="1"/>
      <c r="VQ100" s="1"/>
      <c r="VR100" s="1"/>
      <c r="VS100" s="1"/>
      <c r="VT100" s="1"/>
      <c r="VU100" s="1"/>
      <c r="VV100" s="1"/>
      <c r="VW100" s="1"/>
      <c r="VX100" s="1"/>
      <c r="VY100" s="1"/>
      <c r="VZ100" s="1"/>
      <c r="WA100" s="1"/>
      <c r="WB100" s="1"/>
      <c r="WC100" s="1"/>
      <c r="WD100" s="1"/>
      <c r="WE100" s="1"/>
      <c r="WF100" s="1"/>
      <c r="WG100" s="1"/>
      <c r="WH100" s="1"/>
      <c r="WI100" s="1"/>
      <c r="WJ100" s="1"/>
      <c r="WK100" s="1"/>
      <c r="WL100" s="1"/>
      <c r="WM100" s="1"/>
      <c r="WN100" s="1"/>
      <c r="WO100" s="1"/>
      <c r="WP100" s="1"/>
      <c r="WQ100" s="1"/>
      <c r="WR100" s="1"/>
      <c r="WS100" s="1"/>
      <c r="WT100" s="1"/>
      <c r="WU100" s="1"/>
      <c r="WV100" s="1"/>
      <c r="WW100" s="1"/>
      <c r="WX100" s="1"/>
      <c r="WY100" s="1"/>
      <c r="WZ100" s="1"/>
      <c r="XA100" s="1"/>
      <c r="XB100" s="1"/>
      <c r="XC100" s="1"/>
      <c r="XD100" s="1"/>
      <c r="XE100" s="1"/>
      <c r="XF100" s="1"/>
      <c r="XG100" s="1"/>
      <c r="XH100" s="1"/>
      <c r="XI100" s="1"/>
      <c r="XJ100" s="1"/>
      <c r="XK100" s="1"/>
      <c r="XL100" s="1"/>
      <c r="XM100" s="1"/>
      <c r="XN100" s="1"/>
      <c r="XO100" s="1"/>
      <c r="XP100" s="1"/>
      <c r="XQ100" s="1"/>
      <c r="XR100" s="1"/>
      <c r="XS100" s="1"/>
      <c r="XT100" s="1"/>
      <c r="XU100" s="1"/>
      <c r="XV100" s="1"/>
      <c r="XW100" s="1"/>
      <c r="XX100" s="1"/>
      <c r="XY100" s="1"/>
      <c r="XZ100" s="1"/>
      <c r="YA100" s="1"/>
      <c r="YB100" s="1"/>
      <c r="YC100" s="1"/>
      <c r="YD100" s="1"/>
      <c r="YE100" s="1"/>
      <c r="YF100" s="1"/>
      <c r="YG100" s="1"/>
      <c r="YH100" s="1"/>
      <c r="YI100" s="1"/>
      <c r="YJ100" s="1"/>
      <c r="YK100" s="1"/>
      <c r="YL100" s="1"/>
      <c r="YM100" s="1"/>
      <c r="YN100" s="1"/>
      <c r="YO100" s="1"/>
      <c r="YP100" s="1"/>
      <c r="YQ100" s="1"/>
      <c r="YR100" s="1"/>
      <c r="YS100" s="1"/>
      <c r="YT100" s="1"/>
      <c r="YU100" s="1"/>
      <c r="YV100" s="1"/>
      <c r="YW100" s="1"/>
      <c r="YX100" s="1"/>
      <c r="YY100" s="1"/>
      <c r="YZ100" s="1"/>
      <c r="ZA100" s="1"/>
      <c r="ZB100" s="1"/>
      <c r="ZC100" s="1"/>
      <c r="ZD100" s="1"/>
      <c r="ZE100" s="1"/>
      <c r="ZF100" s="1"/>
      <c r="ZG100" s="1"/>
      <c r="ZH100" s="1"/>
      <c r="ZI100" s="1"/>
      <c r="ZJ100" s="1"/>
      <c r="ZK100" s="1"/>
      <c r="ZL100" s="1"/>
      <c r="ZM100" s="1"/>
      <c r="ZN100" s="1"/>
      <c r="ZO100" s="1"/>
      <c r="ZP100" s="1"/>
      <c r="ZQ100" s="1"/>
      <c r="ZR100" s="1"/>
      <c r="ZS100" s="1"/>
      <c r="ZT100" s="1"/>
      <c r="ZU100" s="1"/>
      <c r="ZV100" s="1"/>
      <c r="ZW100" s="1"/>
      <c r="ZX100" s="1"/>
      <c r="ZY100" s="1"/>
      <c r="ZZ100" s="1"/>
      <c r="AAA100" s="1"/>
      <c r="AAB100" s="1"/>
      <c r="AAC100" s="1"/>
      <c r="AAD100" s="1"/>
      <c r="AAE100" s="1"/>
      <c r="AAF100" s="1"/>
      <c r="AAG100" s="1"/>
      <c r="AAH100" s="1"/>
      <c r="AAI100" s="1"/>
      <c r="AAJ100" s="1"/>
      <c r="AAK100" s="1"/>
      <c r="AAL100" s="1"/>
      <c r="AAM100" s="1"/>
      <c r="AAN100" s="1"/>
      <c r="AAO100" s="1"/>
      <c r="AAP100" s="1"/>
      <c r="AAQ100" s="1"/>
      <c r="AAR100" s="1"/>
      <c r="AAS100" s="1"/>
      <c r="AAT100" s="1"/>
      <c r="AAU100" s="1"/>
      <c r="AAV100" s="1"/>
      <c r="AAW100" s="1"/>
      <c r="AAX100" s="1"/>
      <c r="AAY100" s="1"/>
      <c r="AAZ100" s="1"/>
      <c r="ABA100" s="1"/>
      <c r="ABB100" s="1"/>
      <c r="ABC100" s="1"/>
      <c r="ABD100" s="1"/>
      <c r="ABE100" s="1"/>
      <c r="ABF100" s="1"/>
      <c r="ABG100" s="1"/>
      <c r="ABH100" s="1"/>
      <c r="ABI100" s="1"/>
      <c r="ABJ100" s="1"/>
      <c r="ABK100" s="1"/>
      <c r="ABL100" s="1"/>
      <c r="ABM100" s="1"/>
      <c r="ABN100" s="1"/>
      <c r="ABO100" s="1"/>
      <c r="ABP100" s="1"/>
      <c r="ABQ100" s="1"/>
      <c r="ABR100" s="1"/>
      <c r="ABS100" s="1"/>
      <c r="ABT100" s="1"/>
      <c r="ABU100" s="1"/>
      <c r="ABV100" s="1"/>
      <c r="ABW100" s="1"/>
      <c r="ABX100" s="1"/>
      <c r="ABY100" s="1"/>
      <c r="ABZ100" s="1"/>
      <c r="ACA100" s="1"/>
      <c r="ACB100" s="1"/>
      <c r="ACC100" s="1"/>
      <c r="ACD100" s="1"/>
      <c r="ACE100" s="1"/>
      <c r="ACF100" s="1"/>
      <c r="ACG100" s="1"/>
      <c r="ACH100" s="1"/>
      <c r="ACI100" s="1"/>
      <c r="ACJ100" s="1"/>
      <c r="ACK100" s="1"/>
      <c r="ACL100" s="1"/>
      <c r="ACM100" s="1"/>
      <c r="ACN100" s="1"/>
      <c r="ACO100" s="1"/>
      <c r="ACP100" s="1"/>
      <c r="ACQ100" s="1"/>
      <c r="ACR100" s="1"/>
      <c r="ACS100" s="1"/>
      <c r="ACT100" s="1"/>
      <c r="ACU100" s="1"/>
      <c r="ACV100" s="1"/>
      <c r="ACW100" s="1"/>
      <c r="ACX100" s="1"/>
      <c r="ACY100" s="1"/>
      <c r="ACZ100" s="1"/>
      <c r="ADA100" s="1"/>
      <c r="ADB100" s="1"/>
      <c r="ADC100" s="1"/>
      <c r="ADD100" s="1"/>
      <c r="ADE100" s="1"/>
      <c r="ADF100" s="1"/>
      <c r="ADG100" s="1"/>
      <c r="ADH100" s="1"/>
      <c r="ADI100" s="1"/>
      <c r="ADJ100" s="1"/>
      <c r="ADK100" s="1"/>
      <c r="ADL100" s="1"/>
      <c r="ADM100" s="1"/>
      <c r="ADN100" s="1"/>
      <c r="ADO100" s="1"/>
      <c r="ADP100" s="1"/>
      <c r="ADQ100" s="1"/>
      <c r="ADR100" s="1"/>
      <c r="ADS100" s="1"/>
      <c r="ADT100" s="1"/>
      <c r="ADU100" s="1"/>
      <c r="ADV100" s="1"/>
      <c r="ADW100" s="1"/>
      <c r="ADX100" s="1"/>
      <c r="ADY100" s="1"/>
      <c r="ADZ100" s="1"/>
      <c r="AEA100" s="1"/>
      <c r="AEB100" s="1"/>
      <c r="AEC100" s="1"/>
      <c r="AED100" s="1"/>
      <c r="AEE100" s="1"/>
      <c r="AEF100" s="1"/>
      <c r="AEG100" s="1"/>
      <c r="AEH100" s="1"/>
      <c r="AEI100" s="1"/>
      <c r="AEJ100" s="1"/>
      <c r="AEK100" s="1"/>
      <c r="AEL100" s="1"/>
      <c r="AEM100" s="1"/>
      <c r="AEN100" s="1"/>
      <c r="AEO100" s="1"/>
      <c r="AEP100" s="1"/>
      <c r="AEQ100" s="1"/>
      <c r="AER100" s="1"/>
      <c r="AES100" s="1"/>
      <c r="AET100" s="1"/>
      <c r="AEU100" s="1"/>
      <c r="AEV100" s="1"/>
      <c r="AEW100" s="1"/>
      <c r="AEX100" s="1"/>
      <c r="AEY100" s="1"/>
      <c r="AEZ100" s="1"/>
      <c r="AFA100" s="1"/>
      <c r="AFB100" s="1"/>
      <c r="AFC100" s="1"/>
      <c r="AFD100" s="1"/>
      <c r="AFE100" s="1"/>
      <c r="AFF100" s="1"/>
      <c r="AFG100" s="1"/>
      <c r="AFH100" s="1"/>
      <c r="AFI100" s="1"/>
      <c r="AFJ100" s="1"/>
      <c r="AFK100" s="1"/>
      <c r="AFL100" s="1"/>
      <c r="AFM100" s="1"/>
      <c r="AFN100" s="1"/>
      <c r="AFO100" s="1"/>
      <c r="AFP100" s="1"/>
      <c r="AFQ100" s="1"/>
      <c r="AFR100" s="1"/>
      <c r="AFS100" s="1"/>
      <c r="AFT100" s="1"/>
      <c r="AFU100" s="1"/>
      <c r="AFV100" s="1"/>
      <c r="AFW100" s="1"/>
      <c r="AFX100" s="1"/>
      <c r="AFY100" s="1"/>
      <c r="AFZ100" s="1"/>
      <c r="AGA100" s="1"/>
      <c r="AGB100" s="1"/>
      <c r="AGC100" s="1"/>
      <c r="AGD100" s="1"/>
      <c r="AGE100" s="1"/>
      <c r="AGF100" s="1"/>
      <c r="AGG100" s="1"/>
      <c r="AGH100" s="1"/>
      <c r="AGI100" s="1"/>
      <c r="AGJ100" s="1"/>
      <c r="AGK100" s="1"/>
      <c r="AGL100" s="1"/>
      <c r="AGM100" s="1"/>
      <c r="AGN100" s="1"/>
      <c r="AGO100" s="1"/>
      <c r="AGP100" s="1"/>
      <c r="AGQ100" s="1"/>
      <c r="AGR100" s="1"/>
      <c r="AGS100" s="1"/>
      <c r="AGT100" s="1"/>
      <c r="AGU100" s="1"/>
      <c r="AGV100" s="1"/>
      <c r="AGW100" s="1"/>
      <c r="AGX100" s="1"/>
      <c r="AGY100" s="1"/>
      <c r="AGZ100" s="1"/>
      <c r="AHA100" s="1"/>
      <c r="AHB100" s="1"/>
      <c r="AHC100" s="1"/>
      <c r="AHD100" s="1"/>
      <c r="AHE100" s="1"/>
      <c r="AHF100" s="1"/>
      <c r="AHG100" s="1"/>
      <c r="AHH100" s="1"/>
      <c r="AHI100" s="1"/>
      <c r="AHJ100" s="1"/>
      <c r="AHK100" s="1"/>
      <c r="AHL100" s="1"/>
      <c r="AHM100" s="1"/>
      <c r="AHN100" s="1"/>
      <c r="AHO100" s="1"/>
      <c r="AHP100" s="1"/>
      <c r="AHQ100" s="1"/>
      <c r="AHR100" s="1"/>
      <c r="AHS100" s="1"/>
      <c r="AHT100" s="1"/>
      <c r="AHU100" s="1"/>
      <c r="AHV100" s="1"/>
      <c r="AHW100" s="1"/>
      <c r="AHX100" s="1"/>
      <c r="AHY100" s="1"/>
      <c r="AHZ100" s="1"/>
      <c r="AIA100" s="1"/>
      <c r="AIB100" s="1"/>
      <c r="AIC100" s="1"/>
      <c r="AID100" s="1"/>
      <c r="AIE100" s="1"/>
      <c r="AIF100" s="1"/>
      <c r="AIG100" s="1"/>
      <c r="AIH100" s="1"/>
      <c r="AII100" s="1"/>
      <c r="AIJ100" s="1"/>
      <c r="AIK100" s="1"/>
      <c r="AIL100" s="1"/>
      <c r="AIM100" s="1"/>
      <c r="AIN100" s="1"/>
      <c r="AIO100" s="1"/>
      <c r="AIP100" s="1"/>
      <c r="AIQ100" s="1"/>
      <c r="AIR100" s="1"/>
      <c r="AIS100" s="1"/>
      <c r="AIT100" s="1"/>
      <c r="AIU100" s="1"/>
      <c r="AIV100" s="1"/>
      <c r="AIW100" s="1"/>
      <c r="AIX100" s="1"/>
      <c r="AIY100" s="1"/>
      <c r="AIZ100" s="1"/>
      <c r="AJA100" s="1"/>
      <c r="AJB100" s="1"/>
      <c r="AJC100" s="1"/>
      <c r="AJD100" s="1"/>
      <c r="AJE100" s="1"/>
      <c r="AJF100" s="1"/>
      <c r="AJG100" s="1"/>
      <c r="AJH100" s="1"/>
      <c r="AJI100" s="1"/>
      <c r="AJJ100" s="1"/>
      <c r="AJK100" s="1"/>
      <c r="AJL100" s="1"/>
      <c r="AJM100" s="1"/>
      <c r="AJN100" s="1"/>
      <c r="AJO100" s="1"/>
      <c r="AJP100" s="1"/>
      <c r="AJQ100" s="1"/>
      <c r="AJR100" s="1"/>
      <c r="AJS100" s="1"/>
      <c r="AJT100" s="1"/>
      <c r="AJU100" s="1"/>
      <c r="AJV100" s="1"/>
      <c r="AJW100" s="1"/>
      <c r="AJX100" s="1"/>
      <c r="AJY100" s="1"/>
      <c r="AJZ100" s="1"/>
      <c r="AKA100" s="1"/>
      <c r="AKB100" s="1"/>
      <c r="AKC100" s="1"/>
      <c r="AKD100" s="1"/>
      <c r="AKE100" s="1"/>
      <c r="AKF100" s="1"/>
      <c r="AKG100" s="1"/>
      <c r="AKH100" s="1"/>
      <c r="AKI100" s="1"/>
      <c r="AKJ100" s="1"/>
      <c r="AKK100" s="1"/>
      <c r="AKL100" s="1"/>
      <c r="AKM100" s="1"/>
      <c r="AKN100" s="1"/>
      <c r="AKO100" s="1"/>
      <c r="AKP100" s="1"/>
      <c r="AKQ100" s="1"/>
      <c r="AKR100" s="1"/>
      <c r="AKS100" s="1"/>
      <c r="AKT100" s="1"/>
      <c r="AKU100" s="1"/>
      <c r="AKV100" s="1"/>
      <c r="AKW100" s="1"/>
      <c r="AKX100" s="1"/>
      <c r="AKY100" s="1"/>
      <c r="AKZ100" s="1"/>
      <c r="ALA100" s="1"/>
      <c r="ALB100" s="1"/>
      <c r="ALC100" s="1"/>
      <c r="ALD100" s="1"/>
      <c r="ALE100" s="1"/>
      <c r="ALF100" s="1"/>
      <c r="ALG100" s="1"/>
      <c r="ALH100" s="1"/>
      <c r="ALI100" s="1"/>
      <c r="ALJ100" s="1"/>
      <c r="ALK100" s="1"/>
      <c r="ALL100" s="1"/>
      <c r="ALM100" s="1"/>
      <c r="ALN100" s="1"/>
      <c r="ALO100" s="1"/>
      <c r="ALP100" s="1"/>
      <c r="ALQ100" s="1"/>
      <c r="ALR100" s="1"/>
      <c r="ALS100" s="1"/>
      <c r="ALT100" s="1"/>
      <c r="ALU100" s="1"/>
      <c r="ALV100" s="1"/>
      <c r="ALW100" s="1"/>
      <c r="ALX100" s="1"/>
      <c r="ALY100" s="1"/>
      <c r="ALZ100" s="1"/>
      <c r="AMA100" s="1"/>
      <c r="AMB100" s="1"/>
      <c r="AMC100" s="1"/>
      <c r="AMD100" s="1"/>
      <c r="AME100" s="1"/>
      <c r="AMF100" s="1"/>
      <c r="AMG100" s="1"/>
      <c r="AMH100" s="1"/>
      <c r="AMI100" s="1"/>
      <c r="AMJ100" s="1"/>
    </row>
    <row r="101" customFormat="false" ht="10.5" hidden="false" customHeight="true" outlineLevel="0" collapsed="false">
      <c r="A101" s="97" t="n">
        <v>1</v>
      </c>
      <c r="B101" s="138"/>
      <c r="C101" s="138"/>
      <c r="D101" s="138"/>
      <c r="E101" s="138"/>
      <c r="F101" s="138"/>
      <c r="G101" s="138"/>
      <c r="H101" s="138"/>
      <c r="I101" s="138"/>
      <c r="J101" s="19"/>
      <c r="K101" s="19"/>
      <c r="L101" s="19"/>
      <c r="M101" s="19"/>
      <c r="N101" s="19"/>
      <c r="O101" s="19"/>
      <c r="P101" s="19"/>
      <c r="Q101" s="19"/>
      <c r="R101" s="19"/>
      <c r="S101" s="19"/>
      <c r="T101" s="19"/>
      <c r="U101" s="19"/>
      <c r="V101" s="19"/>
      <c r="W101" s="139" t="n">
        <f aca="false">J101*S101</f>
        <v>0</v>
      </c>
      <c r="X101" s="139"/>
      <c r="Y101" s="139"/>
      <c r="Z101" s="139"/>
      <c r="AA101" s="139" t="n">
        <f aca="false">J101*P101</f>
        <v>0</v>
      </c>
      <c r="AB101" s="139"/>
      <c r="AC101" s="139"/>
      <c r="AD101" s="139"/>
      <c r="AE101" s="139" t="n">
        <f aca="false">M101*P101</f>
        <v>0</v>
      </c>
      <c r="AF101" s="139"/>
      <c r="AG101" s="139"/>
      <c r="AH101" s="140" t="n">
        <f aca="false">W101-AA101</f>
        <v>0</v>
      </c>
      <c r="AI101" s="140"/>
      <c r="AJ101" s="140"/>
      <c r="AK101" s="140"/>
      <c r="AL101" s="141" t="str">
        <f aca="false">IFERROR(AH101/$AH$114,"$-")</f>
        <v>$-</v>
      </c>
      <c r="AM101" s="141"/>
      <c r="AN101" s="141"/>
      <c r="AO101" s="14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c r="IY101" s="1"/>
      <c r="IZ101" s="1"/>
      <c r="JA101" s="1"/>
      <c r="JB101" s="1"/>
      <c r="JC101" s="1"/>
      <c r="JD101" s="1"/>
      <c r="JE101" s="1"/>
      <c r="JF101" s="1"/>
      <c r="JG101" s="1"/>
      <c r="JH101" s="1"/>
      <c r="JI101" s="1"/>
      <c r="JJ101" s="1"/>
      <c r="JK101" s="1"/>
      <c r="JL101" s="1"/>
      <c r="JM101" s="1"/>
      <c r="JN101" s="1"/>
      <c r="JO101" s="1"/>
      <c r="JP101" s="1"/>
      <c r="JQ101" s="1"/>
      <c r="JR101" s="1"/>
      <c r="JS101" s="1"/>
      <c r="JT101" s="1"/>
      <c r="JU101" s="1"/>
      <c r="JV101" s="1"/>
      <c r="JW101" s="1"/>
      <c r="JX101" s="1"/>
      <c r="JY101" s="1"/>
      <c r="JZ101" s="1"/>
      <c r="KA101" s="1"/>
      <c r="KB101" s="1"/>
      <c r="KC101" s="1"/>
      <c r="KD101" s="1"/>
      <c r="KE101" s="1"/>
      <c r="KF101" s="1"/>
      <c r="KG101" s="1"/>
      <c r="KH101" s="1"/>
      <c r="KI101" s="1"/>
      <c r="KJ101" s="1"/>
      <c r="KK101" s="1"/>
      <c r="KL101" s="1"/>
      <c r="KM101" s="1"/>
      <c r="KN101" s="1"/>
      <c r="KO101" s="1"/>
      <c r="KP101" s="1"/>
      <c r="KQ101" s="1"/>
      <c r="KR101" s="1"/>
      <c r="KS101" s="1"/>
      <c r="KT101" s="1"/>
      <c r="KU101" s="1"/>
      <c r="KV101" s="1"/>
      <c r="KW101" s="1"/>
      <c r="KX101" s="1"/>
      <c r="KY101" s="1"/>
      <c r="KZ101" s="1"/>
      <c r="LA101" s="1"/>
      <c r="LB101" s="1"/>
      <c r="LC101" s="1"/>
      <c r="LD101" s="1"/>
      <c r="LE101" s="1"/>
      <c r="LF101" s="1"/>
      <c r="LG101" s="1"/>
      <c r="LH101" s="1"/>
      <c r="LI101" s="1"/>
      <c r="LJ101" s="1"/>
      <c r="LK101" s="1"/>
      <c r="LL101" s="1"/>
      <c r="LM101" s="1"/>
      <c r="LN101" s="1"/>
      <c r="LO101" s="1"/>
      <c r="LP101" s="1"/>
      <c r="LQ101" s="1"/>
      <c r="LR101" s="1"/>
      <c r="LS101" s="1"/>
      <c r="LT101" s="1"/>
      <c r="LU101" s="1"/>
      <c r="LV101" s="1"/>
      <c r="LW101" s="1"/>
      <c r="LX101" s="1"/>
      <c r="LY101" s="1"/>
      <c r="LZ101" s="1"/>
      <c r="MA101" s="1"/>
      <c r="MB101" s="1"/>
      <c r="MC101" s="1"/>
      <c r="MD101" s="1"/>
      <c r="ME101" s="1"/>
      <c r="MF101" s="1"/>
      <c r="MG101" s="1"/>
      <c r="MH101" s="1"/>
      <c r="MI101" s="1"/>
      <c r="MJ101" s="1"/>
      <c r="MK101" s="1"/>
      <c r="ML101" s="1"/>
      <c r="MM101" s="1"/>
      <c r="MN101" s="1"/>
      <c r="MO101" s="1"/>
      <c r="MP101" s="1"/>
      <c r="MQ101" s="1"/>
      <c r="MR101" s="1"/>
      <c r="MS101" s="1"/>
      <c r="MT101" s="1"/>
      <c r="MU101" s="1"/>
      <c r="MV101" s="1"/>
      <c r="MW101" s="1"/>
      <c r="MX101" s="1"/>
      <c r="MY101" s="1"/>
      <c r="MZ101" s="1"/>
      <c r="NA101" s="1"/>
      <c r="NB101" s="1"/>
      <c r="NC101" s="1"/>
      <c r="ND101" s="1"/>
      <c r="NE101" s="1"/>
      <c r="NF101" s="1"/>
      <c r="NG101" s="1"/>
      <c r="NH101" s="1"/>
      <c r="NI101" s="1"/>
      <c r="NJ101" s="1"/>
      <c r="NK101" s="1"/>
      <c r="NL101" s="1"/>
      <c r="NM101" s="1"/>
      <c r="NN101" s="1"/>
      <c r="NO101" s="1"/>
      <c r="NP101" s="1"/>
      <c r="NQ101" s="1"/>
      <c r="NR101" s="1"/>
      <c r="NS101" s="1"/>
      <c r="NT101" s="1"/>
      <c r="NU101" s="1"/>
      <c r="NV101" s="1"/>
      <c r="NW101" s="1"/>
      <c r="NX101" s="1"/>
      <c r="NY101" s="1"/>
      <c r="NZ101" s="1"/>
      <c r="OA101" s="1"/>
      <c r="OB101" s="1"/>
      <c r="OC101" s="1"/>
      <c r="OD101" s="1"/>
      <c r="OE101" s="1"/>
      <c r="OF101" s="1"/>
      <c r="OG101" s="1"/>
      <c r="OH101" s="1"/>
      <c r="OI101" s="1"/>
      <c r="OJ101" s="1"/>
      <c r="OK101" s="1"/>
      <c r="OL101" s="1"/>
      <c r="OM101" s="1"/>
      <c r="ON101" s="1"/>
      <c r="OO101" s="1"/>
      <c r="OP101" s="1"/>
      <c r="OQ101" s="1"/>
      <c r="OR101" s="1"/>
      <c r="OS101" s="1"/>
      <c r="OT101" s="1"/>
      <c r="OU101" s="1"/>
      <c r="OV101" s="1"/>
      <c r="OW101" s="1"/>
      <c r="OX101" s="1"/>
      <c r="OY101" s="1"/>
      <c r="OZ101" s="1"/>
      <c r="PA101" s="1"/>
      <c r="PB101" s="1"/>
      <c r="PC101" s="1"/>
      <c r="PD101" s="1"/>
      <c r="PE101" s="1"/>
      <c r="PF101" s="1"/>
      <c r="PG101" s="1"/>
      <c r="PH101" s="1"/>
      <c r="PI101" s="1"/>
      <c r="PJ101" s="1"/>
      <c r="PK101" s="1"/>
      <c r="PL101" s="1"/>
      <c r="PM101" s="1"/>
      <c r="PN101" s="1"/>
      <c r="PO101" s="1"/>
      <c r="PP101" s="1"/>
      <c r="PQ101" s="1"/>
      <c r="PR101" s="1"/>
      <c r="PS101" s="1"/>
      <c r="PT101" s="1"/>
      <c r="PU101" s="1"/>
      <c r="PV101" s="1"/>
      <c r="PW101" s="1"/>
      <c r="PX101" s="1"/>
      <c r="PY101" s="1"/>
      <c r="PZ101" s="1"/>
      <c r="QA101" s="1"/>
      <c r="QB101" s="1"/>
      <c r="QC101" s="1"/>
      <c r="QD101" s="1"/>
      <c r="QE101" s="1"/>
      <c r="QF101" s="1"/>
      <c r="QG101" s="1"/>
      <c r="QH101" s="1"/>
      <c r="QI101" s="1"/>
      <c r="QJ101" s="1"/>
      <c r="QK101" s="1"/>
      <c r="QL101" s="1"/>
      <c r="QM101" s="1"/>
      <c r="QN101" s="1"/>
      <c r="QO101" s="1"/>
      <c r="QP101" s="1"/>
      <c r="QQ101" s="1"/>
      <c r="QR101" s="1"/>
      <c r="QS101" s="1"/>
      <c r="QT101" s="1"/>
      <c r="QU101" s="1"/>
      <c r="QV101" s="1"/>
      <c r="QW101" s="1"/>
      <c r="QX101" s="1"/>
      <c r="QY101" s="1"/>
      <c r="QZ101" s="1"/>
      <c r="RA101" s="1"/>
      <c r="RB101" s="1"/>
      <c r="RC101" s="1"/>
      <c r="RD101" s="1"/>
      <c r="RE101" s="1"/>
      <c r="RF101" s="1"/>
      <c r="RG101" s="1"/>
      <c r="RH101" s="1"/>
      <c r="RI101" s="1"/>
      <c r="RJ101" s="1"/>
      <c r="RK101" s="1"/>
      <c r="RL101" s="1"/>
      <c r="RM101" s="1"/>
      <c r="RN101" s="1"/>
      <c r="RO101" s="1"/>
      <c r="RP101" s="1"/>
      <c r="RQ101" s="1"/>
      <c r="RR101" s="1"/>
      <c r="RS101" s="1"/>
      <c r="RT101" s="1"/>
      <c r="RU101" s="1"/>
      <c r="RV101" s="1"/>
      <c r="RW101" s="1"/>
      <c r="RX101" s="1"/>
      <c r="RY101" s="1"/>
      <c r="RZ101" s="1"/>
      <c r="SA101" s="1"/>
      <c r="SB101" s="1"/>
      <c r="SC101" s="1"/>
      <c r="SD101" s="1"/>
      <c r="SE101" s="1"/>
      <c r="SF101" s="1"/>
      <c r="SG101" s="1"/>
      <c r="SH101" s="1"/>
      <c r="SI101" s="1"/>
      <c r="SJ101" s="1"/>
      <c r="SK101" s="1"/>
      <c r="SL101" s="1"/>
      <c r="SM101" s="1"/>
      <c r="SN101" s="1"/>
      <c r="SO101" s="1"/>
      <c r="SP101" s="1"/>
      <c r="SQ101" s="1"/>
      <c r="SR101" s="1"/>
      <c r="SS101" s="1"/>
      <c r="ST101" s="1"/>
      <c r="SU101" s="1"/>
      <c r="SV101" s="1"/>
      <c r="SW101" s="1"/>
      <c r="SX101" s="1"/>
      <c r="SY101" s="1"/>
      <c r="SZ101" s="1"/>
      <c r="TA101" s="1"/>
      <c r="TB101" s="1"/>
      <c r="TC101" s="1"/>
      <c r="TD101" s="1"/>
      <c r="TE101" s="1"/>
      <c r="TF101" s="1"/>
      <c r="TG101" s="1"/>
      <c r="TH101" s="1"/>
      <c r="TI101" s="1"/>
      <c r="TJ101" s="1"/>
      <c r="TK101" s="1"/>
      <c r="TL101" s="1"/>
      <c r="TM101" s="1"/>
      <c r="TN101" s="1"/>
      <c r="TO101" s="1"/>
      <c r="TP101" s="1"/>
      <c r="TQ101" s="1"/>
      <c r="TR101" s="1"/>
      <c r="TS101" s="1"/>
      <c r="TT101" s="1"/>
      <c r="TU101" s="1"/>
      <c r="TV101" s="1"/>
      <c r="TW101" s="1"/>
      <c r="TX101" s="1"/>
      <c r="TY101" s="1"/>
      <c r="TZ101" s="1"/>
      <c r="UA101" s="1"/>
      <c r="UB101" s="1"/>
      <c r="UC101" s="1"/>
      <c r="UD101" s="1"/>
      <c r="UE101" s="1"/>
      <c r="UF101" s="1"/>
      <c r="UG101" s="1"/>
      <c r="UH101" s="1"/>
      <c r="UI101" s="1"/>
      <c r="UJ101" s="1"/>
      <c r="UK101" s="1"/>
      <c r="UL101" s="1"/>
      <c r="UM101" s="1"/>
      <c r="UN101" s="1"/>
      <c r="UO101" s="1"/>
      <c r="UP101" s="1"/>
      <c r="UQ101" s="1"/>
      <c r="UR101" s="1"/>
      <c r="US101" s="1"/>
      <c r="UT101" s="1"/>
      <c r="UU101" s="1"/>
      <c r="UV101" s="1"/>
      <c r="UW101" s="1"/>
      <c r="UX101" s="1"/>
      <c r="UY101" s="1"/>
      <c r="UZ101" s="1"/>
      <c r="VA101" s="1"/>
      <c r="VB101" s="1"/>
      <c r="VC101" s="1"/>
      <c r="VD101" s="1"/>
      <c r="VE101" s="1"/>
      <c r="VF101" s="1"/>
      <c r="VG101" s="1"/>
      <c r="VH101" s="1"/>
      <c r="VI101" s="1"/>
      <c r="VJ101" s="1"/>
      <c r="VK101" s="1"/>
      <c r="VL101" s="1"/>
      <c r="VM101" s="1"/>
      <c r="VN101" s="1"/>
      <c r="VO101" s="1"/>
      <c r="VP101" s="1"/>
      <c r="VQ101" s="1"/>
      <c r="VR101" s="1"/>
      <c r="VS101" s="1"/>
      <c r="VT101" s="1"/>
      <c r="VU101" s="1"/>
      <c r="VV101" s="1"/>
      <c r="VW101" s="1"/>
      <c r="VX101" s="1"/>
      <c r="VY101" s="1"/>
      <c r="VZ101" s="1"/>
      <c r="WA101" s="1"/>
      <c r="WB101" s="1"/>
      <c r="WC101" s="1"/>
      <c r="WD101" s="1"/>
      <c r="WE101" s="1"/>
      <c r="WF101" s="1"/>
      <c r="WG101" s="1"/>
      <c r="WH101" s="1"/>
      <c r="WI101" s="1"/>
      <c r="WJ101" s="1"/>
      <c r="WK101" s="1"/>
      <c r="WL101" s="1"/>
      <c r="WM101" s="1"/>
      <c r="WN101" s="1"/>
      <c r="WO101" s="1"/>
      <c r="WP101" s="1"/>
      <c r="WQ101" s="1"/>
      <c r="WR101" s="1"/>
      <c r="WS101" s="1"/>
      <c r="WT101" s="1"/>
      <c r="WU101" s="1"/>
      <c r="WV101" s="1"/>
      <c r="WW101" s="1"/>
      <c r="WX101" s="1"/>
      <c r="WY101" s="1"/>
      <c r="WZ101" s="1"/>
      <c r="XA101" s="1"/>
      <c r="XB101" s="1"/>
      <c r="XC101" s="1"/>
      <c r="XD101" s="1"/>
      <c r="XE101" s="1"/>
      <c r="XF101" s="1"/>
      <c r="XG101" s="1"/>
      <c r="XH101" s="1"/>
      <c r="XI101" s="1"/>
      <c r="XJ101" s="1"/>
      <c r="XK101" s="1"/>
      <c r="XL101" s="1"/>
      <c r="XM101" s="1"/>
      <c r="XN101" s="1"/>
      <c r="XO101" s="1"/>
      <c r="XP101" s="1"/>
      <c r="XQ101" s="1"/>
      <c r="XR101" s="1"/>
      <c r="XS101" s="1"/>
      <c r="XT101" s="1"/>
      <c r="XU101" s="1"/>
      <c r="XV101" s="1"/>
      <c r="XW101" s="1"/>
      <c r="XX101" s="1"/>
      <c r="XY101" s="1"/>
      <c r="XZ101" s="1"/>
      <c r="YA101" s="1"/>
      <c r="YB101" s="1"/>
      <c r="YC101" s="1"/>
      <c r="YD101" s="1"/>
      <c r="YE101" s="1"/>
      <c r="YF101" s="1"/>
      <c r="YG101" s="1"/>
      <c r="YH101" s="1"/>
      <c r="YI101" s="1"/>
      <c r="YJ101" s="1"/>
      <c r="YK101" s="1"/>
      <c r="YL101" s="1"/>
      <c r="YM101" s="1"/>
      <c r="YN101" s="1"/>
      <c r="YO101" s="1"/>
      <c r="YP101" s="1"/>
      <c r="YQ101" s="1"/>
      <c r="YR101" s="1"/>
      <c r="YS101" s="1"/>
      <c r="YT101" s="1"/>
      <c r="YU101" s="1"/>
      <c r="YV101" s="1"/>
      <c r="YW101" s="1"/>
      <c r="YX101" s="1"/>
      <c r="YY101" s="1"/>
      <c r="YZ101" s="1"/>
      <c r="ZA101" s="1"/>
      <c r="ZB101" s="1"/>
      <c r="ZC101" s="1"/>
      <c r="ZD101" s="1"/>
      <c r="ZE101" s="1"/>
      <c r="ZF101" s="1"/>
      <c r="ZG101" s="1"/>
      <c r="ZH101" s="1"/>
      <c r="ZI101" s="1"/>
      <c r="ZJ101" s="1"/>
      <c r="ZK101" s="1"/>
      <c r="ZL101" s="1"/>
      <c r="ZM101" s="1"/>
      <c r="ZN101" s="1"/>
      <c r="ZO101" s="1"/>
      <c r="ZP101" s="1"/>
      <c r="ZQ101" s="1"/>
      <c r="ZR101" s="1"/>
      <c r="ZS101" s="1"/>
      <c r="ZT101" s="1"/>
      <c r="ZU101" s="1"/>
      <c r="ZV101" s="1"/>
      <c r="ZW101" s="1"/>
      <c r="ZX101" s="1"/>
      <c r="ZY101" s="1"/>
      <c r="ZZ101" s="1"/>
      <c r="AAA101" s="1"/>
      <c r="AAB101" s="1"/>
      <c r="AAC101" s="1"/>
      <c r="AAD101" s="1"/>
      <c r="AAE101" s="1"/>
      <c r="AAF101" s="1"/>
      <c r="AAG101" s="1"/>
      <c r="AAH101" s="1"/>
      <c r="AAI101" s="1"/>
      <c r="AAJ101" s="1"/>
      <c r="AAK101" s="1"/>
      <c r="AAL101" s="1"/>
      <c r="AAM101" s="1"/>
      <c r="AAN101" s="1"/>
      <c r="AAO101" s="1"/>
      <c r="AAP101" s="1"/>
      <c r="AAQ101" s="1"/>
      <c r="AAR101" s="1"/>
      <c r="AAS101" s="1"/>
      <c r="AAT101" s="1"/>
      <c r="AAU101" s="1"/>
      <c r="AAV101" s="1"/>
      <c r="AAW101" s="1"/>
      <c r="AAX101" s="1"/>
      <c r="AAY101" s="1"/>
      <c r="AAZ101" s="1"/>
      <c r="ABA101" s="1"/>
      <c r="ABB101" s="1"/>
      <c r="ABC101" s="1"/>
      <c r="ABD101" s="1"/>
      <c r="ABE101" s="1"/>
      <c r="ABF101" s="1"/>
      <c r="ABG101" s="1"/>
      <c r="ABH101" s="1"/>
      <c r="ABI101" s="1"/>
      <c r="ABJ101" s="1"/>
      <c r="ABK101" s="1"/>
      <c r="ABL101" s="1"/>
      <c r="ABM101" s="1"/>
      <c r="ABN101" s="1"/>
      <c r="ABO101" s="1"/>
      <c r="ABP101" s="1"/>
      <c r="ABQ101" s="1"/>
      <c r="ABR101" s="1"/>
      <c r="ABS101" s="1"/>
      <c r="ABT101" s="1"/>
      <c r="ABU101" s="1"/>
      <c r="ABV101" s="1"/>
      <c r="ABW101" s="1"/>
      <c r="ABX101" s="1"/>
      <c r="ABY101" s="1"/>
      <c r="ABZ101" s="1"/>
      <c r="ACA101" s="1"/>
      <c r="ACB101" s="1"/>
      <c r="ACC101" s="1"/>
      <c r="ACD101" s="1"/>
      <c r="ACE101" s="1"/>
      <c r="ACF101" s="1"/>
      <c r="ACG101" s="1"/>
      <c r="ACH101" s="1"/>
      <c r="ACI101" s="1"/>
      <c r="ACJ101" s="1"/>
      <c r="ACK101" s="1"/>
      <c r="ACL101" s="1"/>
      <c r="ACM101" s="1"/>
      <c r="ACN101" s="1"/>
      <c r="ACO101" s="1"/>
      <c r="ACP101" s="1"/>
      <c r="ACQ101" s="1"/>
      <c r="ACR101" s="1"/>
      <c r="ACS101" s="1"/>
      <c r="ACT101" s="1"/>
      <c r="ACU101" s="1"/>
      <c r="ACV101" s="1"/>
      <c r="ACW101" s="1"/>
      <c r="ACX101" s="1"/>
      <c r="ACY101" s="1"/>
      <c r="ACZ101" s="1"/>
      <c r="ADA101" s="1"/>
      <c r="ADB101" s="1"/>
      <c r="ADC101" s="1"/>
      <c r="ADD101" s="1"/>
      <c r="ADE101" s="1"/>
      <c r="ADF101" s="1"/>
      <c r="ADG101" s="1"/>
      <c r="ADH101" s="1"/>
      <c r="ADI101" s="1"/>
      <c r="ADJ101" s="1"/>
      <c r="ADK101" s="1"/>
      <c r="ADL101" s="1"/>
      <c r="ADM101" s="1"/>
      <c r="ADN101" s="1"/>
      <c r="ADO101" s="1"/>
      <c r="ADP101" s="1"/>
      <c r="ADQ101" s="1"/>
      <c r="ADR101" s="1"/>
      <c r="ADS101" s="1"/>
      <c r="ADT101" s="1"/>
      <c r="ADU101" s="1"/>
      <c r="ADV101" s="1"/>
      <c r="ADW101" s="1"/>
      <c r="ADX101" s="1"/>
      <c r="ADY101" s="1"/>
      <c r="ADZ101" s="1"/>
      <c r="AEA101" s="1"/>
      <c r="AEB101" s="1"/>
      <c r="AEC101" s="1"/>
      <c r="AED101" s="1"/>
      <c r="AEE101" s="1"/>
      <c r="AEF101" s="1"/>
      <c r="AEG101" s="1"/>
      <c r="AEH101" s="1"/>
      <c r="AEI101" s="1"/>
      <c r="AEJ101" s="1"/>
      <c r="AEK101" s="1"/>
      <c r="AEL101" s="1"/>
      <c r="AEM101" s="1"/>
      <c r="AEN101" s="1"/>
      <c r="AEO101" s="1"/>
      <c r="AEP101" s="1"/>
      <c r="AEQ101" s="1"/>
      <c r="AER101" s="1"/>
      <c r="AES101" s="1"/>
      <c r="AET101" s="1"/>
      <c r="AEU101" s="1"/>
      <c r="AEV101" s="1"/>
      <c r="AEW101" s="1"/>
      <c r="AEX101" s="1"/>
      <c r="AEY101" s="1"/>
      <c r="AEZ101" s="1"/>
      <c r="AFA101" s="1"/>
      <c r="AFB101" s="1"/>
      <c r="AFC101" s="1"/>
      <c r="AFD101" s="1"/>
      <c r="AFE101" s="1"/>
      <c r="AFF101" s="1"/>
      <c r="AFG101" s="1"/>
      <c r="AFH101" s="1"/>
      <c r="AFI101" s="1"/>
      <c r="AFJ101" s="1"/>
      <c r="AFK101" s="1"/>
      <c r="AFL101" s="1"/>
      <c r="AFM101" s="1"/>
      <c r="AFN101" s="1"/>
      <c r="AFO101" s="1"/>
      <c r="AFP101" s="1"/>
      <c r="AFQ101" s="1"/>
      <c r="AFR101" s="1"/>
      <c r="AFS101" s="1"/>
      <c r="AFT101" s="1"/>
      <c r="AFU101" s="1"/>
      <c r="AFV101" s="1"/>
      <c r="AFW101" s="1"/>
      <c r="AFX101" s="1"/>
      <c r="AFY101" s="1"/>
      <c r="AFZ101" s="1"/>
      <c r="AGA101" s="1"/>
      <c r="AGB101" s="1"/>
      <c r="AGC101" s="1"/>
      <c r="AGD101" s="1"/>
      <c r="AGE101" s="1"/>
      <c r="AGF101" s="1"/>
      <c r="AGG101" s="1"/>
      <c r="AGH101" s="1"/>
      <c r="AGI101" s="1"/>
      <c r="AGJ101" s="1"/>
      <c r="AGK101" s="1"/>
      <c r="AGL101" s="1"/>
      <c r="AGM101" s="1"/>
      <c r="AGN101" s="1"/>
      <c r="AGO101" s="1"/>
      <c r="AGP101" s="1"/>
      <c r="AGQ101" s="1"/>
      <c r="AGR101" s="1"/>
      <c r="AGS101" s="1"/>
      <c r="AGT101" s="1"/>
      <c r="AGU101" s="1"/>
      <c r="AGV101" s="1"/>
      <c r="AGW101" s="1"/>
      <c r="AGX101" s="1"/>
      <c r="AGY101" s="1"/>
      <c r="AGZ101" s="1"/>
      <c r="AHA101" s="1"/>
      <c r="AHB101" s="1"/>
      <c r="AHC101" s="1"/>
      <c r="AHD101" s="1"/>
      <c r="AHE101" s="1"/>
      <c r="AHF101" s="1"/>
      <c r="AHG101" s="1"/>
      <c r="AHH101" s="1"/>
      <c r="AHI101" s="1"/>
      <c r="AHJ101" s="1"/>
      <c r="AHK101" s="1"/>
      <c r="AHL101" s="1"/>
      <c r="AHM101" s="1"/>
      <c r="AHN101" s="1"/>
      <c r="AHO101" s="1"/>
      <c r="AHP101" s="1"/>
      <c r="AHQ101" s="1"/>
      <c r="AHR101" s="1"/>
      <c r="AHS101" s="1"/>
      <c r="AHT101" s="1"/>
      <c r="AHU101" s="1"/>
      <c r="AHV101" s="1"/>
      <c r="AHW101" s="1"/>
      <c r="AHX101" s="1"/>
      <c r="AHY101" s="1"/>
      <c r="AHZ101" s="1"/>
      <c r="AIA101" s="1"/>
      <c r="AIB101" s="1"/>
      <c r="AIC101" s="1"/>
      <c r="AID101" s="1"/>
      <c r="AIE101" s="1"/>
      <c r="AIF101" s="1"/>
      <c r="AIG101" s="1"/>
      <c r="AIH101" s="1"/>
      <c r="AII101" s="1"/>
      <c r="AIJ101" s="1"/>
      <c r="AIK101" s="1"/>
      <c r="AIL101" s="1"/>
      <c r="AIM101" s="1"/>
      <c r="AIN101" s="1"/>
      <c r="AIO101" s="1"/>
      <c r="AIP101" s="1"/>
      <c r="AIQ101" s="1"/>
      <c r="AIR101" s="1"/>
      <c r="AIS101" s="1"/>
      <c r="AIT101" s="1"/>
      <c r="AIU101" s="1"/>
      <c r="AIV101" s="1"/>
      <c r="AIW101" s="1"/>
      <c r="AIX101" s="1"/>
      <c r="AIY101" s="1"/>
      <c r="AIZ101" s="1"/>
      <c r="AJA101" s="1"/>
      <c r="AJB101" s="1"/>
      <c r="AJC101" s="1"/>
      <c r="AJD101" s="1"/>
      <c r="AJE101" s="1"/>
      <c r="AJF101" s="1"/>
      <c r="AJG101" s="1"/>
      <c r="AJH101" s="1"/>
      <c r="AJI101" s="1"/>
      <c r="AJJ101" s="1"/>
      <c r="AJK101" s="1"/>
      <c r="AJL101" s="1"/>
      <c r="AJM101" s="1"/>
      <c r="AJN101" s="1"/>
      <c r="AJO101" s="1"/>
      <c r="AJP101" s="1"/>
      <c r="AJQ101" s="1"/>
      <c r="AJR101" s="1"/>
      <c r="AJS101" s="1"/>
      <c r="AJT101" s="1"/>
      <c r="AJU101" s="1"/>
      <c r="AJV101" s="1"/>
      <c r="AJW101" s="1"/>
      <c r="AJX101" s="1"/>
      <c r="AJY101" s="1"/>
      <c r="AJZ101" s="1"/>
      <c r="AKA101" s="1"/>
      <c r="AKB101" s="1"/>
      <c r="AKC101" s="1"/>
      <c r="AKD101" s="1"/>
      <c r="AKE101" s="1"/>
      <c r="AKF101" s="1"/>
      <c r="AKG101" s="1"/>
      <c r="AKH101" s="1"/>
      <c r="AKI101" s="1"/>
      <c r="AKJ101" s="1"/>
      <c r="AKK101" s="1"/>
      <c r="AKL101" s="1"/>
      <c r="AKM101" s="1"/>
      <c r="AKN101" s="1"/>
      <c r="AKO101" s="1"/>
      <c r="AKP101" s="1"/>
      <c r="AKQ101" s="1"/>
      <c r="AKR101" s="1"/>
      <c r="AKS101" s="1"/>
      <c r="AKT101" s="1"/>
      <c r="AKU101" s="1"/>
      <c r="AKV101" s="1"/>
      <c r="AKW101" s="1"/>
      <c r="AKX101" s="1"/>
      <c r="AKY101" s="1"/>
      <c r="AKZ101" s="1"/>
      <c r="ALA101" s="1"/>
      <c r="ALB101" s="1"/>
      <c r="ALC101" s="1"/>
      <c r="ALD101" s="1"/>
      <c r="ALE101" s="1"/>
      <c r="ALF101" s="1"/>
      <c r="ALG101" s="1"/>
      <c r="ALH101" s="1"/>
      <c r="ALI101" s="1"/>
      <c r="ALJ101" s="1"/>
      <c r="ALK101" s="1"/>
      <c r="ALL101" s="1"/>
      <c r="ALM101" s="1"/>
      <c r="ALN101" s="1"/>
      <c r="ALO101" s="1"/>
      <c r="ALP101" s="1"/>
      <c r="ALQ101" s="1"/>
      <c r="ALR101" s="1"/>
      <c r="ALS101" s="1"/>
      <c r="ALT101" s="1"/>
      <c r="ALU101" s="1"/>
      <c r="ALV101" s="1"/>
      <c r="ALW101" s="1"/>
      <c r="ALX101" s="1"/>
      <c r="ALY101" s="1"/>
      <c r="ALZ101" s="1"/>
      <c r="AMA101" s="1"/>
      <c r="AMB101" s="1"/>
      <c r="AMC101" s="1"/>
      <c r="AMD101" s="1"/>
      <c r="AME101" s="1"/>
      <c r="AMF101" s="1"/>
      <c r="AMG101" s="1"/>
      <c r="AMH101" s="1"/>
      <c r="AMI101" s="1"/>
      <c r="AMJ101" s="1"/>
    </row>
    <row r="102" customFormat="false" ht="10.5" hidden="false" customHeight="true" outlineLevel="0" collapsed="false">
      <c r="A102" s="97" t="n">
        <v>2</v>
      </c>
      <c r="B102" s="138"/>
      <c r="C102" s="138"/>
      <c r="D102" s="138"/>
      <c r="E102" s="138"/>
      <c r="F102" s="138"/>
      <c r="G102" s="138"/>
      <c r="H102" s="138"/>
      <c r="I102" s="138"/>
      <c r="J102" s="19"/>
      <c r="K102" s="19"/>
      <c r="L102" s="19"/>
      <c r="M102" s="19"/>
      <c r="N102" s="19"/>
      <c r="O102" s="19"/>
      <c r="P102" s="19"/>
      <c r="Q102" s="19"/>
      <c r="R102" s="19"/>
      <c r="S102" s="19"/>
      <c r="T102" s="19"/>
      <c r="U102" s="19"/>
      <c r="V102" s="19"/>
      <c r="W102" s="139" t="n">
        <f aca="false">J102*S102</f>
        <v>0</v>
      </c>
      <c r="X102" s="139"/>
      <c r="Y102" s="139"/>
      <c r="Z102" s="139"/>
      <c r="AA102" s="139" t="n">
        <f aca="false">J102*P102</f>
        <v>0</v>
      </c>
      <c r="AB102" s="139"/>
      <c r="AC102" s="139"/>
      <c r="AD102" s="139"/>
      <c r="AE102" s="139" t="n">
        <f aca="false">M102*P102</f>
        <v>0</v>
      </c>
      <c r="AF102" s="139"/>
      <c r="AG102" s="139"/>
      <c r="AH102" s="140" t="n">
        <f aca="false">W102-AA102</f>
        <v>0</v>
      </c>
      <c r="AI102" s="140"/>
      <c r="AJ102" s="140"/>
      <c r="AK102" s="140"/>
      <c r="AL102" s="141" t="str">
        <f aca="false">IFERROR(AH102/$AH$114,"$-")</f>
        <v>$-</v>
      </c>
      <c r="AM102" s="141"/>
      <c r="AN102" s="141"/>
      <c r="AO102" s="14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c r="IY102" s="1"/>
      <c r="IZ102" s="1"/>
      <c r="JA102" s="1"/>
      <c r="JB102" s="1"/>
      <c r="JC102" s="1"/>
      <c r="JD102" s="1"/>
      <c r="JE102" s="1"/>
      <c r="JF102" s="1"/>
      <c r="JG102" s="1"/>
      <c r="JH102" s="1"/>
      <c r="JI102" s="1"/>
      <c r="JJ102" s="1"/>
      <c r="JK102" s="1"/>
      <c r="JL102" s="1"/>
      <c r="JM102" s="1"/>
      <c r="JN102" s="1"/>
      <c r="JO102" s="1"/>
      <c r="JP102" s="1"/>
      <c r="JQ102" s="1"/>
      <c r="JR102" s="1"/>
      <c r="JS102" s="1"/>
      <c r="JT102" s="1"/>
      <c r="JU102" s="1"/>
      <c r="JV102" s="1"/>
      <c r="JW102" s="1"/>
      <c r="JX102" s="1"/>
      <c r="JY102" s="1"/>
      <c r="JZ102" s="1"/>
      <c r="KA102" s="1"/>
      <c r="KB102" s="1"/>
      <c r="KC102" s="1"/>
      <c r="KD102" s="1"/>
      <c r="KE102" s="1"/>
      <c r="KF102" s="1"/>
      <c r="KG102" s="1"/>
      <c r="KH102" s="1"/>
      <c r="KI102" s="1"/>
      <c r="KJ102" s="1"/>
      <c r="KK102" s="1"/>
      <c r="KL102" s="1"/>
      <c r="KM102" s="1"/>
      <c r="KN102" s="1"/>
      <c r="KO102" s="1"/>
      <c r="KP102" s="1"/>
      <c r="KQ102" s="1"/>
      <c r="KR102" s="1"/>
      <c r="KS102" s="1"/>
      <c r="KT102" s="1"/>
      <c r="KU102" s="1"/>
      <c r="KV102" s="1"/>
      <c r="KW102" s="1"/>
      <c r="KX102" s="1"/>
      <c r="KY102" s="1"/>
      <c r="KZ102" s="1"/>
      <c r="LA102" s="1"/>
      <c r="LB102" s="1"/>
      <c r="LC102" s="1"/>
      <c r="LD102" s="1"/>
      <c r="LE102" s="1"/>
      <c r="LF102" s="1"/>
      <c r="LG102" s="1"/>
      <c r="LH102" s="1"/>
      <c r="LI102" s="1"/>
      <c r="LJ102" s="1"/>
      <c r="LK102" s="1"/>
      <c r="LL102" s="1"/>
      <c r="LM102" s="1"/>
      <c r="LN102" s="1"/>
      <c r="LO102" s="1"/>
      <c r="LP102" s="1"/>
      <c r="LQ102" s="1"/>
      <c r="LR102" s="1"/>
      <c r="LS102" s="1"/>
      <c r="LT102" s="1"/>
      <c r="LU102" s="1"/>
      <c r="LV102" s="1"/>
      <c r="LW102" s="1"/>
      <c r="LX102" s="1"/>
      <c r="LY102" s="1"/>
      <c r="LZ102" s="1"/>
      <c r="MA102" s="1"/>
      <c r="MB102" s="1"/>
      <c r="MC102" s="1"/>
      <c r="MD102" s="1"/>
      <c r="ME102" s="1"/>
      <c r="MF102" s="1"/>
      <c r="MG102" s="1"/>
      <c r="MH102" s="1"/>
      <c r="MI102" s="1"/>
      <c r="MJ102" s="1"/>
      <c r="MK102" s="1"/>
      <c r="ML102" s="1"/>
      <c r="MM102" s="1"/>
      <c r="MN102" s="1"/>
      <c r="MO102" s="1"/>
      <c r="MP102" s="1"/>
      <c r="MQ102" s="1"/>
      <c r="MR102" s="1"/>
      <c r="MS102" s="1"/>
      <c r="MT102" s="1"/>
      <c r="MU102" s="1"/>
      <c r="MV102" s="1"/>
      <c r="MW102" s="1"/>
      <c r="MX102" s="1"/>
      <c r="MY102" s="1"/>
      <c r="MZ102" s="1"/>
      <c r="NA102" s="1"/>
      <c r="NB102" s="1"/>
      <c r="NC102" s="1"/>
      <c r="ND102" s="1"/>
      <c r="NE102" s="1"/>
      <c r="NF102" s="1"/>
      <c r="NG102" s="1"/>
      <c r="NH102" s="1"/>
      <c r="NI102" s="1"/>
      <c r="NJ102" s="1"/>
      <c r="NK102" s="1"/>
      <c r="NL102" s="1"/>
      <c r="NM102" s="1"/>
      <c r="NN102" s="1"/>
      <c r="NO102" s="1"/>
      <c r="NP102" s="1"/>
      <c r="NQ102" s="1"/>
      <c r="NR102" s="1"/>
      <c r="NS102" s="1"/>
      <c r="NT102" s="1"/>
      <c r="NU102" s="1"/>
      <c r="NV102" s="1"/>
      <c r="NW102" s="1"/>
      <c r="NX102" s="1"/>
      <c r="NY102" s="1"/>
      <c r="NZ102" s="1"/>
      <c r="OA102" s="1"/>
      <c r="OB102" s="1"/>
      <c r="OC102" s="1"/>
      <c r="OD102" s="1"/>
      <c r="OE102" s="1"/>
      <c r="OF102" s="1"/>
      <c r="OG102" s="1"/>
      <c r="OH102" s="1"/>
      <c r="OI102" s="1"/>
      <c r="OJ102" s="1"/>
      <c r="OK102" s="1"/>
      <c r="OL102" s="1"/>
      <c r="OM102" s="1"/>
      <c r="ON102" s="1"/>
      <c r="OO102" s="1"/>
      <c r="OP102" s="1"/>
      <c r="OQ102" s="1"/>
      <c r="OR102" s="1"/>
      <c r="OS102" s="1"/>
      <c r="OT102" s="1"/>
      <c r="OU102" s="1"/>
      <c r="OV102" s="1"/>
      <c r="OW102" s="1"/>
      <c r="OX102" s="1"/>
      <c r="OY102" s="1"/>
      <c r="OZ102" s="1"/>
      <c r="PA102" s="1"/>
      <c r="PB102" s="1"/>
      <c r="PC102" s="1"/>
      <c r="PD102" s="1"/>
      <c r="PE102" s="1"/>
      <c r="PF102" s="1"/>
      <c r="PG102" s="1"/>
      <c r="PH102" s="1"/>
      <c r="PI102" s="1"/>
      <c r="PJ102" s="1"/>
      <c r="PK102" s="1"/>
      <c r="PL102" s="1"/>
      <c r="PM102" s="1"/>
      <c r="PN102" s="1"/>
      <c r="PO102" s="1"/>
      <c r="PP102" s="1"/>
      <c r="PQ102" s="1"/>
      <c r="PR102" s="1"/>
      <c r="PS102" s="1"/>
      <c r="PT102" s="1"/>
      <c r="PU102" s="1"/>
      <c r="PV102" s="1"/>
      <c r="PW102" s="1"/>
      <c r="PX102" s="1"/>
      <c r="PY102" s="1"/>
      <c r="PZ102" s="1"/>
      <c r="QA102" s="1"/>
      <c r="QB102" s="1"/>
      <c r="QC102" s="1"/>
      <c r="QD102" s="1"/>
      <c r="QE102" s="1"/>
      <c r="QF102" s="1"/>
      <c r="QG102" s="1"/>
      <c r="QH102" s="1"/>
      <c r="QI102" s="1"/>
      <c r="QJ102" s="1"/>
      <c r="QK102" s="1"/>
      <c r="QL102" s="1"/>
      <c r="QM102" s="1"/>
      <c r="QN102" s="1"/>
      <c r="QO102" s="1"/>
      <c r="QP102" s="1"/>
      <c r="QQ102" s="1"/>
      <c r="QR102" s="1"/>
      <c r="QS102" s="1"/>
      <c r="QT102" s="1"/>
      <c r="QU102" s="1"/>
      <c r="QV102" s="1"/>
      <c r="QW102" s="1"/>
      <c r="QX102" s="1"/>
      <c r="QY102" s="1"/>
      <c r="QZ102" s="1"/>
      <c r="RA102" s="1"/>
      <c r="RB102" s="1"/>
      <c r="RC102" s="1"/>
      <c r="RD102" s="1"/>
      <c r="RE102" s="1"/>
      <c r="RF102" s="1"/>
      <c r="RG102" s="1"/>
      <c r="RH102" s="1"/>
      <c r="RI102" s="1"/>
      <c r="RJ102" s="1"/>
      <c r="RK102" s="1"/>
      <c r="RL102" s="1"/>
      <c r="RM102" s="1"/>
      <c r="RN102" s="1"/>
      <c r="RO102" s="1"/>
      <c r="RP102" s="1"/>
      <c r="RQ102" s="1"/>
      <c r="RR102" s="1"/>
      <c r="RS102" s="1"/>
      <c r="RT102" s="1"/>
      <c r="RU102" s="1"/>
      <c r="RV102" s="1"/>
      <c r="RW102" s="1"/>
      <c r="RX102" s="1"/>
      <c r="RY102" s="1"/>
      <c r="RZ102" s="1"/>
      <c r="SA102" s="1"/>
      <c r="SB102" s="1"/>
      <c r="SC102" s="1"/>
      <c r="SD102" s="1"/>
      <c r="SE102" s="1"/>
      <c r="SF102" s="1"/>
      <c r="SG102" s="1"/>
      <c r="SH102" s="1"/>
      <c r="SI102" s="1"/>
      <c r="SJ102" s="1"/>
      <c r="SK102" s="1"/>
      <c r="SL102" s="1"/>
      <c r="SM102" s="1"/>
      <c r="SN102" s="1"/>
      <c r="SO102" s="1"/>
      <c r="SP102" s="1"/>
      <c r="SQ102" s="1"/>
      <c r="SR102" s="1"/>
      <c r="SS102" s="1"/>
      <c r="ST102" s="1"/>
      <c r="SU102" s="1"/>
      <c r="SV102" s="1"/>
      <c r="SW102" s="1"/>
      <c r="SX102" s="1"/>
      <c r="SY102" s="1"/>
      <c r="SZ102" s="1"/>
      <c r="TA102" s="1"/>
      <c r="TB102" s="1"/>
      <c r="TC102" s="1"/>
      <c r="TD102" s="1"/>
      <c r="TE102" s="1"/>
      <c r="TF102" s="1"/>
      <c r="TG102" s="1"/>
      <c r="TH102" s="1"/>
      <c r="TI102" s="1"/>
      <c r="TJ102" s="1"/>
      <c r="TK102" s="1"/>
      <c r="TL102" s="1"/>
      <c r="TM102" s="1"/>
      <c r="TN102" s="1"/>
      <c r="TO102" s="1"/>
      <c r="TP102" s="1"/>
      <c r="TQ102" s="1"/>
      <c r="TR102" s="1"/>
      <c r="TS102" s="1"/>
      <c r="TT102" s="1"/>
      <c r="TU102" s="1"/>
      <c r="TV102" s="1"/>
      <c r="TW102" s="1"/>
      <c r="TX102" s="1"/>
      <c r="TY102" s="1"/>
      <c r="TZ102" s="1"/>
      <c r="UA102" s="1"/>
      <c r="UB102" s="1"/>
      <c r="UC102" s="1"/>
      <c r="UD102" s="1"/>
      <c r="UE102" s="1"/>
      <c r="UF102" s="1"/>
      <c r="UG102" s="1"/>
      <c r="UH102" s="1"/>
      <c r="UI102" s="1"/>
      <c r="UJ102" s="1"/>
      <c r="UK102" s="1"/>
      <c r="UL102" s="1"/>
      <c r="UM102" s="1"/>
      <c r="UN102" s="1"/>
      <c r="UO102" s="1"/>
      <c r="UP102" s="1"/>
      <c r="UQ102" s="1"/>
      <c r="UR102" s="1"/>
      <c r="US102" s="1"/>
      <c r="UT102" s="1"/>
      <c r="UU102" s="1"/>
      <c r="UV102" s="1"/>
      <c r="UW102" s="1"/>
      <c r="UX102" s="1"/>
      <c r="UY102" s="1"/>
      <c r="UZ102" s="1"/>
      <c r="VA102" s="1"/>
      <c r="VB102" s="1"/>
      <c r="VC102" s="1"/>
      <c r="VD102" s="1"/>
      <c r="VE102" s="1"/>
      <c r="VF102" s="1"/>
      <c r="VG102" s="1"/>
      <c r="VH102" s="1"/>
      <c r="VI102" s="1"/>
      <c r="VJ102" s="1"/>
      <c r="VK102" s="1"/>
      <c r="VL102" s="1"/>
      <c r="VM102" s="1"/>
      <c r="VN102" s="1"/>
      <c r="VO102" s="1"/>
      <c r="VP102" s="1"/>
      <c r="VQ102" s="1"/>
      <c r="VR102" s="1"/>
      <c r="VS102" s="1"/>
      <c r="VT102" s="1"/>
      <c r="VU102" s="1"/>
      <c r="VV102" s="1"/>
      <c r="VW102" s="1"/>
      <c r="VX102" s="1"/>
      <c r="VY102" s="1"/>
      <c r="VZ102" s="1"/>
      <c r="WA102" s="1"/>
      <c r="WB102" s="1"/>
      <c r="WC102" s="1"/>
      <c r="WD102" s="1"/>
      <c r="WE102" s="1"/>
      <c r="WF102" s="1"/>
      <c r="WG102" s="1"/>
      <c r="WH102" s="1"/>
      <c r="WI102" s="1"/>
      <c r="WJ102" s="1"/>
      <c r="WK102" s="1"/>
      <c r="WL102" s="1"/>
      <c r="WM102" s="1"/>
      <c r="WN102" s="1"/>
      <c r="WO102" s="1"/>
      <c r="WP102" s="1"/>
      <c r="WQ102" s="1"/>
      <c r="WR102" s="1"/>
      <c r="WS102" s="1"/>
      <c r="WT102" s="1"/>
      <c r="WU102" s="1"/>
      <c r="WV102" s="1"/>
      <c r="WW102" s="1"/>
      <c r="WX102" s="1"/>
      <c r="WY102" s="1"/>
      <c r="WZ102" s="1"/>
      <c r="XA102" s="1"/>
      <c r="XB102" s="1"/>
      <c r="XC102" s="1"/>
      <c r="XD102" s="1"/>
      <c r="XE102" s="1"/>
      <c r="XF102" s="1"/>
      <c r="XG102" s="1"/>
      <c r="XH102" s="1"/>
      <c r="XI102" s="1"/>
      <c r="XJ102" s="1"/>
      <c r="XK102" s="1"/>
      <c r="XL102" s="1"/>
      <c r="XM102" s="1"/>
      <c r="XN102" s="1"/>
      <c r="XO102" s="1"/>
      <c r="XP102" s="1"/>
      <c r="XQ102" s="1"/>
      <c r="XR102" s="1"/>
      <c r="XS102" s="1"/>
      <c r="XT102" s="1"/>
      <c r="XU102" s="1"/>
      <c r="XV102" s="1"/>
      <c r="XW102" s="1"/>
      <c r="XX102" s="1"/>
      <c r="XY102" s="1"/>
      <c r="XZ102" s="1"/>
      <c r="YA102" s="1"/>
      <c r="YB102" s="1"/>
      <c r="YC102" s="1"/>
      <c r="YD102" s="1"/>
      <c r="YE102" s="1"/>
      <c r="YF102" s="1"/>
      <c r="YG102" s="1"/>
      <c r="YH102" s="1"/>
      <c r="YI102" s="1"/>
      <c r="YJ102" s="1"/>
      <c r="YK102" s="1"/>
      <c r="YL102" s="1"/>
      <c r="YM102" s="1"/>
      <c r="YN102" s="1"/>
      <c r="YO102" s="1"/>
      <c r="YP102" s="1"/>
      <c r="YQ102" s="1"/>
      <c r="YR102" s="1"/>
      <c r="YS102" s="1"/>
      <c r="YT102" s="1"/>
      <c r="YU102" s="1"/>
      <c r="YV102" s="1"/>
      <c r="YW102" s="1"/>
      <c r="YX102" s="1"/>
      <c r="YY102" s="1"/>
      <c r="YZ102" s="1"/>
      <c r="ZA102" s="1"/>
      <c r="ZB102" s="1"/>
      <c r="ZC102" s="1"/>
      <c r="ZD102" s="1"/>
      <c r="ZE102" s="1"/>
      <c r="ZF102" s="1"/>
      <c r="ZG102" s="1"/>
      <c r="ZH102" s="1"/>
      <c r="ZI102" s="1"/>
      <c r="ZJ102" s="1"/>
      <c r="ZK102" s="1"/>
      <c r="ZL102" s="1"/>
      <c r="ZM102" s="1"/>
      <c r="ZN102" s="1"/>
      <c r="ZO102" s="1"/>
      <c r="ZP102" s="1"/>
      <c r="ZQ102" s="1"/>
      <c r="ZR102" s="1"/>
      <c r="ZS102" s="1"/>
      <c r="ZT102" s="1"/>
      <c r="ZU102" s="1"/>
      <c r="ZV102" s="1"/>
      <c r="ZW102" s="1"/>
      <c r="ZX102" s="1"/>
      <c r="ZY102" s="1"/>
      <c r="ZZ102" s="1"/>
      <c r="AAA102" s="1"/>
      <c r="AAB102" s="1"/>
      <c r="AAC102" s="1"/>
      <c r="AAD102" s="1"/>
      <c r="AAE102" s="1"/>
      <c r="AAF102" s="1"/>
      <c r="AAG102" s="1"/>
      <c r="AAH102" s="1"/>
      <c r="AAI102" s="1"/>
      <c r="AAJ102" s="1"/>
      <c r="AAK102" s="1"/>
      <c r="AAL102" s="1"/>
      <c r="AAM102" s="1"/>
      <c r="AAN102" s="1"/>
      <c r="AAO102" s="1"/>
      <c r="AAP102" s="1"/>
      <c r="AAQ102" s="1"/>
      <c r="AAR102" s="1"/>
      <c r="AAS102" s="1"/>
      <c r="AAT102" s="1"/>
      <c r="AAU102" s="1"/>
      <c r="AAV102" s="1"/>
      <c r="AAW102" s="1"/>
      <c r="AAX102" s="1"/>
      <c r="AAY102" s="1"/>
      <c r="AAZ102" s="1"/>
      <c r="ABA102" s="1"/>
      <c r="ABB102" s="1"/>
      <c r="ABC102" s="1"/>
      <c r="ABD102" s="1"/>
      <c r="ABE102" s="1"/>
      <c r="ABF102" s="1"/>
      <c r="ABG102" s="1"/>
      <c r="ABH102" s="1"/>
      <c r="ABI102" s="1"/>
      <c r="ABJ102" s="1"/>
      <c r="ABK102" s="1"/>
      <c r="ABL102" s="1"/>
      <c r="ABM102" s="1"/>
      <c r="ABN102" s="1"/>
      <c r="ABO102" s="1"/>
      <c r="ABP102" s="1"/>
      <c r="ABQ102" s="1"/>
      <c r="ABR102" s="1"/>
      <c r="ABS102" s="1"/>
      <c r="ABT102" s="1"/>
      <c r="ABU102" s="1"/>
      <c r="ABV102" s="1"/>
      <c r="ABW102" s="1"/>
      <c r="ABX102" s="1"/>
      <c r="ABY102" s="1"/>
      <c r="ABZ102" s="1"/>
      <c r="ACA102" s="1"/>
      <c r="ACB102" s="1"/>
      <c r="ACC102" s="1"/>
      <c r="ACD102" s="1"/>
      <c r="ACE102" s="1"/>
      <c r="ACF102" s="1"/>
      <c r="ACG102" s="1"/>
      <c r="ACH102" s="1"/>
      <c r="ACI102" s="1"/>
      <c r="ACJ102" s="1"/>
      <c r="ACK102" s="1"/>
      <c r="ACL102" s="1"/>
      <c r="ACM102" s="1"/>
      <c r="ACN102" s="1"/>
      <c r="ACO102" s="1"/>
      <c r="ACP102" s="1"/>
      <c r="ACQ102" s="1"/>
      <c r="ACR102" s="1"/>
      <c r="ACS102" s="1"/>
      <c r="ACT102" s="1"/>
      <c r="ACU102" s="1"/>
      <c r="ACV102" s="1"/>
      <c r="ACW102" s="1"/>
      <c r="ACX102" s="1"/>
      <c r="ACY102" s="1"/>
      <c r="ACZ102" s="1"/>
      <c r="ADA102" s="1"/>
      <c r="ADB102" s="1"/>
      <c r="ADC102" s="1"/>
      <c r="ADD102" s="1"/>
      <c r="ADE102" s="1"/>
      <c r="ADF102" s="1"/>
      <c r="ADG102" s="1"/>
      <c r="ADH102" s="1"/>
      <c r="ADI102" s="1"/>
      <c r="ADJ102" s="1"/>
      <c r="ADK102" s="1"/>
      <c r="ADL102" s="1"/>
      <c r="ADM102" s="1"/>
      <c r="ADN102" s="1"/>
      <c r="ADO102" s="1"/>
      <c r="ADP102" s="1"/>
      <c r="ADQ102" s="1"/>
      <c r="ADR102" s="1"/>
      <c r="ADS102" s="1"/>
      <c r="ADT102" s="1"/>
      <c r="ADU102" s="1"/>
      <c r="ADV102" s="1"/>
      <c r="ADW102" s="1"/>
      <c r="ADX102" s="1"/>
      <c r="ADY102" s="1"/>
      <c r="ADZ102" s="1"/>
      <c r="AEA102" s="1"/>
      <c r="AEB102" s="1"/>
      <c r="AEC102" s="1"/>
      <c r="AED102" s="1"/>
      <c r="AEE102" s="1"/>
      <c r="AEF102" s="1"/>
      <c r="AEG102" s="1"/>
      <c r="AEH102" s="1"/>
      <c r="AEI102" s="1"/>
      <c r="AEJ102" s="1"/>
      <c r="AEK102" s="1"/>
      <c r="AEL102" s="1"/>
      <c r="AEM102" s="1"/>
      <c r="AEN102" s="1"/>
      <c r="AEO102" s="1"/>
      <c r="AEP102" s="1"/>
      <c r="AEQ102" s="1"/>
      <c r="AER102" s="1"/>
      <c r="AES102" s="1"/>
      <c r="AET102" s="1"/>
      <c r="AEU102" s="1"/>
      <c r="AEV102" s="1"/>
      <c r="AEW102" s="1"/>
      <c r="AEX102" s="1"/>
      <c r="AEY102" s="1"/>
      <c r="AEZ102" s="1"/>
      <c r="AFA102" s="1"/>
      <c r="AFB102" s="1"/>
      <c r="AFC102" s="1"/>
      <c r="AFD102" s="1"/>
      <c r="AFE102" s="1"/>
      <c r="AFF102" s="1"/>
      <c r="AFG102" s="1"/>
      <c r="AFH102" s="1"/>
      <c r="AFI102" s="1"/>
      <c r="AFJ102" s="1"/>
      <c r="AFK102" s="1"/>
      <c r="AFL102" s="1"/>
      <c r="AFM102" s="1"/>
      <c r="AFN102" s="1"/>
      <c r="AFO102" s="1"/>
      <c r="AFP102" s="1"/>
      <c r="AFQ102" s="1"/>
      <c r="AFR102" s="1"/>
      <c r="AFS102" s="1"/>
      <c r="AFT102" s="1"/>
      <c r="AFU102" s="1"/>
      <c r="AFV102" s="1"/>
      <c r="AFW102" s="1"/>
      <c r="AFX102" s="1"/>
      <c r="AFY102" s="1"/>
      <c r="AFZ102" s="1"/>
      <c r="AGA102" s="1"/>
      <c r="AGB102" s="1"/>
      <c r="AGC102" s="1"/>
      <c r="AGD102" s="1"/>
      <c r="AGE102" s="1"/>
      <c r="AGF102" s="1"/>
      <c r="AGG102" s="1"/>
      <c r="AGH102" s="1"/>
      <c r="AGI102" s="1"/>
      <c r="AGJ102" s="1"/>
      <c r="AGK102" s="1"/>
      <c r="AGL102" s="1"/>
      <c r="AGM102" s="1"/>
      <c r="AGN102" s="1"/>
      <c r="AGO102" s="1"/>
      <c r="AGP102" s="1"/>
      <c r="AGQ102" s="1"/>
      <c r="AGR102" s="1"/>
      <c r="AGS102" s="1"/>
      <c r="AGT102" s="1"/>
      <c r="AGU102" s="1"/>
      <c r="AGV102" s="1"/>
      <c r="AGW102" s="1"/>
      <c r="AGX102" s="1"/>
      <c r="AGY102" s="1"/>
      <c r="AGZ102" s="1"/>
      <c r="AHA102" s="1"/>
      <c r="AHB102" s="1"/>
      <c r="AHC102" s="1"/>
      <c r="AHD102" s="1"/>
      <c r="AHE102" s="1"/>
      <c r="AHF102" s="1"/>
      <c r="AHG102" s="1"/>
      <c r="AHH102" s="1"/>
      <c r="AHI102" s="1"/>
      <c r="AHJ102" s="1"/>
      <c r="AHK102" s="1"/>
      <c r="AHL102" s="1"/>
      <c r="AHM102" s="1"/>
      <c r="AHN102" s="1"/>
      <c r="AHO102" s="1"/>
      <c r="AHP102" s="1"/>
      <c r="AHQ102" s="1"/>
      <c r="AHR102" s="1"/>
      <c r="AHS102" s="1"/>
      <c r="AHT102" s="1"/>
      <c r="AHU102" s="1"/>
      <c r="AHV102" s="1"/>
      <c r="AHW102" s="1"/>
      <c r="AHX102" s="1"/>
      <c r="AHY102" s="1"/>
      <c r="AHZ102" s="1"/>
      <c r="AIA102" s="1"/>
      <c r="AIB102" s="1"/>
      <c r="AIC102" s="1"/>
      <c r="AID102" s="1"/>
      <c r="AIE102" s="1"/>
      <c r="AIF102" s="1"/>
      <c r="AIG102" s="1"/>
      <c r="AIH102" s="1"/>
      <c r="AII102" s="1"/>
      <c r="AIJ102" s="1"/>
      <c r="AIK102" s="1"/>
      <c r="AIL102" s="1"/>
      <c r="AIM102" s="1"/>
      <c r="AIN102" s="1"/>
      <c r="AIO102" s="1"/>
      <c r="AIP102" s="1"/>
      <c r="AIQ102" s="1"/>
      <c r="AIR102" s="1"/>
      <c r="AIS102" s="1"/>
      <c r="AIT102" s="1"/>
      <c r="AIU102" s="1"/>
      <c r="AIV102" s="1"/>
      <c r="AIW102" s="1"/>
      <c r="AIX102" s="1"/>
      <c r="AIY102" s="1"/>
      <c r="AIZ102" s="1"/>
      <c r="AJA102" s="1"/>
      <c r="AJB102" s="1"/>
      <c r="AJC102" s="1"/>
      <c r="AJD102" s="1"/>
      <c r="AJE102" s="1"/>
      <c r="AJF102" s="1"/>
      <c r="AJG102" s="1"/>
      <c r="AJH102" s="1"/>
      <c r="AJI102" s="1"/>
      <c r="AJJ102" s="1"/>
      <c r="AJK102" s="1"/>
      <c r="AJL102" s="1"/>
      <c r="AJM102" s="1"/>
      <c r="AJN102" s="1"/>
      <c r="AJO102" s="1"/>
      <c r="AJP102" s="1"/>
      <c r="AJQ102" s="1"/>
      <c r="AJR102" s="1"/>
      <c r="AJS102" s="1"/>
      <c r="AJT102" s="1"/>
      <c r="AJU102" s="1"/>
      <c r="AJV102" s="1"/>
      <c r="AJW102" s="1"/>
      <c r="AJX102" s="1"/>
      <c r="AJY102" s="1"/>
      <c r="AJZ102" s="1"/>
      <c r="AKA102" s="1"/>
      <c r="AKB102" s="1"/>
      <c r="AKC102" s="1"/>
      <c r="AKD102" s="1"/>
      <c r="AKE102" s="1"/>
      <c r="AKF102" s="1"/>
      <c r="AKG102" s="1"/>
      <c r="AKH102" s="1"/>
      <c r="AKI102" s="1"/>
      <c r="AKJ102" s="1"/>
      <c r="AKK102" s="1"/>
      <c r="AKL102" s="1"/>
      <c r="AKM102" s="1"/>
      <c r="AKN102" s="1"/>
      <c r="AKO102" s="1"/>
      <c r="AKP102" s="1"/>
      <c r="AKQ102" s="1"/>
      <c r="AKR102" s="1"/>
      <c r="AKS102" s="1"/>
      <c r="AKT102" s="1"/>
      <c r="AKU102" s="1"/>
      <c r="AKV102" s="1"/>
      <c r="AKW102" s="1"/>
      <c r="AKX102" s="1"/>
      <c r="AKY102" s="1"/>
      <c r="AKZ102" s="1"/>
      <c r="ALA102" s="1"/>
      <c r="ALB102" s="1"/>
      <c r="ALC102" s="1"/>
      <c r="ALD102" s="1"/>
      <c r="ALE102" s="1"/>
      <c r="ALF102" s="1"/>
      <c r="ALG102" s="1"/>
      <c r="ALH102" s="1"/>
      <c r="ALI102" s="1"/>
      <c r="ALJ102" s="1"/>
      <c r="ALK102" s="1"/>
      <c r="ALL102" s="1"/>
      <c r="ALM102" s="1"/>
      <c r="ALN102" s="1"/>
      <c r="ALO102" s="1"/>
      <c r="ALP102" s="1"/>
      <c r="ALQ102" s="1"/>
      <c r="ALR102" s="1"/>
      <c r="ALS102" s="1"/>
      <c r="ALT102" s="1"/>
      <c r="ALU102" s="1"/>
      <c r="ALV102" s="1"/>
      <c r="ALW102" s="1"/>
      <c r="ALX102" s="1"/>
      <c r="ALY102" s="1"/>
      <c r="ALZ102" s="1"/>
      <c r="AMA102" s="1"/>
      <c r="AMB102" s="1"/>
      <c r="AMC102" s="1"/>
      <c r="AMD102" s="1"/>
      <c r="AME102" s="1"/>
      <c r="AMF102" s="1"/>
      <c r="AMG102" s="1"/>
      <c r="AMH102" s="1"/>
      <c r="AMI102" s="1"/>
      <c r="AMJ102" s="1"/>
    </row>
    <row r="103" customFormat="false" ht="10.5" hidden="false" customHeight="true" outlineLevel="0" collapsed="false">
      <c r="A103" s="97" t="n">
        <v>3</v>
      </c>
      <c r="B103" s="138"/>
      <c r="C103" s="138"/>
      <c r="D103" s="138"/>
      <c r="E103" s="138"/>
      <c r="F103" s="138"/>
      <c r="G103" s="138"/>
      <c r="H103" s="138"/>
      <c r="I103" s="138"/>
      <c r="J103" s="19"/>
      <c r="K103" s="19"/>
      <c r="L103" s="19"/>
      <c r="M103" s="19"/>
      <c r="N103" s="19"/>
      <c r="O103" s="19"/>
      <c r="P103" s="19"/>
      <c r="Q103" s="19"/>
      <c r="R103" s="19"/>
      <c r="S103" s="19"/>
      <c r="T103" s="19"/>
      <c r="U103" s="19"/>
      <c r="V103" s="19"/>
      <c r="W103" s="139" t="n">
        <f aca="false">J103*S103</f>
        <v>0</v>
      </c>
      <c r="X103" s="139"/>
      <c r="Y103" s="139"/>
      <c r="Z103" s="139"/>
      <c r="AA103" s="139" t="n">
        <f aca="false">J103*P103</f>
        <v>0</v>
      </c>
      <c r="AB103" s="139"/>
      <c r="AC103" s="139"/>
      <c r="AD103" s="139"/>
      <c r="AE103" s="139" t="n">
        <f aca="false">M103*P103</f>
        <v>0</v>
      </c>
      <c r="AF103" s="139"/>
      <c r="AG103" s="139"/>
      <c r="AH103" s="140" t="n">
        <f aca="false">W103-AA103</f>
        <v>0</v>
      </c>
      <c r="AI103" s="140"/>
      <c r="AJ103" s="140"/>
      <c r="AK103" s="140"/>
      <c r="AL103" s="141" t="str">
        <f aca="false">IFERROR(AH103/$AH$114,"$-")</f>
        <v>$-</v>
      </c>
      <c r="AM103" s="141"/>
      <c r="AN103" s="141"/>
      <c r="AO103" s="14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c r="GE103" s="1"/>
      <c r="GF103" s="1"/>
      <c r="GG103" s="1"/>
      <c r="GH103" s="1"/>
      <c r="GI103" s="1"/>
      <c r="GJ103" s="1"/>
      <c r="GK103" s="1"/>
      <c r="GL103" s="1"/>
      <c r="GM103" s="1"/>
      <c r="GN103" s="1"/>
      <c r="GO103" s="1"/>
      <c r="GP103" s="1"/>
      <c r="GQ103" s="1"/>
      <c r="GR103" s="1"/>
      <c r="GS103" s="1"/>
      <c r="GT103" s="1"/>
      <c r="GU103" s="1"/>
      <c r="GV103" s="1"/>
      <c r="GW103" s="1"/>
      <c r="GX103" s="1"/>
      <c r="GY103" s="1"/>
      <c r="GZ103" s="1"/>
      <c r="HA103" s="1"/>
      <c r="HB103" s="1"/>
      <c r="HC103" s="1"/>
      <c r="HD103" s="1"/>
      <c r="HE103" s="1"/>
      <c r="HF103" s="1"/>
      <c r="HG103" s="1"/>
      <c r="HH103" s="1"/>
      <c r="HI103" s="1"/>
      <c r="HJ103" s="1"/>
      <c r="HK103" s="1"/>
      <c r="HL103" s="1"/>
      <c r="HM103" s="1"/>
      <c r="HN103" s="1"/>
      <c r="HO103" s="1"/>
      <c r="HP103" s="1"/>
      <c r="HQ103" s="1"/>
      <c r="HR103" s="1"/>
      <c r="HS103" s="1"/>
      <c r="HT103" s="1"/>
      <c r="HU103" s="1"/>
      <c r="HV103" s="1"/>
      <c r="HW103" s="1"/>
      <c r="HX103" s="1"/>
      <c r="HY103" s="1"/>
      <c r="HZ103" s="1"/>
      <c r="IA103" s="1"/>
      <c r="IB103" s="1"/>
      <c r="IC103" s="1"/>
      <c r="ID103" s="1"/>
      <c r="IE103" s="1"/>
      <c r="IF103" s="1"/>
      <c r="IG103" s="1"/>
      <c r="IH103" s="1"/>
      <c r="II103" s="1"/>
      <c r="IJ103" s="1"/>
      <c r="IK103" s="1"/>
      <c r="IL103" s="1"/>
      <c r="IM103" s="1"/>
      <c r="IN103" s="1"/>
      <c r="IO103" s="1"/>
      <c r="IP103" s="1"/>
      <c r="IQ103" s="1"/>
      <c r="IR103" s="1"/>
      <c r="IS103" s="1"/>
      <c r="IT103" s="1"/>
      <c r="IU103" s="1"/>
      <c r="IV103" s="1"/>
      <c r="IW103" s="1"/>
      <c r="IX103" s="1"/>
      <c r="IY103" s="1"/>
      <c r="IZ103" s="1"/>
      <c r="JA103" s="1"/>
      <c r="JB103" s="1"/>
      <c r="JC103" s="1"/>
      <c r="JD103" s="1"/>
      <c r="JE103" s="1"/>
      <c r="JF103" s="1"/>
      <c r="JG103" s="1"/>
      <c r="JH103" s="1"/>
      <c r="JI103" s="1"/>
      <c r="JJ103" s="1"/>
      <c r="JK103" s="1"/>
      <c r="JL103" s="1"/>
      <c r="JM103" s="1"/>
      <c r="JN103" s="1"/>
      <c r="JO103" s="1"/>
      <c r="JP103" s="1"/>
      <c r="JQ103" s="1"/>
      <c r="JR103" s="1"/>
      <c r="JS103" s="1"/>
      <c r="JT103" s="1"/>
      <c r="JU103" s="1"/>
      <c r="JV103" s="1"/>
      <c r="JW103" s="1"/>
      <c r="JX103" s="1"/>
      <c r="JY103" s="1"/>
      <c r="JZ103" s="1"/>
      <c r="KA103" s="1"/>
      <c r="KB103" s="1"/>
      <c r="KC103" s="1"/>
      <c r="KD103" s="1"/>
      <c r="KE103" s="1"/>
      <c r="KF103" s="1"/>
      <c r="KG103" s="1"/>
      <c r="KH103" s="1"/>
      <c r="KI103" s="1"/>
      <c r="KJ103" s="1"/>
      <c r="KK103" s="1"/>
      <c r="KL103" s="1"/>
      <c r="KM103" s="1"/>
      <c r="KN103" s="1"/>
      <c r="KO103" s="1"/>
      <c r="KP103" s="1"/>
      <c r="KQ103" s="1"/>
      <c r="KR103" s="1"/>
      <c r="KS103" s="1"/>
      <c r="KT103" s="1"/>
      <c r="KU103" s="1"/>
      <c r="KV103" s="1"/>
      <c r="KW103" s="1"/>
      <c r="KX103" s="1"/>
      <c r="KY103" s="1"/>
      <c r="KZ103" s="1"/>
      <c r="LA103" s="1"/>
      <c r="LB103" s="1"/>
      <c r="LC103" s="1"/>
      <c r="LD103" s="1"/>
      <c r="LE103" s="1"/>
      <c r="LF103" s="1"/>
      <c r="LG103" s="1"/>
      <c r="LH103" s="1"/>
      <c r="LI103" s="1"/>
      <c r="LJ103" s="1"/>
      <c r="LK103" s="1"/>
      <c r="LL103" s="1"/>
      <c r="LM103" s="1"/>
      <c r="LN103" s="1"/>
      <c r="LO103" s="1"/>
      <c r="LP103" s="1"/>
      <c r="LQ103" s="1"/>
      <c r="LR103" s="1"/>
      <c r="LS103" s="1"/>
      <c r="LT103" s="1"/>
      <c r="LU103" s="1"/>
      <c r="LV103" s="1"/>
      <c r="LW103" s="1"/>
      <c r="LX103" s="1"/>
      <c r="LY103" s="1"/>
      <c r="LZ103" s="1"/>
      <c r="MA103" s="1"/>
      <c r="MB103" s="1"/>
      <c r="MC103" s="1"/>
      <c r="MD103" s="1"/>
      <c r="ME103" s="1"/>
      <c r="MF103" s="1"/>
      <c r="MG103" s="1"/>
      <c r="MH103" s="1"/>
      <c r="MI103" s="1"/>
      <c r="MJ103" s="1"/>
      <c r="MK103" s="1"/>
      <c r="ML103" s="1"/>
      <c r="MM103" s="1"/>
      <c r="MN103" s="1"/>
      <c r="MO103" s="1"/>
      <c r="MP103" s="1"/>
      <c r="MQ103" s="1"/>
      <c r="MR103" s="1"/>
      <c r="MS103" s="1"/>
      <c r="MT103" s="1"/>
      <c r="MU103" s="1"/>
      <c r="MV103" s="1"/>
      <c r="MW103" s="1"/>
      <c r="MX103" s="1"/>
      <c r="MY103" s="1"/>
      <c r="MZ103" s="1"/>
      <c r="NA103" s="1"/>
      <c r="NB103" s="1"/>
      <c r="NC103" s="1"/>
      <c r="ND103" s="1"/>
      <c r="NE103" s="1"/>
      <c r="NF103" s="1"/>
      <c r="NG103" s="1"/>
      <c r="NH103" s="1"/>
      <c r="NI103" s="1"/>
      <c r="NJ103" s="1"/>
      <c r="NK103" s="1"/>
      <c r="NL103" s="1"/>
      <c r="NM103" s="1"/>
      <c r="NN103" s="1"/>
      <c r="NO103" s="1"/>
      <c r="NP103" s="1"/>
      <c r="NQ103" s="1"/>
      <c r="NR103" s="1"/>
      <c r="NS103" s="1"/>
      <c r="NT103" s="1"/>
      <c r="NU103" s="1"/>
      <c r="NV103" s="1"/>
      <c r="NW103" s="1"/>
      <c r="NX103" s="1"/>
      <c r="NY103" s="1"/>
      <c r="NZ103" s="1"/>
      <c r="OA103" s="1"/>
      <c r="OB103" s="1"/>
      <c r="OC103" s="1"/>
      <c r="OD103" s="1"/>
      <c r="OE103" s="1"/>
      <c r="OF103" s="1"/>
      <c r="OG103" s="1"/>
      <c r="OH103" s="1"/>
      <c r="OI103" s="1"/>
      <c r="OJ103" s="1"/>
      <c r="OK103" s="1"/>
      <c r="OL103" s="1"/>
      <c r="OM103" s="1"/>
      <c r="ON103" s="1"/>
      <c r="OO103" s="1"/>
      <c r="OP103" s="1"/>
      <c r="OQ103" s="1"/>
      <c r="OR103" s="1"/>
      <c r="OS103" s="1"/>
      <c r="OT103" s="1"/>
      <c r="OU103" s="1"/>
      <c r="OV103" s="1"/>
      <c r="OW103" s="1"/>
      <c r="OX103" s="1"/>
      <c r="OY103" s="1"/>
      <c r="OZ103" s="1"/>
      <c r="PA103" s="1"/>
      <c r="PB103" s="1"/>
      <c r="PC103" s="1"/>
      <c r="PD103" s="1"/>
      <c r="PE103" s="1"/>
      <c r="PF103" s="1"/>
      <c r="PG103" s="1"/>
      <c r="PH103" s="1"/>
      <c r="PI103" s="1"/>
      <c r="PJ103" s="1"/>
      <c r="PK103" s="1"/>
      <c r="PL103" s="1"/>
      <c r="PM103" s="1"/>
      <c r="PN103" s="1"/>
      <c r="PO103" s="1"/>
      <c r="PP103" s="1"/>
      <c r="PQ103" s="1"/>
      <c r="PR103" s="1"/>
      <c r="PS103" s="1"/>
      <c r="PT103" s="1"/>
      <c r="PU103" s="1"/>
      <c r="PV103" s="1"/>
      <c r="PW103" s="1"/>
      <c r="PX103" s="1"/>
      <c r="PY103" s="1"/>
      <c r="PZ103" s="1"/>
      <c r="QA103" s="1"/>
      <c r="QB103" s="1"/>
      <c r="QC103" s="1"/>
      <c r="QD103" s="1"/>
      <c r="QE103" s="1"/>
      <c r="QF103" s="1"/>
      <c r="QG103" s="1"/>
      <c r="QH103" s="1"/>
      <c r="QI103" s="1"/>
      <c r="QJ103" s="1"/>
      <c r="QK103" s="1"/>
      <c r="QL103" s="1"/>
      <c r="QM103" s="1"/>
      <c r="QN103" s="1"/>
      <c r="QO103" s="1"/>
      <c r="QP103" s="1"/>
      <c r="QQ103" s="1"/>
      <c r="QR103" s="1"/>
      <c r="QS103" s="1"/>
      <c r="QT103" s="1"/>
      <c r="QU103" s="1"/>
      <c r="QV103" s="1"/>
      <c r="QW103" s="1"/>
      <c r="QX103" s="1"/>
      <c r="QY103" s="1"/>
      <c r="QZ103" s="1"/>
      <c r="RA103" s="1"/>
      <c r="RB103" s="1"/>
      <c r="RC103" s="1"/>
      <c r="RD103" s="1"/>
      <c r="RE103" s="1"/>
      <c r="RF103" s="1"/>
      <c r="RG103" s="1"/>
      <c r="RH103" s="1"/>
      <c r="RI103" s="1"/>
      <c r="RJ103" s="1"/>
      <c r="RK103" s="1"/>
      <c r="RL103" s="1"/>
      <c r="RM103" s="1"/>
      <c r="RN103" s="1"/>
      <c r="RO103" s="1"/>
      <c r="RP103" s="1"/>
      <c r="RQ103" s="1"/>
      <c r="RR103" s="1"/>
      <c r="RS103" s="1"/>
      <c r="RT103" s="1"/>
      <c r="RU103" s="1"/>
      <c r="RV103" s="1"/>
      <c r="RW103" s="1"/>
      <c r="RX103" s="1"/>
      <c r="RY103" s="1"/>
      <c r="RZ103" s="1"/>
      <c r="SA103" s="1"/>
      <c r="SB103" s="1"/>
      <c r="SC103" s="1"/>
      <c r="SD103" s="1"/>
      <c r="SE103" s="1"/>
      <c r="SF103" s="1"/>
      <c r="SG103" s="1"/>
      <c r="SH103" s="1"/>
      <c r="SI103" s="1"/>
      <c r="SJ103" s="1"/>
      <c r="SK103" s="1"/>
      <c r="SL103" s="1"/>
      <c r="SM103" s="1"/>
      <c r="SN103" s="1"/>
      <c r="SO103" s="1"/>
      <c r="SP103" s="1"/>
      <c r="SQ103" s="1"/>
      <c r="SR103" s="1"/>
      <c r="SS103" s="1"/>
      <c r="ST103" s="1"/>
      <c r="SU103" s="1"/>
      <c r="SV103" s="1"/>
      <c r="SW103" s="1"/>
      <c r="SX103" s="1"/>
      <c r="SY103" s="1"/>
      <c r="SZ103" s="1"/>
      <c r="TA103" s="1"/>
      <c r="TB103" s="1"/>
      <c r="TC103" s="1"/>
      <c r="TD103" s="1"/>
      <c r="TE103" s="1"/>
      <c r="TF103" s="1"/>
      <c r="TG103" s="1"/>
      <c r="TH103" s="1"/>
      <c r="TI103" s="1"/>
      <c r="TJ103" s="1"/>
      <c r="TK103" s="1"/>
      <c r="TL103" s="1"/>
      <c r="TM103" s="1"/>
      <c r="TN103" s="1"/>
      <c r="TO103" s="1"/>
      <c r="TP103" s="1"/>
      <c r="TQ103" s="1"/>
      <c r="TR103" s="1"/>
      <c r="TS103" s="1"/>
      <c r="TT103" s="1"/>
      <c r="TU103" s="1"/>
      <c r="TV103" s="1"/>
      <c r="TW103" s="1"/>
      <c r="TX103" s="1"/>
      <c r="TY103" s="1"/>
      <c r="TZ103" s="1"/>
      <c r="UA103" s="1"/>
      <c r="UB103" s="1"/>
      <c r="UC103" s="1"/>
      <c r="UD103" s="1"/>
      <c r="UE103" s="1"/>
      <c r="UF103" s="1"/>
      <c r="UG103" s="1"/>
      <c r="UH103" s="1"/>
      <c r="UI103" s="1"/>
      <c r="UJ103" s="1"/>
      <c r="UK103" s="1"/>
      <c r="UL103" s="1"/>
      <c r="UM103" s="1"/>
      <c r="UN103" s="1"/>
      <c r="UO103" s="1"/>
      <c r="UP103" s="1"/>
      <c r="UQ103" s="1"/>
      <c r="UR103" s="1"/>
      <c r="US103" s="1"/>
      <c r="UT103" s="1"/>
      <c r="UU103" s="1"/>
      <c r="UV103" s="1"/>
      <c r="UW103" s="1"/>
      <c r="UX103" s="1"/>
      <c r="UY103" s="1"/>
      <c r="UZ103" s="1"/>
      <c r="VA103" s="1"/>
      <c r="VB103" s="1"/>
      <c r="VC103" s="1"/>
      <c r="VD103" s="1"/>
      <c r="VE103" s="1"/>
      <c r="VF103" s="1"/>
      <c r="VG103" s="1"/>
      <c r="VH103" s="1"/>
      <c r="VI103" s="1"/>
      <c r="VJ103" s="1"/>
      <c r="VK103" s="1"/>
      <c r="VL103" s="1"/>
      <c r="VM103" s="1"/>
      <c r="VN103" s="1"/>
      <c r="VO103" s="1"/>
      <c r="VP103" s="1"/>
      <c r="VQ103" s="1"/>
      <c r="VR103" s="1"/>
      <c r="VS103" s="1"/>
      <c r="VT103" s="1"/>
      <c r="VU103" s="1"/>
      <c r="VV103" s="1"/>
      <c r="VW103" s="1"/>
      <c r="VX103" s="1"/>
      <c r="VY103" s="1"/>
      <c r="VZ103" s="1"/>
      <c r="WA103" s="1"/>
      <c r="WB103" s="1"/>
      <c r="WC103" s="1"/>
      <c r="WD103" s="1"/>
      <c r="WE103" s="1"/>
      <c r="WF103" s="1"/>
      <c r="WG103" s="1"/>
      <c r="WH103" s="1"/>
      <c r="WI103" s="1"/>
      <c r="WJ103" s="1"/>
      <c r="WK103" s="1"/>
      <c r="WL103" s="1"/>
      <c r="WM103" s="1"/>
      <c r="WN103" s="1"/>
      <c r="WO103" s="1"/>
      <c r="WP103" s="1"/>
      <c r="WQ103" s="1"/>
      <c r="WR103" s="1"/>
      <c r="WS103" s="1"/>
      <c r="WT103" s="1"/>
      <c r="WU103" s="1"/>
      <c r="WV103" s="1"/>
      <c r="WW103" s="1"/>
      <c r="WX103" s="1"/>
      <c r="WY103" s="1"/>
      <c r="WZ103" s="1"/>
      <c r="XA103" s="1"/>
      <c r="XB103" s="1"/>
      <c r="XC103" s="1"/>
      <c r="XD103" s="1"/>
      <c r="XE103" s="1"/>
      <c r="XF103" s="1"/>
      <c r="XG103" s="1"/>
      <c r="XH103" s="1"/>
      <c r="XI103" s="1"/>
      <c r="XJ103" s="1"/>
      <c r="XK103" s="1"/>
      <c r="XL103" s="1"/>
      <c r="XM103" s="1"/>
      <c r="XN103" s="1"/>
      <c r="XO103" s="1"/>
      <c r="XP103" s="1"/>
      <c r="XQ103" s="1"/>
      <c r="XR103" s="1"/>
      <c r="XS103" s="1"/>
      <c r="XT103" s="1"/>
      <c r="XU103" s="1"/>
      <c r="XV103" s="1"/>
      <c r="XW103" s="1"/>
      <c r="XX103" s="1"/>
      <c r="XY103" s="1"/>
      <c r="XZ103" s="1"/>
      <c r="YA103" s="1"/>
      <c r="YB103" s="1"/>
      <c r="YC103" s="1"/>
      <c r="YD103" s="1"/>
      <c r="YE103" s="1"/>
      <c r="YF103" s="1"/>
      <c r="YG103" s="1"/>
      <c r="YH103" s="1"/>
      <c r="YI103" s="1"/>
      <c r="YJ103" s="1"/>
      <c r="YK103" s="1"/>
      <c r="YL103" s="1"/>
      <c r="YM103" s="1"/>
      <c r="YN103" s="1"/>
      <c r="YO103" s="1"/>
      <c r="YP103" s="1"/>
      <c r="YQ103" s="1"/>
      <c r="YR103" s="1"/>
      <c r="YS103" s="1"/>
      <c r="YT103" s="1"/>
      <c r="YU103" s="1"/>
      <c r="YV103" s="1"/>
      <c r="YW103" s="1"/>
      <c r="YX103" s="1"/>
      <c r="YY103" s="1"/>
      <c r="YZ103" s="1"/>
      <c r="ZA103" s="1"/>
      <c r="ZB103" s="1"/>
      <c r="ZC103" s="1"/>
      <c r="ZD103" s="1"/>
      <c r="ZE103" s="1"/>
      <c r="ZF103" s="1"/>
      <c r="ZG103" s="1"/>
      <c r="ZH103" s="1"/>
      <c r="ZI103" s="1"/>
      <c r="ZJ103" s="1"/>
      <c r="ZK103" s="1"/>
      <c r="ZL103" s="1"/>
      <c r="ZM103" s="1"/>
      <c r="ZN103" s="1"/>
      <c r="ZO103" s="1"/>
      <c r="ZP103" s="1"/>
      <c r="ZQ103" s="1"/>
      <c r="ZR103" s="1"/>
      <c r="ZS103" s="1"/>
      <c r="ZT103" s="1"/>
      <c r="ZU103" s="1"/>
      <c r="ZV103" s="1"/>
      <c r="ZW103" s="1"/>
      <c r="ZX103" s="1"/>
      <c r="ZY103" s="1"/>
      <c r="ZZ103" s="1"/>
      <c r="AAA103" s="1"/>
      <c r="AAB103" s="1"/>
      <c r="AAC103" s="1"/>
      <c r="AAD103" s="1"/>
      <c r="AAE103" s="1"/>
      <c r="AAF103" s="1"/>
      <c r="AAG103" s="1"/>
      <c r="AAH103" s="1"/>
      <c r="AAI103" s="1"/>
      <c r="AAJ103" s="1"/>
      <c r="AAK103" s="1"/>
      <c r="AAL103" s="1"/>
      <c r="AAM103" s="1"/>
      <c r="AAN103" s="1"/>
      <c r="AAO103" s="1"/>
      <c r="AAP103" s="1"/>
      <c r="AAQ103" s="1"/>
      <c r="AAR103" s="1"/>
      <c r="AAS103" s="1"/>
      <c r="AAT103" s="1"/>
      <c r="AAU103" s="1"/>
      <c r="AAV103" s="1"/>
      <c r="AAW103" s="1"/>
      <c r="AAX103" s="1"/>
      <c r="AAY103" s="1"/>
      <c r="AAZ103" s="1"/>
      <c r="ABA103" s="1"/>
      <c r="ABB103" s="1"/>
      <c r="ABC103" s="1"/>
      <c r="ABD103" s="1"/>
      <c r="ABE103" s="1"/>
      <c r="ABF103" s="1"/>
      <c r="ABG103" s="1"/>
      <c r="ABH103" s="1"/>
      <c r="ABI103" s="1"/>
      <c r="ABJ103" s="1"/>
      <c r="ABK103" s="1"/>
      <c r="ABL103" s="1"/>
      <c r="ABM103" s="1"/>
      <c r="ABN103" s="1"/>
      <c r="ABO103" s="1"/>
      <c r="ABP103" s="1"/>
      <c r="ABQ103" s="1"/>
      <c r="ABR103" s="1"/>
      <c r="ABS103" s="1"/>
      <c r="ABT103" s="1"/>
      <c r="ABU103" s="1"/>
      <c r="ABV103" s="1"/>
      <c r="ABW103" s="1"/>
      <c r="ABX103" s="1"/>
      <c r="ABY103" s="1"/>
      <c r="ABZ103" s="1"/>
      <c r="ACA103" s="1"/>
      <c r="ACB103" s="1"/>
      <c r="ACC103" s="1"/>
      <c r="ACD103" s="1"/>
      <c r="ACE103" s="1"/>
      <c r="ACF103" s="1"/>
      <c r="ACG103" s="1"/>
      <c r="ACH103" s="1"/>
      <c r="ACI103" s="1"/>
      <c r="ACJ103" s="1"/>
      <c r="ACK103" s="1"/>
      <c r="ACL103" s="1"/>
      <c r="ACM103" s="1"/>
      <c r="ACN103" s="1"/>
      <c r="ACO103" s="1"/>
      <c r="ACP103" s="1"/>
      <c r="ACQ103" s="1"/>
      <c r="ACR103" s="1"/>
      <c r="ACS103" s="1"/>
      <c r="ACT103" s="1"/>
      <c r="ACU103" s="1"/>
      <c r="ACV103" s="1"/>
      <c r="ACW103" s="1"/>
      <c r="ACX103" s="1"/>
      <c r="ACY103" s="1"/>
      <c r="ACZ103" s="1"/>
      <c r="ADA103" s="1"/>
      <c r="ADB103" s="1"/>
      <c r="ADC103" s="1"/>
      <c r="ADD103" s="1"/>
      <c r="ADE103" s="1"/>
      <c r="ADF103" s="1"/>
      <c r="ADG103" s="1"/>
      <c r="ADH103" s="1"/>
      <c r="ADI103" s="1"/>
      <c r="ADJ103" s="1"/>
      <c r="ADK103" s="1"/>
      <c r="ADL103" s="1"/>
      <c r="ADM103" s="1"/>
      <c r="ADN103" s="1"/>
      <c r="ADO103" s="1"/>
      <c r="ADP103" s="1"/>
      <c r="ADQ103" s="1"/>
      <c r="ADR103" s="1"/>
      <c r="ADS103" s="1"/>
      <c r="ADT103" s="1"/>
      <c r="ADU103" s="1"/>
      <c r="ADV103" s="1"/>
      <c r="ADW103" s="1"/>
      <c r="ADX103" s="1"/>
      <c r="ADY103" s="1"/>
      <c r="ADZ103" s="1"/>
      <c r="AEA103" s="1"/>
      <c r="AEB103" s="1"/>
      <c r="AEC103" s="1"/>
      <c r="AED103" s="1"/>
      <c r="AEE103" s="1"/>
      <c r="AEF103" s="1"/>
      <c r="AEG103" s="1"/>
      <c r="AEH103" s="1"/>
      <c r="AEI103" s="1"/>
      <c r="AEJ103" s="1"/>
      <c r="AEK103" s="1"/>
      <c r="AEL103" s="1"/>
      <c r="AEM103" s="1"/>
      <c r="AEN103" s="1"/>
      <c r="AEO103" s="1"/>
      <c r="AEP103" s="1"/>
      <c r="AEQ103" s="1"/>
      <c r="AER103" s="1"/>
      <c r="AES103" s="1"/>
      <c r="AET103" s="1"/>
      <c r="AEU103" s="1"/>
      <c r="AEV103" s="1"/>
      <c r="AEW103" s="1"/>
      <c r="AEX103" s="1"/>
      <c r="AEY103" s="1"/>
      <c r="AEZ103" s="1"/>
      <c r="AFA103" s="1"/>
      <c r="AFB103" s="1"/>
      <c r="AFC103" s="1"/>
      <c r="AFD103" s="1"/>
      <c r="AFE103" s="1"/>
      <c r="AFF103" s="1"/>
      <c r="AFG103" s="1"/>
      <c r="AFH103" s="1"/>
      <c r="AFI103" s="1"/>
      <c r="AFJ103" s="1"/>
      <c r="AFK103" s="1"/>
      <c r="AFL103" s="1"/>
      <c r="AFM103" s="1"/>
      <c r="AFN103" s="1"/>
      <c r="AFO103" s="1"/>
      <c r="AFP103" s="1"/>
      <c r="AFQ103" s="1"/>
      <c r="AFR103" s="1"/>
      <c r="AFS103" s="1"/>
      <c r="AFT103" s="1"/>
      <c r="AFU103" s="1"/>
      <c r="AFV103" s="1"/>
      <c r="AFW103" s="1"/>
      <c r="AFX103" s="1"/>
      <c r="AFY103" s="1"/>
      <c r="AFZ103" s="1"/>
      <c r="AGA103" s="1"/>
      <c r="AGB103" s="1"/>
      <c r="AGC103" s="1"/>
      <c r="AGD103" s="1"/>
      <c r="AGE103" s="1"/>
      <c r="AGF103" s="1"/>
      <c r="AGG103" s="1"/>
      <c r="AGH103" s="1"/>
      <c r="AGI103" s="1"/>
      <c r="AGJ103" s="1"/>
      <c r="AGK103" s="1"/>
      <c r="AGL103" s="1"/>
      <c r="AGM103" s="1"/>
      <c r="AGN103" s="1"/>
      <c r="AGO103" s="1"/>
      <c r="AGP103" s="1"/>
      <c r="AGQ103" s="1"/>
      <c r="AGR103" s="1"/>
      <c r="AGS103" s="1"/>
      <c r="AGT103" s="1"/>
      <c r="AGU103" s="1"/>
      <c r="AGV103" s="1"/>
      <c r="AGW103" s="1"/>
      <c r="AGX103" s="1"/>
      <c r="AGY103" s="1"/>
      <c r="AGZ103" s="1"/>
      <c r="AHA103" s="1"/>
      <c r="AHB103" s="1"/>
      <c r="AHC103" s="1"/>
      <c r="AHD103" s="1"/>
      <c r="AHE103" s="1"/>
      <c r="AHF103" s="1"/>
      <c r="AHG103" s="1"/>
      <c r="AHH103" s="1"/>
      <c r="AHI103" s="1"/>
      <c r="AHJ103" s="1"/>
      <c r="AHK103" s="1"/>
      <c r="AHL103" s="1"/>
      <c r="AHM103" s="1"/>
      <c r="AHN103" s="1"/>
      <c r="AHO103" s="1"/>
      <c r="AHP103" s="1"/>
      <c r="AHQ103" s="1"/>
      <c r="AHR103" s="1"/>
      <c r="AHS103" s="1"/>
      <c r="AHT103" s="1"/>
      <c r="AHU103" s="1"/>
      <c r="AHV103" s="1"/>
      <c r="AHW103" s="1"/>
      <c r="AHX103" s="1"/>
      <c r="AHY103" s="1"/>
      <c r="AHZ103" s="1"/>
      <c r="AIA103" s="1"/>
      <c r="AIB103" s="1"/>
      <c r="AIC103" s="1"/>
      <c r="AID103" s="1"/>
      <c r="AIE103" s="1"/>
      <c r="AIF103" s="1"/>
      <c r="AIG103" s="1"/>
      <c r="AIH103" s="1"/>
      <c r="AII103" s="1"/>
      <c r="AIJ103" s="1"/>
      <c r="AIK103" s="1"/>
      <c r="AIL103" s="1"/>
      <c r="AIM103" s="1"/>
      <c r="AIN103" s="1"/>
      <c r="AIO103" s="1"/>
      <c r="AIP103" s="1"/>
      <c r="AIQ103" s="1"/>
      <c r="AIR103" s="1"/>
      <c r="AIS103" s="1"/>
      <c r="AIT103" s="1"/>
      <c r="AIU103" s="1"/>
      <c r="AIV103" s="1"/>
      <c r="AIW103" s="1"/>
      <c r="AIX103" s="1"/>
      <c r="AIY103" s="1"/>
      <c r="AIZ103" s="1"/>
      <c r="AJA103" s="1"/>
      <c r="AJB103" s="1"/>
      <c r="AJC103" s="1"/>
      <c r="AJD103" s="1"/>
      <c r="AJE103" s="1"/>
      <c r="AJF103" s="1"/>
      <c r="AJG103" s="1"/>
      <c r="AJH103" s="1"/>
      <c r="AJI103" s="1"/>
      <c r="AJJ103" s="1"/>
      <c r="AJK103" s="1"/>
      <c r="AJL103" s="1"/>
      <c r="AJM103" s="1"/>
      <c r="AJN103" s="1"/>
      <c r="AJO103" s="1"/>
      <c r="AJP103" s="1"/>
      <c r="AJQ103" s="1"/>
      <c r="AJR103" s="1"/>
      <c r="AJS103" s="1"/>
      <c r="AJT103" s="1"/>
      <c r="AJU103" s="1"/>
      <c r="AJV103" s="1"/>
      <c r="AJW103" s="1"/>
      <c r="AJX103" s="1"/>
      <c r="AJY103" s="1"/>
      <c r="AJZ103" s="1"/>
      <c r="AKA103" s="1"/>
      <c r="AKB103" s="1"/>
      <c r="AKC103" s="1"/>
      <c r="AKD103" s="1"/>
      <c r="AKE103" s="1"/>
      <c r="AKF103" s="1"/>
      <c r="AKG103" s="1"/>
      <c r="AKH103" s="1"/>
      <c r="AKI103" s="1"/>
      <c r="AKJ103" s="1"/>
      <c r="AKK103" s="1"/>
      <c r="AKL103" s="1"/>
      <c r="AKM103" s="1"/>
      <c r="AKN103" s="1"/>
      <c r="AKO103" s="1"/>
      <c r="AKP103" s="1"/>
      <c r="AKQ103" s="1"/>
      <c r="AKR103" s="1"/>
      <c r="AKS103" s="1"/>
      <c r="AKT103" s="1"/>
      <c r="AKU103" s="1"/>
      <c r="AKV103" s="1"/>
      <c r="AKW103" s="1"/>
      <c r="AKX103" s="1"/>
      <c r="AKY103" s="1"/>
      <c r="AKZ103" s="1"/>
      <c r="ALA103" s="1"/>
      <c r="ALB103" s="1"/>
      <c r="ALC103" s="1"/>
      <c r="ALD103" s="1"/>
      <c r="ALE103" s="1"/>
      <c r="ALF103" s="1"/>
      <c r="ALG103" s="1"/>
      <c r="ALH103" s="1"/>
      <c r="ALI103" s="1"/>
      <c r="ALJ103" s="1"/>
      <c r="ALK103" s="1"/>
      <c r="ALL103" s="1"/>
      <c r="ALM103" s="1"/>
      <c r="ALN103" s="1"/>
      <c r="ALO103" s="1"/>
      <c r="ALP103" s="1"/>
      <c r="ALQ103" s="1"/>
      <c r="ALR103" s="1"/>
      <c r="ALS103" s="1"/>
      <c r="ALT103" s="1"/>
      <c r="ALU103" s="1"/>
      <c r="ALV103" s="1"/>
      <c r="ALW103" s="1"/>
      <c r="ALX103" s="1"/>
      <c r="ALY103" s="1"/>
      <c r="ALZ103" s="1"/>
      <c r="AMA103" s="1"/>
      <c r="AMB103" s="1"/>
      <c r="AMC103" s="1"/>
      <c r="AMD103" s="1"/>
      <c r="AME103" s="1"/>
      <c r="AMF103" s="1"/>
      <c r="AMG103" s="1"/>
      <c r="AMH103" s="1"/>
      <c r="AMI103" s="1"/>
      <c r="AMJ103" s="1"/>
    </row>
    <row r="104" customFormat="false" ht="10.5" hidden="false" customHeight="true" outlineLevel="0" collapsed="false">
      <c r="A104" s="97" t="n">
        <v>4</v>
      </c>
      <c r="B104" s="138"/>
      <c r="C104" s="138"/>
      <c r="D104" s="138"/>
      <c r="E104" s="138"/>
      <c r="F104" s="138"/>
      <c r="G104" s="138"/>
      <c r="H104" s="138"/>
      <c r="I104" s="138"/>
      <c r="J104" s="19"/>
      <c r="K104" s="19"/>
      <c r="L104" s="19"/>
      <c r="M104" s="19"/>
      <c r="N104" s="19"/>
      <c r="O104" s="19"/>
      <c r="P104" s="19"/>
      <c r="Q104" s="19"/>
      <c r="R104" s="19"/>
      <c r="S104" s="19"/>
      <c r="T104" s="19"/>
      <c r="U104" s="19"/>
      <c r="V104" s="19"/>
      <c r="W104" s="139" t="n">
        <f aca="false">J104*S104</f>
        <v>0</v>
      </c>
      <c r="X104" s="139"/>
      <c r="Y104" s="139"/>
      <c r="Z104" s="139"/>
      <c r="AA104" s="139" t="n">
        <f aca="false">J104*P104</f>
        <v>0</v>
      </c>
      <c r="AB104" s="139"/>
      <c r="AC104" s="139"/>
      <c r="AD104" s="139"/>
      <c r="AE104" s="139" t="n">
        <f aca="false">M104*P104</f>
        <v>0</v>
      </c>
      <c r="AF104" s="139"/>
      <c r="AG104" s="139"/>
      <c r="AH104" s="140" t="n">
        <f aca="false">W104-AA104</f>
        <v>0</v>
      </c>
      <c r="AI104" s="140"/>
      <c r="AJ104" s="140"/>
      <c r="AK104" s="140"/>
      <c r="AL104" s="141" t="str">
        <f aca="false">IFERROR(AH104/$AH$114,"$-")</f>
        <v>$-</v>
      </c>
      <c r="AM104" s="141"/>
      <c r="AN104" s="141"/>
      <c r="AO104" s="14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c r="DZ104" s="1"/>
      <c r="EA104" s="1"/>
      <c r="EB104" s="1"/>
      <c r="EC104" s="1"/>
      <c r="ED104" s="1"/>
      <c r="EE104" s="1"/>
      <c r="EF104" s="1"/>
      <c r="EG104" s="1"/>
      <c r="EH104" s="1"/>
      <c r="EI104" s="1"/>
      <c r="EJ104" s="1"/>
      <c r="EK104" s="1"/>
      <c r="EL104" s="1"/>
      <c r="EM104" s="1"/>
      <c r="EN104" s="1"/>
      <c r="EO104" s="1"/>
      <c r="EP104" s="1"/>
      <c r="EQ104" s="1"/>
      <c r="ER104" s="1"/>
      <c r="ES104" s="1"/>
      <c r="ET104" s="1"/>
      <c r="EU104" s="1"/>
      <c r="EV104" s="1"/>
      <c r="EW104" s="1"/>
      <c r="EX104" s="1"/>
      <c r="EY104" s="1"/>
      <c r="EZ104" s="1"/>
      <c r="FA104" s="1"/>
      <c r="FB104" s="1"/>
      <c r="FC104" s="1"/>
      <c r="FD104" s="1"/>
      <c r="FE104" s="1"/>
      <c r="FF104" s="1"/>
      <c r="FG104" s="1"/>
      <c r="FH104" s="1"/>
      <c r="FI104" s="1"/>
      <c r="FJ104" s="1"/>
      <c r="FK104" s="1"/>
      <c r="FL104" s="1"/>
      <c r="FM104" s="1"/>
      <c r="FN104" s="1"/>
      <c r="FO104" s="1"/>
      <c r="FP104" s="1"/>
      <c r="FQ104" s="1"/>
      <c r="FR104" s="1"/>
      <c r="FS104" s="1"/>
      <c r="FT104" s="1"/>
      <c r="FU104" s="1"/>
      <c r="FV104" s="1"/>
      <c r="FW104" s="1"/>
      <c r="FX104" s="1"/>
      <c r="FY104" s="1"/>
      <c r="FZ104" s="1"/>
      <c r="GA104" s="1"/>
      <c r="GB104" s="1"/>
      <c r="GC104" s="1"/>
      <c r="GD104" s="1"/>
      <c r="GE104" s="1"/>
      <c r="GF104" s="1"/>
      <c r="GG104" s="1"/>
      <c r="GH104" s="1"/>
      <c r="GI104" s="1"/>
      <c r="GJ104" s="1"/>
      <c r="GK104" s="1"/>
      <c r="GL104" s="1"/>
      <c r="GM104" s="1"/>
      <c r="GN104" s="1"/>
      <c r="GO104" s="1"/>
      <c r="GP104" s="1"/>
      <c r="GQ104" s="1"/>
      <c r="GR104" s="1"/>
      <c r="GS104" s="1"/>
      <c r="GT104" s="1"/>
      <c r="GU104" s="1"/>
      <c r="GV104" s="1"/>
      <c r="GW104" s="1"/>
      <c r="GX104" s="1"/>
      <c r="GY104" s="1"/>
      <c r="GZ104" s="1"/>
      <c r="HA104" s="1"/>
      <c r="HB104" s="1"/>
      <c r="HC104" s="1"/>
      <c r="HD104" s="1"/>
      <c r="HE104" s="1"/>
      <c r="HF104" s="1"/>
      <c r="HG104" s="1"/>
      <c r="HH104" s="1"/>
      <c r="HI104" s="1"/>
      <c r="HJ104" s="1"/>
      <c r="HK104" s="1"/>
      <c r="HL104" s="1"/>
      <c r="HM104" s="1"/>
      <c r="HN104" s="1"/>
      <c r="HO104" s="1"/>
      <c r="HP104" s="1"/>
      <c r="HQ104" s="1"/>
      <c r="HR104" s="1"/>
      <c r="HS104" s="1"/>
      <c r="HT104" s="1"/>
      <c r="HU104" s="1"/>
      <c r="HV104" s="1"/>
      <c r="HW104" s="1"/>
      <c r="HX104" s="1"/>
      <c r="HY104" s="1"/>
      <c r="HZ104" s="1"/>
      <c r="IA104" s="1"/>
      <c r="IB104" s="1"/>
      <c r="IC104" s="1"/>
      <c r="ID104" s="1"/>
      <c r="IE104" s="1"/>
      <c r="IF104" s="1"/>
      <c r="IG104" s="1"/>
      <c r="IH104" s="1"/>
      <c r="II104" s="1"/>
      <c r="IJ104" s="1"/>
      <c r="IK104" s="1"/>
      <c r="IL104" s="1"/>
      <c r="IM104" s="1"/>
      <c r="IN104" s="1"/>
      <c r="IO104" s="1"/>
      <c r="IP104" s="1"/>
      <c r="IQ104" s="1"/>
      <c r="IR104" s="1"/>
      <c r="IS104" s="1"/>
      <c r="IT104" s="1"/>
      <c r="IU104" s="1"/>
      <c r="IV104" s="1"/>
      <c r="IW104" s="1"/>
      <c r="IX104" s="1"/>
      <c r="IY104" s="1"/>
      <c r="IZ104" s="1"/>
      <c r="JA104" s="1"/>
      <c r="JB104" s="1"/>
      <c r="JC104" s="1"/>
      <c r="JD104" s="1"/>
      <c r="JE104" s="1"/>
      <c r="JF104" s="1"/>
      <c r="JG104" s="1"/>
      <c r="JH104" s="1"/>
      <c r="JI104" s="1"/>
      <c r="JJ104" s="1"/>
      <c r="JK104" s="1"/>
      <c r="JL104" s="1"/>
      <c r="JM104" s="1"/>
      <c r="JN104" s="1"/>
      <c r="JO104" s="1"/>
      <c r="JP104" s="1"/>
      <c r="JQ104" s="1"/>
      <c r="JR104" s="1"/>
      <c r="JS104" s="1"/>
      <c r="JT104" s="1"/>
      <c r="JU104" s="1"/>
      <c r="JV104" s="1"/>
      <c r="JW104" s="1"/>
      <c r="JX104" s="1"/>
      <c r="JY104" s="1"/>
      <c r="JZ104" s="1"/>
      <c r="KA104" s="1"/>
      <c r="KB104" s="1"/>
      <c r="KC104" s="1"/>
      <c r="KD104" s="1"/>
      <c r="KE104" s="1"/>
      <c r="KF104" s="1"/>
      <c r="KG104" s="1"/>
      <c r="KH104" s="1"/>
      <c r="KI104" s="1"/>
      <c r="KJ104" s="1"/>
      <c r="KK104" s="1"/>
      <c r="KL104" s="1"/>
      <c r="KM104" s="1"/>
      <c r="KN104" s="1"/>
      <c r="KO104" s="1"/>
      <c r="KP104" s="1"/>
      <c r="KQ104" s="1"/>
      <c r="KR104" s="1"/>
      <c r="KS104" s="1"/>
      <c r="KT104" s="1"/>
      <c r="KU104" s="1"/>
      <c r="KV104" s="1"/>
      <c r="KW104" s="1"/>
      <c r="KX104" s="1"/>
      <c r="KY104" s="1"/>
      <c r="KZ104" s="1"/>
      <c r="LA104" s="1"/>
      <c r="LB104" s="1"/>
      <c r="LC104" s="1"/>
      <c r="LD104" s="1"/>
      <c r="LE104" s="1"/>
      <c r="LF104" s="1"/>
      <c r="LG104" s="1"/>
      <c r="LH104" s="1"/>
      <c r="LI104" s="1"/>
      <c r="LJ104" s="1"/>
      <c r="LK104" s="1"/>
      <c r="LL104" s="1"/>
      <c r="LM104" s="1"/>
      <c r="LN104" s="1"/>
      <c r="LO104" s="1"/>
      <c r="LP104" s="1"/>
      <c r="LQ104" s="1"/>
      <c r="LR104" s="1"/>
      <c r="LS104" s="1"/>
      <c r="LT104" s="1"/>
      <c r="LU104" s="1"/>
      <c r="LV104" s="1"/>
      <c r="LW104" s="1"/>
      <c r="LX104" s="1"/>
      <c r="LY104" s="1"/>
      <c r="LZ104" s="1"/>
      <c r="MA104" s="1"/>
      <c r="MB104" s="1"/>
      <c r="MC104" s="1"/>
      <c r="MD104" s="1"/>
      <c r="ME104" s="1"/>
      <c r="MF104" s="1"/>
      <c r="MG104" s="1"/>
      <c r="MH104" s="1"/>
      <c r="MI104" s="1"/>
      <c r="MJ104" s="1"/>
      <c r="MK104" s="1"/>
      <c r="ML104" s="1"/>
      <c r="MM104" s="1"/>
      <c r="MN104" s="1"/>
      <c r="MO104" s="1"/>
      <c r="MP104" s="1"/>
      <c r="MQ104" s="1"/>
      <c r="MR104" s="1"/>
      <c r="MS104" s="1"/>
      <c r="MT104" s="1"/>
      <c r="MU104" s="1"/>
      <c r="MV104" s="1"/>
      <c r="MW104" s="1"/>
      <c r="MX104" s="1"/>
      <c r="MY104" s="1"/>
      <c r="MZ104" s="1"/>
      <c r="NA104" s="1"/>
      <c r="NB104" s="1"/>
      <c r="NC104" s="1"/>
      <c r="ND104" s="1"/>
      <c r="NE104" s="1"/>
      <c r="NF104" s="1"/>
      <c r="NG104" s="1"/>
      <c r="NH104" s="1"/>
      <c r="NI104" s="1"/>
      <c r="NJ104" s="1"/>
      <c r="NK104" s="1"/>
      <c r="NL104" s="1"/>
      <c r="NM104" s="1"/>
      <c r="NN104" s="1"/>
      <c r="NO104" s="1"/>
      <c r="NP104" s="1"/>
      <c r="NQ104" s="1"/>
      <c r="NR104" s="1"/>
      <c r="NS104" s="1"/>
      <c r="NT104" s="1"/>
      <c r="NU104" s="1"/>
      <c r="NV104" s="1"/>
      <c r="NW104" s="1"/>
      <c r="NX104" s="1"/>
      <c r="NY104" s="1"/>
      <c r="NZ104" s="1"/>
      <c r="OA104" s="1"/>
      <c r="OB104" s="1"/>
      <c r="OC104" s="1"/>
      <c r="OD104" s="1"/>
      <c r="OE104" s="1"/>
      <c r="OF104" s="1"/>
      <c r="OG104" s="1"/>
      <c r="OH104" s="1"/>
      <c r="OI104" s="1"/>
      <c r="OJ104" s="1"/>
      <c r="OK104" s="1"/>
      <c r="OL104" s="1"/>
      <c r="OM104" s="1"/>
      <c r="ON104" s="1"/>
      <c r="OO104" s="1"/>
      <c r="OP104" s="1"/>
      <c r="OQ104" s="1"/>
      <c r="OR104" s="1"/>
      <c r="OS104" s="1"/>
      <c r="OT104" s="1"/>
      <c r="OU104" s="1"/>
      <c r="OV104" s="1"/>
      <c r="OW104" s="1"/>
      <c r="OX104" s="1"/>
      <c r="OY104" s="1"/>
      <c r="OZ104" s="1"/>
      <c r="PA104" s="1"/>
      <c r="PB104" s="1"/>
      <c r="PC104" s="1"/>
      <c r="PD104" s="1"/>
      <c r="PE104" s="1"/>
      <c r="PF104" s="1"/>
      <c r="PG104" s="1"/>
      <c r="PH104" s="1"/>
      <c r="PI104" s="1"/>
      <c r="PJ104" s="1"/>
      <c r="PK104" s="1"/>
      <c r="PL104" s="1"/>
      <c r="PM104" s="1"/>
      <c r="PN104" s="1"/>
      <c r="PO104" s="1"/>
      <c r="PP104" s="1"/>
      <c r="PQ104" s="1"/>
      <c r="PR104" s="1"/>
      <c r="PS104" s="1"/>
      <c r="PT104" s="1"/>
      <c r="PU104" s="1"/>
      <c r="PV104" s="1"/>
      <c r="PW104" s="1"/>
      <c r="PX104" s="1"/>
      <c r="PY104" s="1"/>
      <c r="PZ104" s="1"/>
      <c r="QA104" s="1"/>
      <c r="QB104" s="1"/>
      <c r="QC104" s="1"/>
      <c r="QD104" s="1"/>
      <c r="QE104" s="1"/>
      <c r="QF104" s="1"/>
      <c r="QG104" s="1"/>
      <c r="QH104" s="1"/>
      <c r="QI104" s="1"/>
      <c r="QJ104" s="1"/>
      <c r="QK104" s="1"/>
      <c r="QL104" s="1"/>
      <c r="QM104" s="1"/>
      <c r="QN104" s="1"/>
      <c r="QO104" s="1"/>
      <c r="QP104" s="1"/>
      <c r="QQ104" s="1"/>
      <c r="QR104" s="1"/>
      <c r="QS104" s="1"/>
      <c r="QT104" s="1"/>
      <c r="QU104" s="1"/>
      <c r="QV104" s="1"/>
      <c r="QW104" s="1"/>
      <c r="QX104" s="1"/>
      <c r="QY104" s="1"/>
      <c r="QZ104" s="1"/>
      <c r="RA104" s="1"/>
      <c r="RB104" s="1"/>
      <c r="RC104" s="1"/>
      <c r="RD104" s="1"/>
      <c r="RE104" s="1"/>
      <c r="RF104" s="1"/>
      <c r="RG104" s="1"/>
      <c r="RH104" s="1"/>
      <c r="RI104" s="1"/>
      <c r="RJ104" s="1"/>
      <c r="RK104" s="1"/>
      <c r="RL104" s="1"/>
      <c r="RM104" s="1"/>
      <c r="RN104" s="1"/>
      <c r="RO104" s="1"/>
      <c r="RP104" s="1"/>
      <c r="RQ104" s="1"/>
      <c r="RR104" s="1"/>
      <c r="RS104" s="1"/>
      <c r="RT104" s="1"/>
      <c r="RU104" s="1"/>
      <c r="RV104" s="1"/>
      <c r="RW104" s="1"/>
      <c r="RX104" s="1"/>
      <c r="RY104" s="1"/>
      <c r="RZ104" s="1"/>
      <c r="SA104" s="1"/>
      <c r="SB104" s="1"/>
      <c r="SC104" s="1"/>
      <c r="SD104" s="1"/>
      <c r="SE104" s="1"/>
      <c r="SF104" s="1"/>
      <c r="SG104" s="1"/>
      <c r="SH104" s="1"/>
      <c r="SI104" s="1"/>
      <c r="SJ104" s="1"/>
      <c r="SK104" s="1"/>
      <c r="SL104" s="1"/>
      <c r="SM104" s="1"/>
      <c r="SN104" s="1"/>
      <c r="SO104" s="1"/>
      <c r="SP104" s="1"/>
      <c r="SQ104" s="1"/>
      <c r="SR104" s="1"/>
      <c r="SS104" s="1"/>
      <c r="ST104" s="1"/>
      <c r="SU104" s="1"/>
      <c r="SV104" s="1"/>
      <c r="SW104" s="1"/>
      <c r="SX104" s="1"/>
      <c r="SY104" s="1"/>
      <c r="SZ104" s="1"/>
      <c r="TA104" s="1"/>
      <c r="TB104" s="1"/>
      <c r="TC104" s="1"/>
      <c r="TD104" s="1"/>
      <c r="TE104" s="1"/>
      <c r="TF104" s="1"/>
      <c r="TG104" s="1"/>
      <c r="TH104" s="1"/>
      <c r="TI104" s="1"/>
      <c r="TJ104" s="1"/>
      <c r="TK104" s="1"/>
      <c r="TL104" s="1"/>
      <c r="TM104" s="1"/>
      <c r="TN104" s="1"/>
      <c r="TO104" s="1"/>
      <c r="TP104" s="1"/>
      <c r="TQ104" s="1"/>
      <c r="TR104" s="1"/>
      <c r="TS104" s="1"/>
      <c r="TT104" s="1"/>
      <c r="TU104" s="1"/>
      <c r="TV104" s="1"/>
      <c r="TW104" s="1"/>
      <c r="TX104" s="1"/>
      <c r="TY104" s="1"/>
      <c r="TZ104" s="1"/>
      <c r="UA104" s="1"/>
      <c r="UB104" s="1"/>
      <c r="UC104" s="1"/>
      <c r="UD104" s="1"/>
      <c r="UE104" s="1"/>
      <c r="UF104" s="1"/>
      <c r="UG104" s="1"/>
      <c r="UH104" s="1"/>
      <c r="UI104" s="1"/>
      <c r="UJ104" s="1"/>
      <c r="UK104" s="1"/>
      <c r="UL104" s="1"/>
      <c r="UM104" s="1"/>
      <c r="UN104" s="1"/>
      <c r="UO104" s="1"/>
      <c r="UP104" s="1"/>
      <c r="UQ104" s="1"/>
      <c r="UR104" s="1"/>
      <c r="US104" s="1"/>
      <c r="UT104" s="1"/>
      <c r="UU104" s="1"/>
      <c r="UV104" s="1"/>
      <c r="UW104" s="1"/>
      <c r="UX104" s="1"/>
      <c r="UY104" s="1"/>
      <c r="UZ104" s="1"/>
      <c r="VA104" s="1"/>
      <c r="VB104" s="1"/>
      <c r="VC104" s="1"/>
      <c r="VD104" s="1"/>
      <c r="VE104" s="1"/>
      <c r="VF104" s="1"/>
      <c r="VG104" s="1"/>
      <c r="VH104" s="1"/>
      <c r="VI104" s="1"/>
      <c r="VJ104" s="1"/>
      <c r="VK104" s="1"/>
      <c r="VL104" s="1"/>
      <c r="VM104" s="1"/>
      <c r="VN104" s="1"/>
      <c r="VO104" s="1"/>
      <c r="VP104" s="1"/>
      <c r="VQ104" s="1"/>
      <c r="VR104" s="1"/>
      <c r="VS104" s="1"/>
      <c r="VT104" s="1"/>
      <c r="VU104" s="1"/>
      <c r="VV104" s="1"/>
      <c r="VW104" s="1"/>
      <c r="VX104" s="1"/>
      <c r="VY104" s="1"/>
      <c r="VZ104" s="1"/>
      <c r="WA104" s="1"/>
      <c r="WB104" s="1"/>
      <c r="WC104" s="1"/>
      <c r="WD104" s="1"/>
      <c r="WE104" s="1"/>
      <c r="WF104" s="1"/>
      <c r="WG104" s="1"/>
      <c r="WH104" s="1"/>
      <c r="WI104" s="1"/>
      <c r="WJ104" s="1"/>
      <c r="WK104" s="1"/>
      <c r="WL104" s="1"/>
      <c r="WM104" s="1"/>
      <c r="WN104" s="1"/>
      <c r="WO104" s="1"/>
      <c r="WP104" s="1"/>
      <c r="WQ104" s="1"/>
      <c r="WR104" s="1"/>
      <c r="WS104" s="1"/>
      <c r="WT104" s="1"/>
      <c r="WU104" s="1"/>
      <c r="WV104" s="1"/>
      <c r="WW104" s="1"/>
      <c r="WX104" s="1"/>
      <c r="WY104" s="1"/>
      <c r="WZ104" s="1"/>
      <c r="XA104" s="1"/>
      <c r="XB104" s="1"/>
      <c r="XC104" s="1"/>
      <c r="XD104" s="1"/>
      <c r="XE104" s="1"/>
      <c r="XF104" s="1"/>
      <c r="XG104" s="1"/>
      <c r="XH104" s="1"/>
      <c r="XI104" s="1"/>
      <c r="XJ104" s="1"/>
      <c r="XK104" s="1"/>
      <c r="XL104" s="1"/>
      <c r="XM104" s="1"/>
      <c r="XN104" s="1"/>
      <c r="XO104" s="1"/>
      <c r="XP104" s="1"/>
      <c r="XQ104" s="1"/>
      <c r="XR104" s="1"/>
      <c r="XS104" s="1"/>
      <c r="XT104" s="1"/>
      <c r="XU104" s="1"/>
      <c r="XV104" s="1"/>
      <c r="XW104" s="1"/>
      <c r="XX104" s="1"/>
      <c r="XY104" s="1"/>
      <c r="XZ104" s="1"/>
      <c r="YA104" s="1"/>
      <c r="YB104" s="1"/>
      <c r="YC104" s="1"/>
      <c r="YD104" s="1"/>
      <c r="YE104" s="1"/>
      <c r="YF104" s="1"/>
      <c r="YG104" s="1"/>
      <c r="YH104" s="1"/>
      <c r="YI104" s="1"/>
      <c r="YJ104" s="1"/>
      <c r="YK104" s="1"/>
      <c r="YL104" s="1"/>
      <c r="YM104" s="1"/>
      <c r="YN104" s="1"/>
      <c r="YO104" s="1"/>
      <c r="YP104" s="1"/>
      <c r="YQ104" s="1"/>
      <c r="YR104" s="1"/>
      <c r="YS104" s="1"/>
      <c r="YT104" s="1"/>
      <c r="YU104" s="1"/>
      <c r="YV104" s="1"/>
      <c r="YW104" s="1"/>
      <c r="YX104" s="1"/>
      <c r="YY104" s="1"/>
      <c r="YZ104" s="1"/>
      <c r="ZA104" s="1"/>
      <c r="ZB104" s="1"/>
      <c r="ZC104" s="1"/>
      <c r="ZD104" s="1"/>
      <c r="ZE104" s="1"/>
      <c r="ZF104" s="1"/>
      <c r="ZG104" s="1"/>
      <c r="ZH104" s="1"/>
      <c r="ZI104" s="1"/>
      <c r="ZJ104" s="1"/>
      <c r="ZK104" s="1"/>
      <c r="ZL104" s="1"/>
      <c r="ZM104" s="1"/>
      <c r="ZN104" s="1"/>
      <c r="ZO104" s="1"/>
      <c r="ZP104" s="1"/>
      <c r="ZQ104" s="1"/>
      <c r="ZR104" s="1"/>
      <c r="ZS104" s="1"/>
      <c r="ZT104" s="1"/>
      <c r="ZU104" s="1"/>
      <c r="ZV104" s="1"/>
      <c r="ZW104" s="1"/>
      <c r="ZX104" s="1"/>
      <c r="ZY104" s="1"/>
      <c r="ZZ104" s="1"/>
      <c r="AAA104" s="1"/>
      <c r="AAB104" s="1"/>
      <c r="AAC104" s="1"/>
      <c r="AAD104" s="1"/>
      <c r="AAE104" s="1"/>
      <c r="AAF104" s="1"/>
      <c r="AAG104" s="1"/>
      <c r="AAH104" s="1"/>
      <c r="AAI104" s="1"/>
      <c r="AAJ104" s="1"/>
      <c r="AAK104" s="1"/>
      <c r="AAL104" s="1"/>
      <c r="AAM104" s="1"/>
      <c r="AAN104" s="1"/>
      <c r="AAO104" s="1"/>
      <c r="AAP104" s="1"/>
      <c r="AAQ104" s="1"/>
      <c r="AAR104" s="1"/>
      <c r="AAS104" s="1"/>
      <c r="AAT104" s="1"/>
      <c r="AAU104" s="1"/>
      <c r="AAV104" s="1"/>
      <c r="AAW104" s="1"/>
      <c r="AAX104" s="1"/>
      <c r="AAY104" s="1"/>
      <c r="AAZ104" s="1"/>
      <c r="ABA104" s="1"/>
      <c r="ABB104" s="1"/>
      <c r="ABC104" s="1"/>
      <c r="ABD104" s="1"/>
      <c r="ABE104" s="1"/>
      <c r="ABF104" s="1"/>
      <c r="ABG104" s="1"/>
      <c r="ABH104" s="1"/>
      <c r="ABI104" s="1"/>
      <c r="ABJ104" s="1"/>
      <c r="ABK104" s="1"/>
      <c r="ABL104" s="1"/>
      <c r="ABM104" s="1"/>
      <c r="ABN104" s="1"/>
      <c r="ABO104" s="1"/>
      <c r="ABP104" s="1"/>
      <c r="ABQ104" s="1"/>
      <c r="ABR104" s="1"/>
      <c r="ABS104" s="1"/>
      <c r="ABT104" s="1"/>
      <c r="ABU104" s="1"/>
      <c r="ABV104" s="1"/>
      <c r="ABW104" s="1"/>
      <c r="ABX104" s="1"/>
      <c r="ABY104" s="1"/>
      <c r="ABZ104" s="1"/>
      <c r="ACA104" s="1"/>
      <c r="ACB104" s="1"/>
      <c r="ACC104" s="1"/>
      <c r="ACD104" s="1"/>
      <c r="ACE104" s="1"/>
      <c r="ACF104" s="1"/>
      <c r="ACG104" s="1"/>
      <c r="ACH104" s="1"/>
      <c r="ACI104" s="1"/>
      <c r="ACJ104" s="1"/>
      <c r="ACK104" s="1"/>
      <c r="ACL104" s="1"/>
      <c r="ACM104" s="1"/>
      <c r="ACN104" s="1"/>
      <c r="ACO104" s="1"/>
      <c r="ACP104" s="1"/>
      <c r="ACQ104" s="1"/>
      <c r="ACR104" s="1"/>
      <c r="ACS104" s="1"/>
      <c r="ACT104" s="1"/>
      <c r="ACU104" s="1"/>
      <c r="ACV104" s="1"/>
      <c r="ACW104" s="1"/>
      <c r="ACX104" s="1"/>
      <c r="ACY104" s="1"/>
      <c r="ACZ104" s="1"/>
      <c r="ADA104" s="1"/>
      <c r="ADB104" s="1"/>
      <c r="ADC104" s="1"/>
      <c r="ADD104" s="1"/>
      <c r="ADE104" s="1"/>
      <c r="ADF104" s="1"/>
      <c r="ADG104" s="1"/>
      <c r="ADH104" s="1"/>
      <c r="ADI104" s="1"/>
      <c r="ADJ104" s="1"/>
      <c r="ADK104" s="1"/>
      <c r="ADL104" s="1"/>
      <c r="ADM104" s="1"/>
      <c r="ADN104" s="1"/>
      <c r="ADO104" s="1"/>
      <c r="ADP104" s="1"/>
      <c r="ADQ104" s="1"/>
      <c r="ADR104" s="1"/>
      <c r="ADS104" s="1"/>
      <c r="ADT104" s="1"/>
      <c r="ADU104" s="1"/>
      <c r="ADV104" s="1"/>
      <c r="ADW104" s="1"/>
      <c r="ADX104" s="1"/>
      <c r="ADY104" s="1"/>
      <c r="ADZ104" s="1"/>
      <c r="AEA104" s="1"/>
      <c r="AEB104" s="1"/>
      <c r="AEC104" s="1"/>
      <c r="AED104" s="1"/>
      <c r="AEE104" s="1"/>
      <c r="AEF104" s="1"/>
      <c r="AEG104" s="1"/>
      <c r="AEH104" s="1"/>
      <c r="AEI104" s="1"/>
      <c r="AEJ104" s="1"/>
      <c r="AEK104" s="1"/>
      <c r="AEL104" s="1"/>
      <c r="AEM104" s="1"/>
      <c r="AEN104" s="1"/>
      <c r="AEO104" s="1"/>
      <c r="AEP104" s="1"/>
      <c r="AEQ104" s="1"/>
      <c r="AER104" s="1"/>
      <c r="AES104" s="1"/>
      <c r="AET104" s="1"/>
      <c r="AEU104" s="1"/>
      <c r="AEV104" s="1"/>
      <c r="AEW104" s="1"/>
      <c r="AEX104" s="1"/>
      <c r="AEY104" s="1"/>
      <c r="AEZ104" s="1"/>
      <c r="AFA104" s="1"/>
      <c r="AFB104" s="1"/>
      <c r="AFC104" s="1"/>
      <c r="AFD104" s="1"/>
      <c r="AFE104" s="1"/>
      <c r="AFF104" s="1"/>
      <c r="AFG104" s="1"/>
      <c r="AFH104" s="1"/>
      <c r="AFI104" s="1"/>
      <c r="AFJ104" s="1"/>
      <c r="AFK104" s="1"/>
      <c r="AFL104" s="1"/>
      <c r="AFM104" s="1"/>
      <c r="AFN104" s="1"/>
      <c r="AFO104" s="1"/>
      <c r="AFP104" s="1"/>
      <c r="AFQ104" s="1"/>
      <c r="AFR104" s="1"/>
      <c r="AFS104" s="1"/>
      <c r="AFT104" s="1"/>
      <c r="AFU104" s="1"/>
      <c r="AFV104" s="1"/>
      <c r="AFW104" s="1"/>
      <c r="AFX104" s="1"/>
      <c r="AFY104" s="1"/>
      <c r="AFZ104" s="1"/>
      <c r="AGA104" s="1"/>
      <c r="AGB104" s="1"/>
      <c r="AGC104" s="1"/>
      <c r="AGD104" s="1"/>
      <c r="AGE104" s="1"/>
      <c r="AGF104" s="1"/>
      <c r="AGG104" s="1"/>
      <c r="AGH104" s="1"/>
      <c r="AGI104" s="1"/>
      <c r="AGJ104" s="1"/>
      <c r="AGK104" s="1"/>
      <c r="AGL104" s="1"/>
      <c r="AGM104" s="1"/>
      <c r="AGN104" s="1"/>
      <c r="AGO104" s="1"/>
      <c r="AGP104" s="1"/>
      <c r="AGQ104" s="1"/>
      <c r="AGR104" s="1"/>
      <c r="AGS104" s="1"/>
      <c r="AGT104" s="1"/>
      <c r="AGU104" s="1"/>
      <c r="AGV104" s="1"/>
      <c r="AGW104" s="1"/>
      <c r="AGX104" s="1"/>
      <c r="AGY104" s="1"/>
      <c r="AGZ104" s="1"/>
      <c r="AHA104" s="1"/>
      <c r="AHB104" s="1"/>
      <c r="AHC104" s="1"/>
      <c r="AHD104" s="1"/>
      <c r="AHE104" s="1"/>
      <c r="AHF104" s="1"/>
      <c r="AHG104" s="1"/>
      <c r="AHH104" s="1"/>
      <c r="AHI104" s="1"/>
      <c r="AHJ104" s="1"/>
      <c r="AHK104" s="1"/>
      <c r="AHL104" s="1"/>
      <c r="AHM104" s="1"/>
      <c r="AHN104" s="1"/>
      <c r="AHO104" s="1"/>
      <c r="AHP104" s="1"/>
      <c r="AHQ104" s="1"/>
      <c r="AHR104" s="1"/>
      <c r="AHS104" s="1"/>
      <c r="AHT104" s="1"/>
      <c r="AHU104" s="1"/>
      <c r="AHV104" s="1"/>
      <c r="AHW104" s="1"/>
      <c r="AHX104" s="1"/>
      <c r="AHY104" s="1"/>
      <c r="AHZ104" s="1"/>
      <c r="AIA104" s="1"/>
      <c r="AIB104" s="1"/>
      <c r="AIC104" s="1"/>
      <c r="AID104" s="1"/>
      <c r="AIE104" s="1"/>
      <c r="AIF104" s="1"/>
      <c r="AIG104" s="1"/>
      <c r="AIH104" s="1"/>
      <c r="AII104" s="1"/>
      <c r="AIJ104" s="1"/>
      <c r="AIK104" s="1"/>
      <c r="AIL104" s="1"/>
      <c r="AIM104" s="1"/>
      <c r="AIN104" s="1"/>
      <c r="AIO104" s="1"/>
      <c r="AIP104" s="1"/>
      <c r="AIQ104" s="1"/>
      <c r="AIR104" s="1"/>
      <c r="AIS104" s="1"/>
      <c r="AIT104" s="1"/>
      <c r="AIU104" s="1"/>
      <c r="AIV104" s="1"/>
      <c r="AIW104" s="1"/>
      <c r="AIX104" s="1"/>
      <c r="AIY104" s="1"/>
      <c r="AIZ104" s="1"/>
      <c r="AJA104" s="1"/>
      <c r="AJB104" s="1"/>
      <c r="AJC104" s="1"/>
      <c r="AJD104" s="1"/>
      <c r="AJE104" s="1"/>
      <c r="AJF104" s="1"/>
      <c r="AJG104" s="1"/>
      <c r="AJH104" s="1"/>
      <c r="AJI104" s="1"/>
      <c r="AJJ104" s="1"/>
      <c r="AJK104" s="1"/>
      <c r="AJL104" s="1"/>
      <c r="AJM104" s="1"/>
      <c r="AJN104" s="1"/>
      <c r="AJO104" s="1"/>
      <c r="AJP104" s="1"/>
      <c r="AJQ104" s="1"/>
      <c r="AJR104" s="1"/>
      <c r="AJS104" s="1"/>
      <c r="AJT104" s="1"/>
      <c r="AJU104" s="1"/>
      <c r="AJV104" s="1"/>
      <c r="AJW104" s="1"/>
      <c r="AJX104" s="1"/>
      <c r="AJY104" s="1"/>
      <c r="AJZ104" s="1"/>
      <c r="AKA104" s="1"/>
      <c r="AKB104" s="1"/>
      <c r="AKC104" s="1"/>
      <c r="AKD104" s="1"/>
      <c r="AKE104" s="1"/>
      <c r="AKF104" s="1"/>
      <c r="AKG104" s="1"/>
      <c r="AKH104" s="1"/>
      <c r="AKI104" s="1"/>
      <c r="AKJ104" s="1"/>
      <c r="AKK104" s="1"/>
      <c r="AKL104" s="1"/>
      <c r="AKM104" s="1"/>
      <c r="AKN104" s="1"/>
      <c r="AKO104" s="1"/>
      <c r="AKP104" s="1"/>
      <c r="AKQ104" s="1"/>
      <c r="AKR104" s="1"/>
      <c r="AKS104" s="1"/>
      <c r="AKT104" s="1"/>
      <c r="AKU104" s="1"/>
      <c r="AKV104" s="1"/>
      <c r="AKW104" s="1"/>
      <c r="AKX104" s="1"/>
      <c r="AKY104" s="1"/>
      <c r="AKZ104" s="1"/>
      <c r="ALA104" s="1"/>
      <c r="ALB104" s="1"/>
      <c r="ALC104" s="1"/>
      <c r="ALD104" s="1"/>
      <c r="ALE104" s="1"/>
      <c r="ALF104" s="1"/>
      <c r="ALG104" s="1"/>
      <c r="ALH104" s="1"/>
      <c r="ALI104" s="1"/>
      <c r="ALJ104" s="1"/>
      <c r="ALK104" s="1"/>
      <c r="ALL104" s="1"/>
      <c r="ALM104" s="1"/>
      <c r="ALN104" s="1"/>
      <c r="ALO104" s="1"/>
      <c r="ALP104" s="1"/>
      <c r="ALQ104" s="1"/>
      <c r="ALR104" s="1"/>
      <c r="ALS104" s="1"/>
      <c r="ALT104" s="1"/>
      <c r="ALU104" s="1"/>
      <c r="ALV104" s="1"/>
      <c r="ALW104" s="1"/>
      <c r="ALX104" s="1"/>
      <c r="ALY104" s="1"/>
      <c r="ALZ104" s="1"/>
      <c r="AMA104" s="1"/>
      <c r="AMB104" s="1"/>
      <c r="AMC104" s="1"/>
      <c r="AMD104" s="1"/>
      <c r="AME104" s="1"/>
      <c r="AMF104" s="1"/>
      <c r="AMG104" s="1"/>
      <c r="AMH104" s="1"/>
      <c r="AMI104" s="1"/>
      <c r="AMJ104" s="1"/>
    </row>
    <row r="105" customFormat="false" ht="10.5" hidden="false" customHeight="true" outlineLevel="0" collapsed="false">
      <c r="A105" s="97" t="n">
        <v>5</v>
      </c>
      <c r="B105" s="138"/>
      <c r="C105" s="138"/>
      <c r="D105" s="138"/>
      <c r="E105" s="138"/>
      <c r="F105" s="138"/>
      <c r="G105" s="138"/>
      <c r="H105" s="138"/>
      <c r="I105" s="138"/>
      <c r="J105" s="19"/>
      <c r="K105" s="19"/>
      <c r="L105" s="19"/>
      <c r="M105" s="19"/>
      <c r="N105" s="19"/>
      <c r="O105" s="19"/>
      <c r="P105" s="19"/>
      <c r="Q105" s="19"/>
      <c r="R105" s="19"/>
      <c r="S105" s="19"/>
      <c r="T105" s="19"/>
      <c r="U105" s="19"/>
      <c r="V105" s="19"/>
      <c r="W105" s="139" t="n">
        <f aca="false">J105*S105</f>
        <v>0</v>
      </c>
      <c r="X105" s="139"/>
      <c r="Y105" s="139"/>
      <c r="Z105" s="139"/>
      <c r="AA105" s="139" t="n">
        <f aca="false">J105*P105</f>
        <v>0</v>
      </c>
      <c r="AB105" s="139"/>
      <c r="AC105" s="139"/>
      <c r="AD105" s="139"/>
      <c r="AE105" s="139" t="n">
        <f aca="false">M105*P105</f>
        <v>0</v>
      </c>
      <c r="AF105" s="139"/>
      <c r="AG105" s="139"/>
      <c r="AH105" s="140" t="n">
        <f aca="false">W105-AA105</f>
        <v>0</v>
      </c>
      <c r="AI105" s="140"/>
      <c r="AJ105" s="140"/>
      <c r="AK105" s="140"/>
      <c r="AL105" s="141" t="str">
        <f aca="false">IFERROR(AH105/$AH$114,"$-")</f>
        <v>$-</v>
      </c>
      <c r="AM105" s="141"/>
      <c r="AN105" s="141"/>
      <c r="AO105" s="14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c r="IY105" s="1"/>
      <c r="IZ105" s="1"/>
      <c r="JA105" s="1"/>
      <c r="JB105" s="1"/>
      <c r="JC105" s="1"/>
      <c r="JD105" s="1"/>
      <c r="JE105" s="1"/>
      <c r="JF105" s="1"/>
      <c r="JG105" s="1"/>
      <c r="JH105" s="1"/>
      <c r="JI105" s="1"/>
      <c r="JJ105" s="1"/>
      <c r="JK105" s="1"/>
      <c r="JL105" s="1"/>
      <c r="JM105" s="1"/>
      <c r="JN105" s="1"/>
      <c r="JO105" s="1"/>
      <c r="JP105" s="1"/>
      <c r="JQ105" s="1"/>
      <c r="JR105" s="1"/>
      <c r="JS105" s="1"/>
      <c r="JT105" s="1"/>
      <c r="JU105" s="1"/>
      <c r="JV105" s="1"/>
      <c r="JW105" s="1"/>
      <c r="JX105" s="1"/>
      <c r="JY105" s="1"/>
      <c r="JZ105" s="1"/>
      <c r="KA105" s="1"/>
      <c r="KB105" s="1"/>
      <c r="KC105" s="1"/>
      <c r="KD105" s="1"/>
      <c r="KE105" s="1"/>
      <c r="KF105" s="1"/>
      <c r="KG105" s="1"/>
      <c r="KH105" s="1"/>
      <c r="KI105" s="1"/>
      <c r="KJ105" s="1"/>
      <c r="KK105" s="1"/>
      <c r="KL105" s="1"/>
      <c r="KM105" s="1"/>
      <c r="KN105" s="1"/>
      <c r="KO105" s="1"/>
      <c r="KP105" s="1"/>
      <c r="KQ105" s="1"/>
      <c r="KR105" s="1"/>
      <c r="KS105" s="1"/>
      <c r="KT105" s="1"/>
      <c r="KU105" s="1"/>
      <c r="KV105" s="1"/>
      <c r="KW105" s="1"/>
      <c r="KX105" s="1"/>
      <c r="KY105" s="1"/>
      <c r="KZ105" s="1"/>
      <c r="LA105" s="1"/>
      <c r="LB105" s="1"/>
      <c r="LC105" s="1"/>
      <c r="LD105" s="1"/>
      <c r="LE105" s="1"/>
      <c r="LF105" s="1"/>
      <c r="LG105" s="1"/>
      <c r="LH105" s="1"/>
      <c r="LI105" s="1"/>
      <c r="LJ105" s="1"/>
      <c r="LK105" s="1"/>
      <c r="LL105" s="1"/>
      <c r="LM105" s="1"/>
      <c r="LN105" s="1"/>
      <c r="LO105" s="1"/>
      <c r="LP105" s="1"/>
      <c r="LQ105" s="1"/>
      <c r="LR105" s="1"/>
      <c r="LS105" s="1"/>
      <c r="LT105" s="1"/>
      <c r="LU105" s="1"/>
      <c r="LV105" s="1"/>
      <c r="LW105" s="1"/>
      <c r="LX105" s="1"/>
      <c r="LY105" s="1"/>
      <c r="LZ105" s="1"/>
      <c r="MA105" s="1"/>
      <c r="MB105" s="1"/>
      <c r="MC105" s="1"/>
      <c r="MD105" s="1"/>
      <c r="ME105" s="1"/>
      <c r="MF105" s="1"/>
      <c r="MG105" s="1"/>
      <c r="MH105" s="1"/>
      <c r="MI105" s="1"/>
      <c r="MJ105" s="1"/>
      <c r="MK105" s="1"/>
      <c r="ML105" s="1"/>
      <c r="MM105" s="1"/>
      <c r="MN105" s="1"/>
      <c r="MO105" s="1"/>
      <c r="MP105" s="1"/>
      <c r="MQ105" s="1"/>
      <c r="MR105" s="1"/>
      <c r="MS105" s="1"/>
      <c r="MT105" s="1"/>
      <c r="MU105" s="1"/>
      <c r="MV105" s="1"/>
      <c r="MW105" s="1"/>
      <c r="MX105" s="1"/>
      <c r="MY105" s="1"/>
      <c r="MZ105" s="1"/>
      <c r="NA105" s="1"/>
      <c r="NB105" s="1"/>
      <c r="NC105" s="1"/>
      <c r="ND105" s="1"/>
      <c r="NE105" s="1"/>
      <c r="NF105" s="1"/>
      <c r="NG105" s="1"/>
      <c r="NH105" s="1"/>
      <c r="NI105" s="1"/>
      <c r="NJ105" s="1"/>
      <c r="NK105" s="1"/>
      <c r="NL105" s="1"/>
      <c r="NM105" s="1"/>
      <c r="NN105" s="1"/>
      <c r="NO105" s="1"/>
      <c r="NP105" s="1"/>
      <c r="NQ105" s="1"/>
      <c r="NR105" s="1"/>
      <c r="NS105" s="1"/>
      <c r="NT105" s="1"/>
      <c r="NU105" s="1"/>
      <c r="NV105" s="1"/>
      <c r="NW105" s="1"/>
      <c r="NX105" s="1"/>
      <c r="NY105" s="1"/>
      <c r="NZ105" s="1"/>
      <c r="OA105" s="1"/>
      <c r="OB105" s="1"/>
      <c r="OC105" s="1"/>
      <c r="OD105" s="1"/>
      <c r="OE105" s="1"/>
      <c r="OF105" s="1"/>
      <c r="OG105" s="1"/>
      <c r="OH105" s="1"/>
      <c r="OI105" s="1"/>
      <c r="OJ105" s="1"/>
      <c r="OK105" s="1"/>
      <c r="OL105" s="1"/>
      <c r="OM105" s="1"/>
      <c r="ON105" s="1"/>
      <c r="OO105" s="1"/>
      <c r="OP105" s="1"/>
      <c r="OQ105" s="1"/>
      <c r="OR105" s="1"/>
      <c r="OS105" s="1"/>
      <c r="OT105" s="1"/>
      <c r="OU105" s="1"/>
      <c r="OV105" s="1"/>
      <c r="OW105" s="1"/>
      <c r="OX105" s="1"/>
      <c r="OY105" s="1"/>
      <c r="OZ105" s="1"/>
      <c r="PA105" s="1"/>
      <c r="PB105" s="1"/>
      <c r="PC105" s="1"/>
      <c r="PD105" s="1"/>
      <c r="PE105" s="1"/>
      <c r="PF105" s="1"/>
      <c r="PG105" s="1"/>
      <c r="PH105" s="1"/>
      <c r="PI105" s="1"/>
      <c r="PJ105" s="1"/>
      <c r="PK105" s="1"/>
      <c r="PL105" s="1"/>
      <c r="PM105" s="1"/>
      <c r="PN105" s="1"/>
      <c r="PO105" s="1"/>
      <c r="PP105" s="1"/>
      <c r="PQ105" s="1"/>
      <c r="PR105" s="1"/>
      <c r="PS105" s="1"/>
      <c r="PT105" s="1"/>
      <c r="PU105" s="1"/>
      <c r="PV105" s="1"/>
      <c r="PW105" s="1"/>
      <c r="PX105" s="1"/>
      <c r="PY105" s="1"/>
      <c r="PZ105" s="1"/>
      <c r="QA105" s="1"/>
      <c r="QB105" s="1"/>
      <c r="QC105" s="1"/>
      <c r="QD105" s="1"/>
      <c r="QE105" s="1"/>
      <c r="QF105" s="1"/>
      <c r="QG105" s="1"/>
      <c r="QH105" s="1"/>
      <c r="QI105" s="1"/>
      <c r="QJ105" s="1"/>
      <c r="QK105" s="1"/>
      <c r="QL105" s="1"/>
      <c r="QM105" s="1"/>
      <c r="QN105" s="1"/>
      <c r="QO105" s="1"/>
      <c r="QP105" s="1"/>
      <c r="QQ105" s="1"/>
      <c r="QR105" s="1"/>
      <c r="QS105" s="1"/>
      <c r="QT105" s="1"/>
      <c r="QU105" s="1"/>
      <c r="QV105" s="1"/>
      <c r="QW105" s="1"/>
      <c r="QX105" s="1"/>
      <c r="QY105" s="1"/>
      <c r="QZ105" s="1"/>
      <c r="RA105" s="1"/>
      <c r="RB105" s="1"/>
      <c r="RC105" s="1"/>
      <c r="RD105" s="1"/>
      <c r="RE105" s="1"/>
      <c r="RF105" s="1"/>
      <c r="RG105" s="1"/>
      <c r="RH105" s="1"/>
      <c r="RI105" s="1"/>
      <c r="RJ105" s="1"/>
      <c r="RK105" s="1"/>
      <c r="RL105" s="1"/>
      <c r="RM105" s="1"/>
      <c r="RN105" s="1"/>
      <c r="RO105" s="1"/>
      <c r="RP105" s="1"/>
      <c r="RQ105" s="1"/>
      <c r="RR105" s="1"/>
      <c r="RS105" s="1"/>
      <c r="RT105" s="1"/>
      <c r="RU105" s="1"/>
      <c r="RV105" s="1"/>
      <c r="RW105" s="1"/>
      <c r="RX105" s="1"/>
      <c r="RY105" s="1"/>
      <c r="RZ105" s="1"/>
      <c r="SA105" s="1"/>
      <c r="SB105" s="1"/>
      <c r="SC105" s="1"/>
      <c r="SD105" s="1"/>
      <c r="SE105" s="1"/>
      <c r="SF105" s="1"/>
      <c r="SG105" s="1"/>
      <c r="SH105" s="1"/>
      <c r="SI105" s="1"/>
      <c r="SJ105" s="1"/>
      <c r="SK105" s="1"/>
      <c r="SL105" s="1"/>
      <c r="SM105" s="1"/>
      <c r="SN105" s="1"/>
      <c r="SO105" s="1"/>
      <c r="SP105" s="1"/>
      <c r="SQ105" s="1"/>
      <c r="SR105" s="1"/>
      <c r="SS105" s="1"/>
      <c r="ST105" s="1"/>
      <c r="SU105" s="1"/>
      <c r="SV105" s="1"/>
      <c r="SW105" s="1"/>
      <c r="SX105" s="1"/>
      <c r="SY105" s="1"/>
      <c r="SZ105" s="1"/>
      <c r="TA105" s="1"/>
      <c r="TB105" s="1"/>
      <c r="TC105" s="1"/>
      <c r="TD105" s="1"/>
      <c r="TE105" s="1"/>
      <c r="TF105" s="1"/>
      <c r="TG105" s="1"/>
      <c r="TH105" s="1"/>
      <c r="TI105" s="1"/>
      <c r="TJ105" s="1"/>
      <c r="TK105" s="1"/>
      <c r="TL105" s="1"/>
      <c r="TM105" s="1"/>
      <c r="TN105" s="1"/>
      <c r="TO105" s="1"/>
      <c r="TP105" s="1"/>
      <c r="TQ105" s="1"/>
      <c r="TR105" s="1"/>
      <c r="TS105" s="1"/>
      <c r="TT105" s="1"/>
      <c r="TU105" s="1"/>
      <c r="TV105" s="1"/>
      <c r="TW105" s="1"/>
      <c r="TX105" s="1"/>
      <c r="TY105" s="1"/>
      <c r="TZ105" s="1"/>
      <c r="UA105" s="1"/>
      <c r="UB105" s="1"/>
      <c r="UC105" s="1"/>
      <c r="UD105" s="1"/>
      <c r="UE105" s="1"/>
      <c r="UF105" s="1"/>
      <c r="UG105" s="1"/>
      <c r="UH105" s="1"/>
      <c r="UI105" s="1"/>
      <c r="UJ105" s="1"/>
      <c r="UK105" s="1"/>
      <c r="UL105" s="1"/>
      <c r="UM105" s="1"/>
      <c r="UN105" s="1"/>
      <c r="UO105" s="1"/>
      <c r="UP105" s="1"/>
      <c r="UQ105" s="1"/>
      <c r="UR105" s="1"/>
      <c r="US105" s="1"/>
      <c r="UT105" s="1"/>
      <c r="UU105" s="1"/>
      <c r="UV105" s="1"/>
      <c r="UW105" s="1"/>
      <c r="UX105" s="1"/>
      <c r="UY105" s="1"/>
      <c r="UZ105" s="1"/>
      <c r="VA105" s="1"/>
      <c r="VB105" s="1"/>
      <c r="VC105" s="1"/>
      <c r="VD105" s="1"/>
      <c r="VE105" s="1"/>
      <c r="VF105" s="1"/>
      <c r="VG105" s="1"/>
      <c r="VH105" s="1"/>
      <c r="VI105" s="1"/>
      <c r="VJ105" s="1"/>
      <c r="VK105" s="1"/>
      <c r="VL105" s="1"/>
      <c r="VM105" s="1"/>
      <c r="VN105" s="1"/>
      <c r="VO105" s="1"/>
      <c r="VP105" s="1"/>
      <c r="VQ105" s="1"/>
      <c r="VR105" s="1"/>
      <c r="VS105" s="1"/>
      <c r="VT105" s="1"/>
      <c r="VU105" s="1"/>
      <c r="VV105" s="1"/>
      <c r="VW105" s="1"/>
      <c r="VX105" s="1"/>
      <c r="VY105" s="1"/>
      <c r="VZ105" s="1"/>
      <c r="WA105" s="1"/>
      <c r="WB105" s="1"/>
      <c r="WC105" s="1"/>
      <c r="WD105" s="1"/>
      <c r="WE105" s="1"/>
      <c r="WF105" s="1"/>
      <c r="WG105" s="1"/>
      <c r="WH105" s="1"/>
      <c r="WI105" s="1"/>
      <c r="WJ105" s="1"/>
      <c r="WK105" s="1"/>
      <c r="WL105" s="1"/>
      <c r="WM105" s="1"/>
      <c r="WN105" s="1"/>
      <c r="WO105" s="1"/>
      <c r="WP105" s="1"/>
      <c r="WQ105" s="1"/>
      <c r="WR105" s="1"/>
      <c r="WS105" s="1"/>
      <c r="WT105" s="1"/>
      <c r="WU105" s="1"/>
      <c r="WV105" s="1"/>
      <c r="WW105" s="1"/>
      <c r="WX105" s="1"/>
      <c r="WY105" s="1"/>
      <c r="WZ105" s="1"/>
      <c r="XA105" s="1"/>
      <c r="XB105" s="1"/>
      <c r="XC105" s="1"/>
      <c r="XD105" s="1"/>
      <c r="XE105" s="1"/>
      <c r="XF105" s="1"/>
      <c r="XG105" s="1"/>
      <c r="XH105" s="1"/>
      <c r="XI105" s="1"/>
      <c r="XJ105" s="1"/>
      <c r="XK105" s="1"/>
      <c r="XL105" s="1"/>
      <c r="XM105" s="1"/>
      <c r="XN105" s="1"/>
      <c r="XO105" s="1"/>
      <c r="XP105" s="1"/>
      <c r="XQ105" s="1"/>
      <c r="XR105" s="1"/>
      <c r="XS105" s="1"/>
      <c r="XT105" s="1"/>
      <c r="XU105" s="1"/>
      <c r="XV105" s="1"/>
      <c r="XW105" s="1"/>
      <c r="XX105" s="1"/>
      <c r="XY105" s="1"/>
      <c r="XZ105" s="1"/>
      <c r="YA105" s="1"/>
      <c r="YB105" s="1"/>
      <c r="YC105" s="1"/>
      <c r="YD105" s="1"/>
      <c r="YE105" s="1"/>
      <c r="YF105" s="1"/>
      <c r="YG105" s="1"/>
      <c r="YH105" s="1"/>
      <c r="YI105" s="1"/>
      <c r="YJ105" s="1"/>
      <c r="YK105" s="1"/>
      <c r="YL105" s="1"/>
      <c r="YM105" s="1"/>
      <c r="YN105" s="1"/>
      <c r="YO105" s="1"/>
      <c r="YP105" s="1"/>
      <c r="YQ105" s="1"/>
      <c r="YR105" s="1"/>
      <c r="YS105" s="1"/>
      <c r="YT105" s="1"/>
      <c r="YU105" s="1"/>
      <c r="YV105" s="1"/>
      <c r="YW105" s="1"/>
      <c r="YX105" s="1"/>
      <c r="YY105" s="1"/>
      <c r="YZ105" s="1"/>
      <c r="ZA105" s="1"/>
      <c r="ZB105" s="1"/>
      <c r="ZC105" s="1"/>
      <c r="ZD105" s="1"/>
      <c r="ZE105" s="1"/>
      <c r="ZF105" s="1"/>
      <c r="ZG105" s="1"/>
      <c r="ZH105" s="1"/>
      <c r="ZI105" s="1"/>
      <c r="ZJ105" s="1"/>
      <c r="ZK105" s="1"/>
      <c r="ZL105" s="1"/>
      <c r="ZM105" s="1"/>
      <c r="ZN105" s="1"/>
      <c r="ZO105" s="1"/>
      <c r="ZP105" s="1"/>
      <c r="ZQ105" s="1"/>
      <c r="ZR105" s="1"/>
      <c r="ZS105" s="1"/>
      <c r="ZT105" s="1"/>
      <c r="ZU105" s="1"/>
      <c r="ZV105" s="1"/>
      <c r="ZW105" s="1"/>
      <c r="ZX105" s="1"/>
      <c r="ZY105" s="1"/>
      <c r="ZZ105" s="1"/>
      <c r="AAA105" s="1"/>
      <c r="AAB105" s="1"/>
      <c r="AAC105" s="1"/>
      <c r="AAD105" s="1"/>
      <c r="AAE105" s="1"/>
      <c r="AAF105" s="1"/>
      <c r="AAG105" s="1"/>
      <c r="AAH105" s="1"/>
      <c r="AAI105" s="1"/>
      <c r="AAJ105" s="1"/>
      <c r="AAK105" s="1"/>
      <c r="AAL105" s="1"/>
      <c r="AAM105" s="1"/>
      <c r="AAN105" s="1"/>
      <c r="AAO105" s="1"/>
      <c r="AAP105" s="1"/>
      <c r="AAQ105" s="1"/>
      <c r="AAR105" s="1"/>
      <c r="AAS105" s="1"/>
      <c r="AAT105" s="1"/>
      <c r="AAU105" s="1"/>
      <c r="AAV105" s="1"/>
      <c r="AAW105" s="1"/>
      <c r="AAX105" s="1"/>
      <c r="AAY105" s="1"/>
      <c r="AAZ105" s="1"/>
      <c r="ABA105" s="1"/>
      <c r="ABB105" s="1"/>
      <c r="ABC105" s="1"/>
      <c r="ABD105" s="1"/>
      <c r="ABE105" s="1"/>
      <c r="ABF105" s="1"/>
      <c r="ABG105" s="1"/>
      <c r="ABH105" s="1"/>
      <c r="ABI105" s="1"/>
      <c r="ABJ105" s="1"/>
      <c r="ABK105" s="1"/>
      <c r="ABL105" s="1"/>
      <c r="ABM105" s="1"/>
      <c r="ABN105" s="1"/>
      <c r="ABO105" s="1"/>
      <c r="ABP105" s="1"/>
      <c r="ABQ105" s="1"/>
      <c r="ABR105" s="1"/>
      <c r="ABS105" s="1"/>
      <c r="ABT105" s="1"/>
      <c r="ABU105" s="1"/>
      <c r="ABV105" s="1"/>
      <c r="ABW105" s="1"/>
      <c r="ABX105" s="1"/>
      <c r="ABY105" s="1"/>
      <c r="ABZ105" s="1"/>
      <c r="ACA105" s="1"/>
      <c r="ACB105" s="1"/>
      <c r="ACC105" s="1"/>
      <c r="ACD105" s="1"/>
      <c r="ACE105" s="1"/>
      <c r="ACF105" s="1"/>
      <c r="ACG105" s="1"/>
      <c r="ACH105" s="1"/>
      <c r="ACI105" s="1"/>
      <c r="ACJ105" s="1"/>
      <c r="ACK105" s="1"/>
      <c r="ACL105" s="1"/>
      <c r="ACM105" s="1"/>
      <c r="ACN105" s="1"/>
      <c r="ACO105" s="1"/>
      <c r="ACP105" s="1"/>
      <c r="ACQ105" s="1"/>
      <c r="ACR105" s="1"/>
      <c r="ACS105" s="1"/>
      <c r="ACT105" s="1"/>
      <c r="ACU105" s="1"/>
      <c r="ACV105" s="1"/>
      <c r="ACW105" s="1"/>
      <c r="ACX105" s="1"/>
      <c r="ACY105" s="1"/>
      <c r="ACZ105" s="1"/>
      <c r="ADA105" s="1"/>
      <c r="ADB105" s="1"/>
      <c r="ADC105" s="1"/>
      <c r="ADD105" s="1"/>
      <c r="ADE105" s="1"/>
      <c r="ADF105" s="1"/>
      <c r="ADG105" s="1"/>
      <c r="ADH105" s="1"/>
      <c r="ADI105" s="1"/>
      <c r="ADJ105" s="1"/>
      <c r="ADK105" s="1"/>
      <c r="ADL105" s="1"/>
      <c r="ADM105" s="1"/>
      <c r="ADN105" s="1"/>
      <c r="ADO105" s="1"/>
      <c r="ADP105" s="1"/>
      <c r="ADQ105" s="1"/>
      <c r="ADR105" s="1"/>
      <c r="ADS105" s="1"/>
      <c r="ADT105" s="1"/>
      <c r="ADU105" s="1"/>
      <c r="ADV105" s="1"/>
      <c r="ADW105" s="1"/>
      <c r="ADX105" s="1"/>
      <c r="ADY105" s="1"/>
      <c r="ADZ105" s="1"/>
      <c r="AEA105" s="1"/>
      <c r="AEB105" s="1"/>
      <c r="AEC105" s="1"/>
      <c r="AED105" s="1"/>
      <c r="AEE105" s="1"/>
      <c r="AEF105" s="1"/>
      <c r="AEG105" s="1"/>
      <c r="AEH105" s="1"/>
      <c r="AEI105" s="1"/>
      <c r="AEJ105" s="1"/>
      <c r="AEK105" s="1"/>
      <c r="AEL105" s="1"/>
      <c r="AEM105" s="1"/>
      <c r="AEN105" s="1"/>
      <c r="AEO105" s="1"/>
      <c r="AEP105" s="1"/>
      <c r="AEQ105" s="1"/>
      <c r="AER105" s="1"/>
      <c r="AES105" s="1"/>
      <c r="AET105" s="1"/>
      <c r="AEU105" s="1"/>
      <c r="AEV105" s="1"/>
      <c r="AEW105" s="1"/>
      <c r="AEX105" s="1"/>
      <c r="AEY105" s="1"/>
      <c r="AEZ105" s="1"/>
      <c r="AFA105" s="1"/>
      <c r="AFB105" s="1"/>
      <c r="AFC105" s="1"/>
      <c r="AFD105" s="1"/>
      <c r="AFE105" s="1"/>
      <c r="AFF105" s="1"/>
      <c r="AFG105" s="1"/>
      <c r="AFH105" s="1"/>
      <c r="AFI105" s="1"/>
      <c r="AFJ105" s="1"/>
      <c r="AFK105" s="1"/>
      <c r="AFL105" s="1"/>
      <c r="AFM105" s="1"/>
      <c r="AFN105" s="1"/>
      <c r="AFO105" s="1"/>
      <c r="AFP105" s="1"/>
      <c r="AFQ105" s="1"/>
      <c r="AFR105" s="1"/>
      <c r="AFS105" s="1"/>
      <c r="AFT105" s="1"/>
      <c r="AFU105" s="1"/>
      <c r="AFV105" s="1"/>
      <c r="AFW105" s="1"/>
      <c r="AFX105" s="1"/>
      <c r="AFY105" s="1"/>
      <c r="AFZ105" s="1"/>
      <c r="AGA105" s="1"/>
      <c r="AGB105" s="1"/>
      <c r="AGC105" s="1"/>
      <c r="AGD105" s="1"/>
      <c r="AGE105" s="1"/>
      <c r="AGF105" s="1"/>
      <c r="AGG105" s="1"/>
      <c r="AGH105" s="1"/>
      <c r="AGI105" s="1"/>
      <c r="AGJ105" s="1"/>
      <c r="AGK105" s="1"/>
      <c r="AGL105" s="1"/>
      <c r="AGM105" s="1"/>
      <c r="AGN105" s="1"/>
      <c r="AGO105" s="1"/>
      <c r="AGP105" s="1"/>
      <c r="AGQ105" s="1"/>
      <c r="AGR105" s="1"/>
      <c r="AGS105" s="1"/>
      <c r="AGT105" s="1"/>
      <c r="AGU105" s="1"/>
      <c r="AGV105" s="1"/>
      <c r="AGW105" s="1"/>
      <c r="AGX105" s="1"/>
      <c r="AGY105" s="1"/>
      <c r="AGZ105" s="1"/>
      <c r="AHA105" s="1"/>
      <c r="AHB105" s="1"/>
      <c r="AHC105" s="1"/>
      <c r="AHD105" s="1"/>
      <c r="AHE105" s="1"/>
      <c r="AHF105" s="1"/>
      <c r="AHG105" s="1"/>
      <c r="AHH105" s="1"/>
      <c r="AHI105" s="1"/>
      <c r="AHJ105" s="1"/>
      <c r="AHK105" s="1"/>
      <c r="AHL105" s="1"/>
      <c r="AHM105" s="1"/>
      <c r="AHN105" s="1"/>
      <c r="AHO105" s="1"/>
      <c r="AHP105" s="1"/>
      <c r="AHQ105" s="1"/>
      <c r="AHR105" s="1"/>
      <c r="AHS105" s="1"/>
      <c r="AHT105" s="1"/>
      <c r="AHU105" s="1"/>
      <c r="AHV105" s="1"/>
      <c r="AHW105" s="1"/>
      <c r="AHX105" s="1"/>
      <c r="AHY105" s="1"/>
      <c r="AHZ105" s="1"/>
      <c r="AIA105" s="1"/>
      <c r="AIB105" s="1"/>
      <c r="AIC105" s="1"/>
      <c r="AID105" s="1"/>
      <c r="AIE105" s="1"/>
      <c r="AIF105" s="1"/>
      <c r="AIG105" s="1"/>
      <c r="AIH105" s="1"/>
      <c r="AII105" s="1"/>
      <c r="AIJ105" s="1"/>
      <c r="AIK105" s="1"/>
      <c r="AIL105" s="1"/>
      <c r="AIM105" s="1"/>
      <c r="AIN105" s="1"/>
      <c r="AIO105" s="1"/>
      <c r="AIP105" s="1"/>
      <c r="AIQ105" s="1"/>
      <c r="AIR105" s="1"/>
      <c r="AIS105" s="1"/>
      <c r="AIT105" s="1"/>
      <c r="AIU105" s="1"/>
      <c r="AIV105" s="1"/>
      <c r="AIW105" s="1"/>
      <c r="AIX105" s="1"/>
      <c r="AIY105" s="1"/>
      <c r="AIZ105" s="1"/>
      <c r="AJA105" s="1"/>
      <c r="AJB105" s="1"/>
      <c r="AJC105" s="1"/>
      <c r="AJD105" s="1"/>
      <c r="AJE105" s="1"/>
      <c r="AJF105" s="1"/>
      <c r="AJG105" s="1"/>
      <c r="AJH105" s="1"/>
      <c r="AJI105" s="1"/>
      <c r="AJJ105" s="1"/>
      <c r="AJK105" s="1"/>
      <c r="AJL105" s="1"/>
      <c r="AJM105" s="1"/>
      <c r="AJN105" s="1"/>
      <c r="AJO105" s="1"/>
      <c r="AJP105" s="1"/>
      <c r="AJQ105" s="1"/>
      <c r="AJR105" s="1"/>
      <c r="AJS105" s="1"/>
      <c r="AJT105" s="1"/>
      <c r="AJU105" s="1"/>
      <c r="AJV105" s="1"/>
      <c r="AJW105" s="1"/>
      <c r="AJX105" s="1"/>
      <c r="AJY105" s="1"/>
      <c r="AJZ105" s="1"/>
      <c r="AKA105" s="1"/>
      <c r="AKB105" s="1"/>
      <c r="AKC105" s="1"/>
      <c r="AKD105" s="1"/>
      <c r="AKE105" s="1"/>
      <c r="AKF105" s="1"/>
      <c r="AKG105" s="1"/>
      <c r="AKH105" s="1"/>
      <c r="AKI105" s="1"/>
      <c r="AKJ105" s="1"/>
      <c r="AKK105" s="1"/>
      <c r="AKL105" s="1"/>
      <c r="AKM105" s="1"/>
      <c r="AKN105" s="1"/>
      <c r="AKO105" s="1"/>
      <c r="AKP105" s="1"/>
      <c r="AKQ105" s="1"/>
      <c r="AKR105" s="1"/>
      <c r="AKS105" s="1"/>
      <c r="AKT105" s="1"/>
      <c r="AKU105" s="1"/>
      <c r="AKV105" s="1"/>
      <c r="AKW105" s="1"/>
      <c r="AKX105" s="1"/>
      <c r="AKY105" s="1"/>
      <c r="AKZ105" s="1"/>
      <c r="ALA105" s="1"/>
      <c r="ALB105" s="1"/>
      <c r="ALC105" s="1"/>
      <c r="ALD105" s="1"/>
      <c r="ALE105" s="1"/>
      <c r="ALF105" s="1"/>
      <c r="ALG105" s="1"/>
      <c r="ALH105" s="1"/>
      <c r="ALI105" s="1"/>
      <c r="ALJ105" s="1"/>
      <c r="ALK105" s="1"/>
      <c r="ALL105" s="1"/>
      <c r="ALM105" s="1"/>
      <c r="ALN105" s="1"/>
      <c r="ALO105" s="1"/>
      <c r="ALP105" s="1"/>
      <c r="ALQ105" s="1"/>
      <c r="ALR105" s="1"/>
      <c r="ALS105" s="1"/>
      <c r="ALT105" s="1"/>
      <c r="ALU105" s="1"/>
      <c r="ALV105" s="1"/>
      <c r="ALW105" s="1"/>
      <c r="ALX105" s="1"/>
      <c r="ALY105" s="1"/>
      <c r="ALZ105" s="1"/>
      <c r="AMA105" s="1"/>
      <c r="AMB105" s="1"/>
      <c r="AMC105" s="1"/>
      <c r="AMD105" s="1"/>
      <c r="AME105" s="1"/>
      <c r="AMF105" s="1"/>
      <c r="AMG105" s="1"/>
      <c r="AMH105" s="1"/>
      <c r="AMI105" s="1"/>
      <c r="AMJ105" s="1"/>
    </row>
    <row r="106" customFormat="false" ht="10.5" hidden="false" customHeight="true" outlineLevel="0" collapsed="false">
      <c r="A106" s="97" t="n">
        <v>6</v>
      </c>
      <c r="B106" s="138"/>
      <c r="C106" s="138"/>
      <c r="D106" s="138"/>
      <c r="E106" s="138"/>
      <c r="F106" s="138"/>
      <c r="G106" s="138"/>
      <c r="H106" s="138"/>
      <c r="I106" s="138"/>
      <c r="J106" s="19"/>
      <c r="K106" s="19"/>
      <c r="L106" s="19"/>
      <c r="M106" s="19"/>
      <c r="N106" s="19"/>
      <c r="O106" s="19"/>
      <c r="P106" s="19"/>
      <c r="Q106" s="19"/>
      <c r="R106" s="19"/>
      <c r="S106" s="19"/>
      <c r="T106" s="19"/>
      <c r="U106" s="19"/>
      <c r="V106" s="19"/>
      <c r="W106" s="139" t="n">
        <f aca="false">J106*S106</f>
        <v>0</v>
      </c>
      <c r="X106" s="139"/>
      <c r="Y106" s="139"/>
      <c r="Z106" s="139"/>
      <c r="AA106" s="139" t="n">
        <f aca="false">J106*P106</f>
        <v>0</v>
      </c>
      <c r="AB106" s="139"/>
      <c r="AC106" s="139"/>
      <c r="AD106" s="139"/>
      <c r="AE106" s="139" t="n">
        <f aca="false">M106*P106</f>
        <v>0</v>
      </c>
      <c r="AF106" s="139"/>
      <c r="AG106" s="139"/>
      <c r="AH106" s="140" t="n">
        <f aca="false">W106-AA106</f>
        <v>0</v>
      </c>
      <c r="AI106" s="140"/>
      <c r="AJ106" s="140"/>
      <c r="AK106" s="140"/>
      <c r="AL106" s="141" t="str">
        <f aca="false">IFERROR(AH106/$AH$114,"$-")</f>
        <v>$-</v>
      </c>
      <c r="AM106" s="141"/>
      <c r="AN106" s="141"/>
      <c r="AO106" s="14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c r="IY106" s="1"/>
      <c r="IZ106" s="1"/>
      <c r="JA106" s="1"/>
      <c r="JB106" s="1"/>
      <c r="JC106" s="1"/>
      <c r="JD106" s="1"/>
      <c r="JE106" s="1"/>
      <c r="JF106" s="1"/>
      <c r="JG106" s="1"/>
      <c r="JH106" s="1"/>
      <c r="JI106" s="1"/>
      <c r="JJ106" s="1"/>
      <c r="JK106" s="1"/>
      <c r="JL106" s="1"/>
      <c r="JM106" s="1"/>
      <c r="JN106" s="1"/>
      <c r="JO106" s="1"/>
      <c r="JP106" s="1"/>
      <c r="JQ106" s="1"/>
      <c r="JR106" s="1"/>
      <c r="JS106" s="1"/>
      <c r="JT106" s="1"/>
      <c r="JU106" s="1"/>
      <c r="JV106" s="1"/>
      <c r="JW106" s="1"/>
      <c r="JX106" s="1"/>
      <c r="JY106" s="1"/>
      <c r="JZ106" s="1"/>
      <c r="KA106" s="1"/>
      <c r="KB106" s="1"/>
      <c r="KC106" s="1"/>
      <c r="KD106" s="1"/>
      <c r="KE106" s="1"/>
      <c r="KF106" s="1"/>
      <c r="KG106" s="1"/>
      <c r="KH106" s="1"/>
      <c r="KI106" s="1"/>
      <c r="KJ106" s="1"/>
      <c r="KK106" s="1"/>
      <c r="KL106" s="1"/>
      <c r="KM106" s="1"/>
      <c r="KN106" s="1"/>
      <c r="KO106" s="1"/>
      <c r="KP106" s="1"/>
      <c r="KQ106" s="1"/>
      <c r="KR106" s="1"/>
      <c r="KS106" s="1"/>
      <c r="KT106" s="1"/>
      <c r="KU106" s="1"/>
      <c r="KV106" s="1"/>
      <c r="KW106" s="1"/>
      <c r="KX106" s="1"/>
      <c r="KY106" s="1"/>
      <c r="KZ106" s="1"/>
      <c r="LA106" s="1"/>
      <c r="LB106" s="1"/>
      <c r="LC106" s="1"/>
      <c r="LD106" s="1"/>
      <c r="LE106" s="1"/>
      <c r="LF106" s="1"/>
      <c r="LG106" s="1"/>
      <c r="LH106" s="1"/>
      <c r="LI106" s="1"/>
      <c r="LJ106" s="1"/>
      <c r="LK106" s="1"/>
      <c r="LL106" s="1"/>
      <c r="LM106" s="1"/>
      <c r="LN106" s="1"/>
      <c r="LO106" s="1"/>
      <c r="LP106" s="1"/>
      <c r="LQ106" s="1"/>
      <c r="LR106" s="1"/>
      <c r="LS106" s="1"/>
      <c r="LT106" s="1"/>
      <c r="LU106" s="1"/>
      <c r="LV106" s="1"/>
      <c r="LW106" s="1"/>
      <c r="LX106" s="1"/>
      <c r="LY106" s="1"/>
      <c r="LZ106" s="1"/>
      <c r="MA106" s="1"/>
      <c r="MB106" s="1"/>
      <c r="MC106" s="1"/>
      <c r="MD106" s="1"/>
      <c r="ME106" s="1"/>
      <c r="MF106" s="1"/>
      <c r="MG106" s="1"/>
      <c r="MH106" s="1"/>
      <c r="MI106" s="1"/>
      <c r="MJ106" s="1"/>
      <c r="MK106" s="1"/>
      <c r="ML106" s="1"/>
      <c r="MM106" s="1"/>
      <c r="MN106" s="1"/>
      <c r="MO106" s="1"/>
      <c r="MP106" s="1"/>
      <c r="MQ106" s="1"/>
      <c r="MR106" s="1"/>
      <c r="MS106" s="1"/>
      <c r="MT106" s="1"/>
      <c r="MU106" s="1"/>
      <c r="MV106" s="1"/>
      <c r="MW106" s="1"/>
      <c r="MX106" s="1"/>
      <c r="MY106" s="1"/>
      <c r="MZ106" s="1"/>
      <c r="NA106" s="1"/>
      <c r="NB106" s="1"/>
      <c r="NC106" s="1"/>
      <c r="ND106" s="1"/>
      <c r="NE106" s="1"/>
      <c r="NF106" s="1"/>
      <c r="NG106" s="1"/>
      <c r="NH106" s="1"/>
      <c r="NI106" s="1"/>
      <c r="NJ106" s="1"/>
      <c r="NK106" s="1"/>
      <c r="NL106" s="1"/>
      <c r="NM106" s="1"/>
      <c r="NN106" s="1"/>
      <c r="NO106" s="1"/>
      <c r="NP106" s="1"/>
      <c r="NQ106" s="1"/>
      <c r="NR106" s="1"/>
      <c r="NS106" s="1"/>
      <c r="NT106" s="1"/>
      <c r="NU106" s="1"/>
      <c r="NV106" s="1"/>
      <c r="NW106" s="1"/>
      <c r="NX106" s="1"/>
      <c r="NY106" s="1"/>
      <c r="NZ106" s="1"/>
      <c r="OA106" s="1"/>
      <c r="OB106" s="1"/>
      <c r="OC106" s="1"/>
      <c r="OD106" s="1"/>
      <c r="OE106" s="1"/>
      <c r="OF106" s="1"/>
      <c r="OG106" s="1"/>
      <c r="OH106" s="1"/>
      <c r="OI106" s="1"/>
      <c r="OJ106" s="1"/>
      <c r="OK106" s="1"/>
      <c r="OL106" s="1"/>
      <c r="OM106" s="1"/>
      <c r="ON106" s="1"/>
      <c r="OO106" s="1"/>
      <c r="OP106" s="1"/>
      <c r="OQ106" s="1"/>
      <c r="OR106" s="1"/>
      <c r="OS106" s="1"/>
      <c r="OT106" s="1"/>
      <c r="OU106" s="1"/>
      <c r="OV106" s="1"/>
      <c r="OW106" s="1"/>
      <c r="OX106" s="1"/>
      <c r="OY106" s="1"/>
      <c r="OZ106" s="1"/>
      <c r="PA106" s="1"/>
      <c r="PB106" s="1"/>
      <c r="PC106" s="1"/>
      <c r="PD106" s="1"/>
      <c r="PE106" s="1"/>
      <c r="PF106" s="1"/>
      <c r="PG106" s="1"/>
      <c r="PH106" s="1"/>
      <c r="PI106" s="1"/>
      <c r="PJ106" s="1"/>
      <c r="PK106" s="1"/>
      <c r="PL106" s="1"/>
      <c r="PM106" s="1"/>
      <c r="PN106" s="1"/>
      <c r="PO106" s="1"/>
      <c r="PP106" s="1"/>
      <c r="PQ106" s="1"/>
      <c r="PR106" s="1"/>
      <c r="PS106" s="1"/>
      <c r="PT106" s="1"/>
      <c r="PU106" s="1"/>
      <c r="PV106" s="1"/>
      <c r="PW106" s="1"/>
      <c r="PX106" s="1"/>
      <c r="PY106" s="1"/>
      <c r="PZ106" s="1"/>
      <c r="QA106" s="1"/>
      <c r="QB106" s="1"/>
      <c r="QC106" s="1"/>
      <c r="QD106" s="1"/>
      <c r="QE106" s="1"/>
      <c r="QF106" s="1"/>
      <c r="QG106" s="1"/>
      <c r="QH106" s="1"/>
      <c r="QI106" s="1"/>
      <c r="QJ106" s="1"/>
      <c r="QK106" s="1"/>
      <c r="QL106" s="1"/>
      <c r="QM106" s="1"/>
      <c r="QN106" s="1"/>
      <c r="QO106" s="1"/>
      <c r="QP106" s="1"/>
      <c r="QQ106" s="1"/>
      <c r="QR106" s="1"/>
      <c r="QS106" s="1"/>
      <c r="QT106" s="1"/>
      <c r="QU106" s="1"/>
      <c r="QV106" s="1"/>
      <c r="QW106" s="1"/>
      <c r="QX106" s="1"/>
      <c r="QY106" s="1"/>
      <c r="QZ106" s="1"/>
      <c r="RA106" s="1"/>
      <c r="RB106" s="1"/>
      <c r="RC106" s="1"/>
      <c r="RD106" s="1"/>
      <c r="RE106" s="1"/>
      <c r="RF106" s="1"/>
      <c r="RG106" s="1"/>
      <c r="RH106" s="1"/>
      <c r="RI106" s="1"/>
      <c r="RJ106" s="1"/>
      <c r="RK106" s="1"/>
      <c r="RL106" s="1"/>
      <c r="RM106" s="1"/>
      <c r="RN106" s="1"/>
      <c r="RO106" s="1"/>
      <c r="RP106" s="1"/>
      <c r="RQ106" s="1"/>
      <c r="RR106" s="1"/>
      <c r="RS106" s="1"/>
      <c r="RT106" s="1"/>
      <c r="RU106" s="1"/>
      <c r="RV106" s="1"/>
      <c r="RW106" s="1"/>
      <c r="RX106" s="1"/>
      <c r="RY106" s="1"/>
      <c r="RZ106" s="1"/>
      <c r="SA106" s="1"/>
      <c r="SB106" s="1"/>
      <c r="SC106" s="1"/>
      <c r="SD106" s="1"/>
      <c r="SE106" s="1"/>
      <c r="SF106" s="1"/>
      <c r="SG106" s="1"/>
      <c r="SH106" s="1"/>
      <c r="SI106" s="1"/>
      <c r="SJ106" s="1"/>
      <c r="SK106" s="1"/>
      <c r="SL106" s="1"/>
      <c r="SM106" s="1"/>
      <c r="SN106" s="1"/>
      <c r="SO106" s="1"/>
      <c r="SP106" s="1"/>
      <c r="SQ106" s="1"/>
      <c r="SR106" s="1"/>
      <c r="SS106" s="1"/>
      <c r="ST106" s="1"/>
      <c r="SU106" s="1"/>
      <c r="SV106" s="1"/>
      <c r="SW106" s="1"/>
      <c r="SX106" s="1"/>
      <c r="SY106" s="1"/>
      <c r="SZ106" s="1"/>
      <c r="TA106" s="1"/>
      <c r="TB106" s="1"/>
      <c r="TC106" s="1"/>
      <c r="TD106" s="1"/>
      <c r="TE106" s="1"/>
      <c r="TF106" s="1"/>
      <c r="TG106" s="1"/>
      <c r="TH106" s="1"/>
      <c r="TI106" s="1"/>
      <c r="TJ106" s="1"/>
      <c r="TK106" s="1"/>
      <c r="TL106" s="1"/>
      <c r="TM106" s="1"/>
      <c r="TN106" s="1"/>
      <c r="TO106" s="1"/>
      <c r="TP106" s="1"/>
      <c r="TQ106" s="1"/>
      <c r="TR106" s="1"/>
      <c r="TS106" s="1"/>
      <c r="TT106" s="1"/>
      <c r="TU106" s="1"/>
      <c r="TV106" s="1"/>
      <c r="TW106" s="1"/>
      <c r="TX106" s="1"/>
      <c r="TY106" s="1"/>
      <c r="TZ106" s="1"/>
      <c r="UA106" s="1"/>
      <c r="UB106" s="1"/>
      <c r="UC106" s="1"/>
      <c r="UD106" s="1"/>
      <c r="UE106" s="1"/>
      <c r="UF106" s="1"/>
      <c r="UG106" s="1"/>
      <c r="UH106" s="1"/>
      <c r="UI106" s="1"/>
      <c r="UJ106" s="1"/>
      <c r="UK106" s="1"/>
      <c r="UL106" s="1"/>
      <c r="UM106" s="1"/>
      <c r="UN106" s="1"/>
      <c r="UO106" s="1"/>
      <c r="UP106" s="1"/>
      <c r="UQ106" s="1"/>
      <c r="UR106" s="1"/>
      <c r="US106" s="1"/>
      <c r="UT106" s="1"/>
      <c r="UU106" s="1"/>
      <c r="UV106" s="1"/>
      <c r="UW106" s="1"/>
      <c r="UX106" s="1"/>
      <c r="UY106" s="1"/>
      <c r="UZ106" s="1"/>
      <c r="VA106" s="1"/>
      <c r="VB106" s="1"/>
      <c r="VC106" s="1"/>
      <c r="VD106" s="1"/>
      <c r="VE106" s="1"/>
      <c r="VF106" s="1"/>
      <c r="VG106" s="1"/>
      <c r="VH106" s="1"/>
      <c r="VI106" s="1"/>
      <c r="VJ106" s="1"/>
      <c r="VK106" s="1"/>
      <c r="VL106" s="1"/>
      <c r="VM106" s="1"/>
      <c r="VN106" s="1"/>
      <c r="VO106" s="1"/>
      <c r="VP106" s="1"/>
      <c r="VQ106" s="1"/>
      <c r="VR106" s="1"/>
      <c r="VS106" s="1"/>
      <c r="VT106" s="1"/>
      <c r="VU106" s="1"/>
      <c r="VV106" s="1"/>
      <c r="VW106" s="1"/>
      <c r="VX106" s="1"/>
      <c r="VY106" s="1"/>
      <c r="VZ106" s="1"/>
      <c r="WA106" s="1"/>
      <c r="WB106" s="1"/>
      <c r="WC106" s="1"/>
      <c r="WD106" s="1"/>
      <c r="WE106" s="1"/>
      <c r="WF106" s="1"/>
      <c r="WG106" s="1"/>
      <c r="WH106" s="1"/>
      <c r="WI106" s="1"/>
      <c r="WJ106" s="1"/>
      <c r="WK106" s="1"/>
      <c r="WL106" s="1"/>
      <c r="WM106" s="1"/>
      <c r="WN106" s="1"/>
      <c r="WO106" s="1"/>
      <c r="WP106" s="1"/>
      <c r="WQ106" s="1"/>
      <c r="WR106" s="1"/>
      <c r="WS106" s="1"/>
      <c r="WT106" s="1"/>
      <c r="WU106" s="1"/>
      <c r="WV106" s="1"/>
      <c r="WW106" s="1"/>
      <c r="WX106" s="1"/>
      <c r="WY106" s="1"/>
      <c r="WZ106" s="1"/>
      <c r="XA106" s="1"/>
      <c r="XB106" s="1"/>
      <c r="XC106" s="1"/>
      <c r="XD106" s="1"/>
      <c r="XE106" s="1"/>
      <c r="XF106" s="1"/>
      <c r="XG106" s="1"/>
      <c r="XH106" s="1"/>
      <c r="XI106" s="1"/>
      <c r="XJ106" s="1"/>
      <c r="XK106" s="1"/>
      <c r="XL106" s="1"/>
      <c r="XM106" s="1"/>
      <c r="XN106" s="1"/>
      <c r="XO106" s="1"/>
      <c r="XP106" s="1"/>
      <c r="XQ106" s="1"/>
      <c r="XR106" s="1"/>
      <c r="XS106" s="1"/>
      <c r="XT106" s="1"/>
      <c r="XU106" s="1"/>
      <c r="XV106" s="1"/>
      <c r="XW106" s="1"/>
      <c r="XX106" s="1"/>
      <c r="XY106" s="1"/>
      <c r="XZ106" s="1"/>
      <c r="YA106" s="1"/>
      <c r="YB106" s="1"/>
      <c r="YC106" s="1"/>
      <c r="YD106" s="1"/>
      <c r="YE106" s="1"/>
      <c r="YF106" s="1"/>
      <c r="YG106" s="1"/>
      <c r="YH106" s="1"/>
      <c r="YI106" s="1"/>
      <c r="YJ106" s="1"/>
      <c r="YK106" s="1"/>
      <c r="YL106" s="1"/>
      <c r="YM106" s="1"/>
      <c r="YN106" s="1"/>
      <c r="YO106" s="1"/>
      <c r="YP106" s="1"/>
      <c r="YQ106" s="1"/>
      <c r="YR106" s="1"/>
      <c r="YS106" s="1"/>
      <c r="YT106" s="1"/>
      <c r="YU106" s="1"/>
      <c r="YV106" s="1"/>
      <c r="YW106" s="1"/>
      <c r="YX106" s="1"/>
      <c r="YY106" s="1"/>
      <c r="YZ106" s="1"/>
      <c r="ZA106" s="1"/>
      <c r="ZB106" s="1"/>
      <c r="ZC106" s="1"/>
      <c r="ZD106" s="1"/>
      <c r="ZE106" s="1"/>
      <c r="ZF106" s="1"/>
      <c r="ZG106" s="1"/>
      <c r="ZH106" s="1"/>
      <c r="ZI106" s="1"/>
      <c r="ZJ106" s="1"/>
      <c r="ZK106" s="1"/>
      <c r="ZL106" s="1"/>
      <c r="ZM106" s="1"/>
      <c r="ZN106" s="1"/>
      <c r="ZO106" s="1"/>
      <c r="ZP106" s="1"/>
      <c r="ZQ106" s="1"/>
      <c r="ZR106" s="1"/>
      <c r="ZS106" s="1"/>
      <c r="ZT106" s="1"/>
      <c r="ZU106" s="1"/>
      <c r="ZV106" s="1"/>
      <c r="ZW106" s="1"/>
      <c r="ZX106" s="1"/>
      <c r="ZY106" s="1"/>
      <c r="ZZ106" s="1"/>
      <c r="AAA106" s="1"/>
      <c r="AAB106" s="1"/>
      <c r="AAC106" s="1"/>
      <c r="AAD106" s="1"/>
      <c r="AAE106" s="1"/>
      <c r="AAF106" s="1"/>
      <c r="AAG106" s="1"/>
      <c r="AAH106" s="1"/>
      <c r="AAI106" s="1"/>
      <c r="AAJ106" s="1"/>
      <c r="AAK106" s="1"/>
      <c r="AAL106" s="1"/>
      <c r="AAM106" s="1"/>
      <c r="AAN106" s="1"/>
      <c r="AAO106" s="1"/>
      <c r="AAP106" s="1"/>
      <c r="AAQ106" s="1"/>
      <c r="AAR106" s="1"/>
      <c r="AAS106" s="1"/>
      <c r="AAT106" s="1"/>
      <c r="AAU106" s="1"/>
      <c r="AAV106" s="1"/>
      <c r="AAW106" s="1"/>
      <c r="AAX106" s="1"/>
      <c r="AAY106" s="1"/>
      <c r="AAZ106" s="1"/>
      <c r="ABA106" s="1"/>
      <c r="ABB106" s="1"/>
      <c r="ABC106" s="1"/>
      <c r="ABD106" s="1"/>
      <c r="ABE106" s="1"/>
      <c r="ABF106" s="1"/>
      <c r="ABG106" s="1"/>
      <c r="ABH106" s="1"/>
      <c r="ABI106" s="1"/>
      <c r="ABJ106" s="1"/>
      <c r="ABK106" s="1"/>
      <c r="ABL106" s="1"/>
      <c r="ABM106" s="1"/>
      <c r="ABN106" s="1"/>
      <c r="ABO106" s="1"/>
      <c r="ABP106" s="1"/>
      <c r="ABQ106" s="1"/>
      <c r="ABR106" s="1"/>
      <c r="ABS106" s="1"/>
      <c r="ABT106" s="1"/>
      <c r="ABU106" s="1"/>
      <c r="ABV106" s="1"/>
      <c r="ABW106" s="1"/>
      <c r="ABX106" s="1"/>
      <c r="ABY106" s="1"/>
      <c r="ABZ106" s="1"/>
      <c r="ACA106" s="1"/>
      <c r="ACB106" s="1"/>
      <c r="ACC106" s="1"/>
      <c r="ACD106" s="1"/>
      <c r="ACE106" s="1"/>
      <c r="ACF106" s="1"/>
      <c r="ACG106" s="1"/>
      <c r="ACH106" s="1"/>
      <c r="ACI106" s="1"/>
      <c r="ACJ106" s="1"/>
      <c r="ACK106" s="1"/>
      <c r="ACL106" s="1"/>
      <c r="ACM106" s="1"/>
      <c r="ACN106" s="1"/>
      <c r="ACO106" s="1"/>
      <c r="ACP106" s="1"/>
      <c r="ACQ106" s="1"/>
      <c r="ACR106" s="1"/>
      <c r="ACS106" s="1"/>
      <c r="ACT106" s="1"/>
      <c r="ACU106" s="1"/>
      <c r="ACV106" s="1"/>
      <c r="ACW106" s="1"/>
      <c r="ACX106" s="1"/>
      <c r="ACY106" s="1"/>
      <c r="ACZ106" s="1"/>
      <c r="ADA106" s="1"/>
      <c r="ADB106" s="1"/>
      <c r="ADC106" s="1"/>
      <c r="ADD106" s="1"/>
      <c r="ADE106" s="1"/>
      <c r="ADF106" s="1"/>
      <c r="ADG106" s="1"/>
      <c r="ADH106" s="1"/>
      <c r="ADI106" s="1"/>
      <c r="ADJ106" s="1"/>
      <c r="ADK106" s="1"/>
      <c r="ADL106" s="1"/>
      <c r="ADM106" s="1"/>
      <c r="ADN106" s="1"/>
      <c r="ADO106" s="1"/>
      <c r="ADP106" s="1"/>
      <c r="ADQ106" s="1"/>
      <c r="ADR106" s="1"/>
      <c r="ADS106" s="1"/>
      <c r="ADT106" s="1"/>
      <c r="ADU106" s="1"/>
      <c r="ADV106" s="1"/>
      <c r="ADW106" s="1"/>
      <c r="ADX106" s="1"/>
      <c r="ADY106" s="1"/>
      <c r="ADZ106" s="1"/>
      <c r="AEA106" s="1"/>
      <c r="AEB106" s="1"/>
      <c r="AEC106" s="1"/>
      <c r="AED106" s="1"/>
      <c r="AEE106" s="1"/>
      <c r="AEF106" s="1"/>
      <c r="AEG106" s="1"/>
      <c r="AEH106" s="1"/>
      <c r="AEI106" s="1"/>
      <c r="AEJ106" s="1"/>
      <c r="AEK106" s="1"/>
      <c r="AEL106" s="1"/>
      <c r="AEM106" s="1"/>
      <c r="AEN106" s="1"/>
      <c r="AEO106" s="1"/>
      <c r="AEP106" s="1"/>
      <c r="AEQ106" s="1"/>
      <c r="AER106" s="1"/>
      <c r="AES106" s="1"/>
      <c r="AET106" s="1"/>
      <c r="AEU106" s="1"/>
      <c r="AEV106" s="1"/>
      <c r="AEW106" s="1"/>
      <c r="AEX106" s="1"/>
      <c r="AEY106" s="1"/>
      <c r="AEZ106" s="1"/>
      <c r="AFA106" s="1"/>
      <c r="AFB106" s="1"/>
      <c r="AFC106" s="1"/>
      <c r="AFD106" s="1"/>
      <c r="AFE106" s="1"/>
      <c r="AFF106" s="1"/>
      <c r="AFG106" s="1"/>
      <c r="AFH106" s="1"/>
      <c r="AFI106" s="1"/>
      <c r="AFJ106" s="1"/>
      <c r="AFK106" s="1"/>
      <c r="AFL106" s="1"/>
      <c r="AFM106" s="1"/>
      <c r="AFN106" s="1"/>
      <c r="AFO106" s="1"/>
      <c r="AFP106" s="1"/>
      <c r="AFQ106" s="1"/>
      <c r="AFR106" s="1"/>
      <c r="AFS106" s="1"/>
      <c r="AFT106" s="1"/>
      <c r="AFU106" s="1"/>
      <c r="AFV106" s="1"/>
      <c r="AFW106" s="1"/>
      <c r="AFX106" s="1"/>
      <c r="AFY106" s="1"/>
      <c r="AFZ106" s="1"/>
      <c r="AGA106" s="1"/>
      <c r="AGB106" s="1"/>
      <c r="AGC106" s="1"/>
      <c r="AGD106" s="1"/>
      <c r="AGE106" s="1"/>
      <c r="AGF106" s="1"/>
      <c r="AGG106" s="1"/>
      <c r="AGH106" s="1"/>
      <c r="AGI106" s="1"/>
      <c r="AGJ106" s="1"/>
      <c r="AGK106" s="1"/>
      <c r="AGL106" s="1"/>
      <c r="AGM106" s="1"/>
      <c r="AGN106" s="1"/>
      <c r="AGO106" s="1"/>
      <c r="AGP106" s="1"/>
      <c r="AGQ106" s="1"/>
      <c r="AGR106" s="1"/>
      <c r="AGS106" s="1"/>
      <c r="AGT106" s="1"/>
      <c r="AGU106" s="1"/>
      <c r="AGV106" s="1"/>
      <c r="AGW106" s="1"/>
      <c r="AGX106" s="1"/>
      <c r="AGY106" s="1"/>
      <c r="AGZ106" s="1"/>
      <c r="AHA106" s="1"/>
      <c r="AHB106" s="1"/>
      <c r="AHC106" s="1"/>
      <c r="AHD106" s="1"/>
      <c r="AHE106" s="1"/>
      <c r="AHF106" s="1"/>
      <c r="AHG106" s="1"/>
      <c r="AHH106" s="1"/>
      <c r="AHI106" s="1"/>
      <c r="AHJ106" s="1"/>
      <c r="AHK106" s="1"/>
      <c r="AHL106" s="1"/>
      <c r="AHM106" s="1"/>
      <c r="AHN106" s="1"/>
      <c r="AHO106" s="1"/>
      <c r="AHP106" s="1"/>
      <c r="AHQ106" s="1"/>
      <c r="AHR106" s="1"/>
      <c r="AHS106" s="1"/>
      <c r="AHT106" s="1"/>
      <c r="AHU106" s="1"/>
      <c r="AHV106" s="1"/>
      <c r="AHW106" s="1"/>
      <c r="AHX106" s="1"/>
      <c r="AHY106" s="1"/>
      <c r="AHZ106" s="1"/>
      <c r="AIA106" s="1"/>
      <c r="AIB106" s="1"/>
      <c r="AIC106" s="1"/>
      <c r="AID106" s="1"/>
      <c r="AIE106" s="1"/>
      <c r="AIF106" s="1"/>
      <c r="AIG106" s="1"/>
      <c r="AIH106" s="1"/>
      <c r="AII106" s="1"/>
      <c r="AIJ106" s="1"/>
      <c r="AIK106" s="1"/>
      <c r="AIL106" s="1"/>
      <c r="AIM106" s="1"/>
      <c r="AIN106" s="1"/>
      <c r="AIO106" s="1"/>
      <c r="AIP106" s="1"/>
      <c r="AIQ106" s="1"/>
      <c r="AIR106" s="1"/>
      <c r="AIS106" s="1"/>
      <c r="AIT106" s="1"/>
      <c r="AIU106" s="1"/>
      <c r="AIV106" s="1"/>
      <c r="AIW106" s="1"/>
      <c r="AIX106" s="1"/>
      <c r="AIY106" s="1"/>
      <c r="AIZ106" s="1"/>
      <c r="AJA106" s="1"/>
      <c r="AJB106" s="1"/>
      <c r="AJC106" s="1"/>
      <c r="AJD106" s="1"/>
      <c r="AJE106" s="1"/>
      <c r="AJF106" s="1"/>
      <c r="AJG106" s="1"/>
      <c r="AJH106" s="1"/>
      <c r="AJI106" s="1"/>
      <c r="AJJ106" s="1"/>
      <c r="AJK106" s="1"/>
      <c r="AJL106" s="1"/>
      <c r="AJM106" s="1"/>
      <c r="AJN106" s="1"/>
      <c r="AJO106" s="1"/>
      <c r="AJP106" s="1"/>
      <c r="AJQ106" s="1"/>
      <c r="AJR106" s="1"/>
      <c r="AJS106" s="1"/>
      <c r="AJT106" s="1"/>
      <c r="AJU106" s="1"/>
      <c r="AJV106" s="1"/>
      <c r="AJW106" s="1"/>
      <c r="AJX106" s="1"/>
      <c r="AJY106" s="1"/>
      <c r="AJZ106" s="1"/>
      <c r="AKA106" s="1"/>
      <c r="AKB106" s="1"/>
      <c r="AKC106" s="1"/>
      <c r="AKD106" s="1"/>
      <c r="AKE106" s="1"/>
      <c r="AKF106" s="1"/>
      <c r="AKG106" s="1"/>
      <c r="AKH106" s="1"/>
      <c r="AKI106" s="1"/>
      <c r="AKJ106" s="1"/>
      <c r="AKK106" s="1"/>
      <c r="AKL106" s="1"/>
      <c r="AKM106" s="1"/>
      <c r="AKN106" s="1"/>
      <c r="AKO106" s="1"/>
      <c r="AKP106" s="1"/>
      <c r="AKQ106" s="1"/>
      <c r="AKR106" s="1"/>
      <c r="AKS106" s="1"/>
      <c r="AKT106" s="1"/>
      <c r="AKU106" s="1"/>
      <c r="AKV106" s="1"/>
      <c r="AKW106" s="1"/>
      <c r="AKX106" s="1"/>
      <c r="AKY106" s="1"/>
      <c r="AKZ106" s="1"/>
      <c r="ALA106" s="1"/>
      <c r="ALB106" s="1"/>
      <c r="ALC106" s="1"/>
      <c r="ALD106" s="1"/>
      <c r="ALE106" s="1"/>
      <c r="ALF106" s="1"/>
      <c r="ALG106" s="1"/>
      <c r="ALH106" s="1"/>
      <c r="ALI106" s="1"/>
      <c r="ALJ106" s="1"/>
      <c r="ALK106" s="1"/>
      <c r="ALL106" s="1"/>
      <c r="ALM106" s="1"/>
      <c r="ALN106" s="1"/>
      <c r="ALO106" s="1"/>
      <c r="ALP106" s="1"/>
      <c r="ALQ106" s="1"/>
      <c r="ALR106" s="1"/>
      <c r="ALS106" s="1"/>
      <c r="ALT106" s="1"/>
      <c r="ALU106" s="1"/>
      <c r="ALV106" s="1"/>
      <c r="ALW106" s="1"/>
      <c r="ALX106" s="1"/>
      <c r="ALY106" s="1"/>
      <c r="ALZ106" s="1"/>
      <c r="AMA106" s="1"/>
      <c r="AMB106" s="1"/>
      <c r="AMC106" s="1"/>
      <c r="AMD106" s="1"/>
      <c r="AME106" s="1"/>
      <c r="AMF106" s="1"/>
      <c r="AMG106" s="1"/>
      <c r="AMH106" s="1"/>
      <c r="AMI106" s="1"/>
      <c r="AMJ106" s="1"/>
    </row>
    <row r="107" customFormat="false" ht="10.5" hidden="false" customHeight="true" outlineLevel="0" collapsed="false">
      <c r="A107" s="97" t="n">
        <v>7</v>
      </c>
      <c r="B107" s="138"/>
      <c r="C107" s="138"/>
      <c r="D107" s="138"/>
      <c r="E107" s="138"/>
      <c r="F107" s="138"/>
      <c r="G107" s="138"/>
      <c r="H107" s="138"/>
      <c r="I107" s="138"/>
      <c r="J107" s="19"/>
      <c r="K107" s="19"/>
      <c r="L107" s="19"/>
      <c r="M107" s="19"/>
      <c r="N107" s="19"/>
      <c r="O107" s="19"/>
      <c r="P107" s="19"/>
      <c r="Q107" s="19"/>
      <c r="R107" s="19"/>
      <c r="S107" s="19"/>
      <c r="T107" s="19"/>
      <c r="U107" s="19"/>
      <c r="V107" s="19"/>
      <c r="W107" s="139" t="n">
        <f aca="false">J107*S107</f>
        <v>0</v>
      </c>
      <c r="X107" s="139"/>
      <c r="Y107" s="139"/>
      <c r="Z107" s="139"/>
      <c r="AA107" s="139" t="n">
        <f aca="false">J107*P107</f>
        <v>0</v>
      </c>
      <c r="AB107" s="139"/>
      <c r="AC107" s="139"/>
      <c r="AD107" s="139"/>
      <c r="AE107" s="139" t="n">
        <f aca="false">M107*P107</f>
        <v>0</v>
      </c>
      <c r="AF107" s="139"/>
      <c r="AG107" s="139"/>
      <c r="AH107" s="140" t="n">
        <f aca="false">W107-AA107</f>
        <v>0</v>
      </c>
      <c r="AI107" s="140"/>
      <c r="AJ107" s="140"/>
      <c r="AK107" s="140"/>
      <c r="AL107" s="141" t="str">
        <f aca="false">IFERROR(AH107/$AH$114,"$-")</f>
        <v>$-</v>
      </c>
      <c r="AM107" s="141"/>
      <c r="AN107" s="141"/>
      <c r="AO107" s="14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c r="IY107" s="1"/>
      <c r="IZ107" s="1"/>
      <c r="JA107" s="1"/>
      <c r="JB107" s="1"/>
      <c r="JC107" s="1"/>
      <c r="JD107" s="1"/>
      <c r="JE107" s="1"/>
      <c r="JF107" s="1"/>
      <c r="JG107" s="1"/>
      <c r="JH107" s="1"/>
      <c r="JI107" s="1"/>
      <c r="JJ107" s="1"/>
      <c r="JK107" s="1"/>
      <c r="JL107" s="1"/>
      <c r="JM107" s="1"/>
      <c r="JN107" s="1"/>
      <c r="JO107" s="1"/>
      <c r="JP107" s="1"/>
      <c r="JQ107" s="1"/>
      <c r="JR107" s="1"/>
      <c r="JS107" s="1"/>
      <c r="JT107" s="1"/>
      <c r="JU107" s="1"/>
      <c r="JV107" s="1"/>
      <c r="JW107" s="1"/>
      <c r="JX107" s="1"/>
      <c r="JY107" s="1"/>
      <c r="JZ107" s="1"/>
      <c r="KA107" s="1"/>
      <c r="KB107" s="1"/>
      <c r="KC107" s="1"/>
      <c r="KD107" s="1"/>
      <c r="KE107" s="1"/>
      <c r="KF107" s="1"/>
      <c r="KG107" s="1"/>
      <c r="KH107" s="1"/>
      <c r="KI107" s="1"/>
      <c r="KJ107" s="1"/>
      <c r="KK107" s="1"/>
      <c r="KL107" s="1"/>
      <c r="KM107" s="1"/>
      <c r="KN107" s="1"/>
      <c r="KO107" s="1"/>
      <c r="KP107" s="1"/>
      <c r="KQ107" s="1"/>
      <c r="KR107" s="1"/>
      <c r="KS107" s="1"/>
      <c r="KT107" s="1"/>
      <c r="KU107" s="1"/>
      <c r="KV107" s="1"/>
      <c r="KW107" s="1"/>
      <c r="KX107" s="1"/>
      <c r="KY107" s="1"/>
      <c r="KZ107" s="1"/>
      <c r="LA107" s="1"/>
      <c r="LB107" s="1"/>
      <c r="LC107" s="1"/>
      <c r="LD107" s="1"/>
      <c r="LE107" s="1"/>
      <c r="LF107" s="1"/>
      <c r="LG107" s="1"/>
      <c r="LH107" s="1"/>
      <c r="LI107" s="1"/>
      <c r="LJ107" s="1"/>
      <c r="LK107" s="1"/>
      <c r="LL107" s="1"/>
      <c r="LM107" s="1"/>
      <c r="LN107" s="1"/>
      <c r="LO107" s="1"/>
      <c r="LP107" s="1"/>
      <c r="LQ107" s="1"/>
      <c r="LR107" s="1"/>
      <c r="LS107" s="1"/>
      <c r="LT107" s="1"/>
      <c r="LU107" s="1"/>
      <c r="LV107" s="1"/>
      <c r="LW107" s="1"/>
      <c r="LX107" s="1"/>
      <c r="LY107" s="1"/>
      <c r="LZ107" s="1"/>
      <c r="MA107" s="1"/>
      <c r="MB107" s="1"/>
      <c r="MC107" s="1"/>
      <c r="MD107" s="1"/>
      <c r="ME107" s="1"/>
      <c r="MF107" s="1"/>
      <c r="MG107" s="1"/>
      <c r="MH107" s="1"/>
      <c r="MI107" s="1"/>
      <c r="MJ107" s="1"/>
      <c r="MK107" s="1"/>
      <c r="ML107" s="1"/>
      <c r="MM107" s="1"/>
      <c r="MN107" s="1"/>
      <c r="MO107" s="1"/>
      <c r="MP107" s="1"/>
      <c r="MQ107" s="1"/>
      <c r="MR107" s="1"/>
      <c r="MS107" s="1"/>
      <c r="MT107" s="1"/>
      <c r="MU107" s="1"/>
      <c r="MV107" s="1"/>
      <c r="MW107" s="1"/>
      <c r="MX107" s="1"/>
      <c r="MY107" s="1"/>
      <c r="MZ107" s="1"/>
      <c r="NA107" s="1"/>
      <c r="NB107" s="1"/>
      <c r="NC107" s="1"/>
      <c r="ND107" s="1"/>
      <c r="NE107" s="1"/>
      <c r="NF107" s="1"/>
      <c r="NG107" s="1"/>
      <c r="NH107" s="1"/>
      <c r="NI107" s="1"/>
      <c r="NJ107" s="1"/>
      <c r="NK107" s="1"/>
      <c r="NL107" s="1"/>
      <c r="NM107" s="1"/>
      <c r="NN107" s="1"/>
      <c r="NO107" s="1"/>
      <c r="NP107" s="1"/>
      <c r="NQ107" s="1"/>
      <c r="NR107" s="1"/>
      <c r="NS107" s="1"/>
      <c r="NT107" s="1"/>
      <c r="NU107" s="1"/>
      <c r="NV107" s="1"/>
      <c r="NW107" s="1"/>
      <c r="NX107" s="1"/>
      <c r="NY107" s="1"/>
      <c r="NZ107" s="1"/>
      <c r="OA107" s="1"/>
      <c r="OB107" s="1"/>
      <c r="OC107" s="1"/>
      <c r="OD107" s="1"/>
      <c r="OE107" s="1"/>
      <c r="OF107" s="1"/>
      <c r="OG107" s="1"/>
      <c r="OH107" s="1"/>
      <c r="OI107" s="1"/>
      <c r="OJ107" s="1"/>
      <c r="OK107" s="1"/>
      <c r="OL107" s="1"/>
      <c r="OM107" s="1"/>
      <c r="ON107" s="1"/>
      <c r="OO107" s="1"/>
      <c r="OP107" s="1"/>
      <c r="OQ107" s="1"/>
      <c r="OR107" s="1"/>
      <c r="OS107" s="1"/>
      <c r="OT107" s="1"/>
      <c r="OU107" s="1"/>
      <c r="OV107" s="1"/>
      <c r="OW107" s="1"/>
      <c r="OX107" s="1"/>
      <c r="OY107" s="1"/>
      <c r="OZ107" s="1"/>
      <c r="PA107" s="1"/>
      <c r="PB107" s="1"/>
      <c r="PC107" s="1"/>
      <c r="PD107" s="1"/>
      <c r="PE107" s="1"/>
      <c r="PF107" s="1"/>
      <c r="PG107" s="1"/>
      <c r="PH107" s="1"/>
      <c r="PI107" s="1"/>
      <c r="PJ107" s="1"/>
      <c r="PK107" s="1"/>
      <c r="PL107" s="1"/>
      <c r="PM107" s="1"/>
      <c r="PN107" s="1"/>
      <c r="PO107" s="1"/>
      <c r="PP107" s="1"/>
      <c r="PQ107" s="1"/>
      <c r="PR107" s="1"/>
      <c r="PS107" s="1"/>
      <c r="PT107" s="1"/>
      <c r="PU107" s="1"/>
      <c r="PV107" s="1"/>
      <c r="PW107" s="1"/>
      <c r="PX107" s="1"/>
      <c r="PY107" s="1"/>
      <c r="PZ107" s="1"/>
      <c r="QA107" s="1"/>
      <c r="QB107" s="1"/>
      <c r="QC107" s="1"/>
      <c r="QD107" s="1"/>
      <c r="QE107" s="1"/>
      <c r="QF107" s="1"/>
      <c r="QG107" s="1"/>
      <c r="QH107" s="1"/>
      <c r="QI107" s="1"/>
      <c r="QJ107" s="1"/>
      <c r="QK107" s="1"/>
      <c r="QL107" s="1"/>
      <c r="QM107" s="1"/>
      <c r="QN107" s="1"/>
      <c r="QO107" s="1"/>
      <c r="QP107" s="1"/>
      <c r="QQ107" s="1"/>
      <c r="QR107" s="1"/>
      <c r="QS107" s="1"/>
      <c r="QT107" s="1"/>
      <c r="QU107" s="1"/>
      <c r="QV107" s="1"/>
      <c r="QW107" s="1"/>
      <c r="QX107" s="1"/>
      <c r="QY107" s="1"/>
      <c r="QZ107" s="1"/>
      <c r="RA107" s="1"/>
      <c r="RB107" s="1"/>
      <c r="RC107" s="1"/>
      <c r="RD107" s="1"/>
      <c r="RE107" s="1"/>
      <c r="RF107" s="1"/>
      <c r="RG107" s="1"/>
      <c r="RH107" s="1"/>
      <c r="RI107" s="1"/>
      <c r="RJ107" s="1"/>
      <c r="RK107" s="1"/>
      <c r="RL107" s="1"/>
      <c r="RM107" s="1"/>
      <c r="RN107" s="1"/>
      <c r="RO107" s="1"/>
      <c r="RP107" s="1"/>
      <c r="RQ107" s="1"/>
      <c r="RR107" s="1"/>
      <c r="RS107" s="1"/>
      <c r="RT107" s="1"/>
      <c r="RU107" s="1"/>
      <c r="RV107" s="1"/>
      <c r="RW107" s="1"/>
      <c r="RX107" s="1"/>
      <c r="RY107" s="1"/>
      <c r="RZ107" s="1"/>
      <c r="SA107" s="1"/>
      <c r="SB107" s="1"/>
      <c r="SC107" s="1"/>
      <c r="SD107" s="1"/>
      <c r="SE107" s="1"/>
      <c r="SF107" s="1"/>
      <c r="SG107" s="1"/>
      <c r="SH107" s="1"/>
      <c r="SI107" s="1"/>
      <c r="SJ107" s="1"/>
      <c r="SK107" s="1"/>
      <c r="SL107" s="1"/>
      <c r="SM107" s="1"/>
      <c r="SN107" s="1"/>
      <c r="SO107" s="1"/>
      <c r="SP107" s="1"/>
      <c r="SQ107" s="1"/>
      <c r="SR107" s="1"/>
      <c r="SS107" s="1"/>
      <c r="ST107" s="1"/>
      <c r="SU107" s="1"/>
      <c r="SV107" s="1"/>
      <c r="SW107" s="1"/>
      <c r="SX107" s="1"/>
      <c r="SY107" s="1"/>
      <c r="SZ107" s="1"/>
      <c r="TA107" s="1"/>
      <c r="TB107" s="1"/>
      <c r="TC107" s="1"/>
      <c r="TD107" s="1"/>
      <c r="TE107" s="1"/>
      <c r="TF107" s="1"/>
      <c r="TG107" s="1"/>
      <c r="TH107" s="1"/>
      <c r="TI107" s="1"/>
      <c r="TJ107" s="1"/>
      <c r="TK107" s="1"/>
      <c r="TL107" s="1"/>
      <c r="TM107" s="1"/>
      <c r="TN107" s="1"/>
      <c r="TO107" s="1"/>
      <c r="TP107" s="1"/>
      <c r="TQ107" s="1"/>
      <c r="TR107" s="1"/>
      <c r="TS107" s="1"/>
      <c r="TT107" s="1"/>
      <c r="TU107" s="1"/>
      <c r="TV107" s="1"/>
      <c r="TW107" s="1"/>
      <c r="TX107" s="1"/>
      <c r="TY107" s="1"/>
      <c r="TZ107" s="1"/>
      <c r="UA107" s="1"/>
      <c r="UB107" s="1"/>
      <c r="UC107" s="1"/>
      <c r="UD107" s="1"/>
      <c r="UE107" s="1"/>
      <c r="UF107" s="1"/>
      <c r="UG107" s="1"/>
      <c r="UH107" s="1"/>
      <c r="UI107" s="1"/>
      <c r="UJ107" s="1"/>
      <c r="UK107" s="1"/>
      <c r="UL107" s="1"/>
      <c r="UM107" s="1"/>
      <c r="UN107" s="1"/>
      <c r="UO107" s="1"/>
      <c r="UP107" s="1"/>
      <c r="UQ107" s="1"/>
      <c r="UR107" s="1"/>
      <c r="US107" s="1"/>
      <c r="UT107" s="1"/>
      <c r="UU107" s="1"/>
      <c r="UV107" s="1"/>
      <c r="UW107" s="1"/>
      <c r="UX107" s="1"/>
      <c r="UY107" s="1"/>
      <c r="UZ107" s="1"/>
      <c r="VA107" s="1"/>
      <c r="VB107" s="1"/>
      <c r="VC107" s="1"/>
      <c r="VD107" s="1"/>
      <c r="VE107" s="1"/>
      <c r="VF107" s="1"/>
      <c r="VG107" s="1"/>
      <c r="VH107" s="1"/>
      <c r="VI107" s="1"/>
      <c r="VJ107" s="1"/>
      <c r="VK107" s="1"/>
      <c r="VL107" s="1"/>
      <c r="VM107" s="1"/>
      <c r="VN107" s="1"/>
      <c r="VO107" s="1"/>
      <c r="VP107" s="1"/>
      <c r="VQ107" s="1"/>
      <c r="VR107" s="1"/>
      <c r="VS107" s="1"/>
      <c r="VT107" s="1"/>
      <c r="VU107" s="1"/>
      <c r="VV107" s="1"/>
      <c r="VW107" s="1"/>
      <c r="VX107" s="1"/>
      <c r="VY107" s="1"/>
      <c r="VZ107" s="1"/>
      <c r="WA107" s="1"/>
      <c r="WB107" s="1"/>
      <c r="WC107" s="1"/>
      <c r="WD107" s="1"/>
      <c r="WE107" s="1"/>
      <c r="WF107" s="1"/>
      <c r="WG107" s="1"/>
      <c r="WH107" s="1"/>
      <c r="WI107" s="1"/>
      <c r="WJ107" s="1"/>
      <c r="WK107" s="1"/>
      <c r="WL107" s="1"/>
      <c r="WM107" s="1"/>
      <c r="WN107" s="1"/>
      <c r="WO107" s="1"/>
      <c r="WP107" s="1"/>
      <c r="WQ107" s="1"/>
      <c r="WR107" s="1"/>
      <c r="WS107" s="1"/>
      <c r="WT107" s="1"/>
      <c r="WU107" s="1"/>
      <c r="WV107" s="1"/>
      <c r="WW107" s="1"/>
      <c r="WX107" s="1"/>
      <c r="WY107" s="1"/>
      <c r="WZ107" s="1"/>
      <c r="XA107" s="1"/>
      <c r="XB107" s="1"/>
      <c r="XC107" s="1"/>
      <c r="XD107" s="1"/>
      <c r="XE107" s="1"/>
      <c r="XF107" s="1"/>
      <c r="XG107" s="1"/>
      <c r="XH107" s="1"/>
      <c r="XI107" s="1"/>
      <c r="XJ107" s="1"/>
      <c r="XK107" s="1"/>
      <c r="XL107" s="1"/>
      <c r="XM107" s="1"/>
      <c r="XN107" s="1"/>
      <c r="XO107" s="1"/>
      <c r="XP107" s="1"/>
      <c r="XQ107" s="1"/>
      <c r="XR107" s="1"/>
      <c r="XS107" s="1"/>
      <c r="XT107" s="1"/>
      <c r="XU107" s="1"/>
      <c r="XV107" s="1"/>
      <c r="XW107" s="1"/>
      <c r="XX107" s="1"/>
      <c r="XY107" s="1"/>
      <c r="XZ107" s="1"/>
      <c r="YA107" s="1"/>
      <c r="YB107" s="1"/>
      <c r="YC107" s="1"/>
      <c r="YD107" s="1"/>
      <c r="YE107" s="1"/>
      <c r="YF107" s="1"/>
      <c r="YG107" s="1"/>
      <c r="YH107" s="1"/>
      <c r="YI107" s="1"/>
      <c r="YJ107" s="1"/>
      <c r="YK107" s="1"/>
      <c r="YL107" s="1"/>
      <c r="YM107" s="1"/>
      <c r="YN107" s="1"/>
      <c r="YO107" s="1"/>
      <c r="YP107" s="1"/>
      <c r="YQ107" s="1"/>
      <c r="YR107" s="1"/>
      <c r="YS107" s="1"/>
      <c r="YT107" s="1"/>
      <c r="YU107" s="1"/>
      <c r="YV107" s="1"/>
      <c r="YW107" s="1"/>
      <c r="YX107" s="1"/>
      <c r="YY107" s="1"/>
      <c r="YZ107" s="1"/>
      <c r="ZA107" s="1"/>
      <c r="ZB107" s="1"/>
      <c r="ZC107" s="1"/>
      <c r="ZD107" s="1"/>
      <c r="ZE107" s="1"/>
      <c r="ZF107" s="1"/>
      <c r="ZG107" s="1"/>
      <c r="ZH107" s="1"/>
      <c r="ZI107" s="1"/>
      <c r="ZJ107" s="1"/>
      <c r="ZK107" s="1"/>
      <c r="ZL107" s="1"/>
      <c r="ZM107" s="1"/>
      <c r="ZN107" s="1"/>
      <c r="ZO107" s="1"/>
      <c r="ZP107" s="1"/>
      <c r="ZQ107" s="1"/>
      <c r="ZR107" s="1"/>
      <c r="ZS107" s="1"/>
      <c r="ZT107" s="1"/>
      <c r="ZU107" s="1"/>
      <c r="ZV107" s="1"/>
      <c r="ZW107" s="1"/>
      <c r="ZX107" s="1"/>
      <c r="ZY107" s="1"/>
      <c r="ZZ107" s="1"/>
      <c r="AAA107" s="1"/>
      <c r="AAB107" s="1"/>
      <c r="AAC107" s="1"/>
      <c r="AAD107" s="1"/>
      <c r="AAE107" s="1"/>
      <c r="AAF107" s="1"/>
      <c r="AAG107" s="1"/>
      <c r="AAH107" s="1"/>
      <c r="AAI107" s="1"/>
      <c r="AAJ107" s="1"/>
      <c r="AAK107" s="1"/>
      <c r="AAL107" s="1"/>
      <c r="AAM107" s="1"/>
      <c r="AAN107" s="1"/>
      <c r="AAO107" s="1"/>
      <c r="AAP107" s="1"/>
      <c r="AAQ107" s="1"/>
      <c r="AAR107" s="1"/>
      <c r="AAS107" s="1"/>
      <c r="AAT107" s="1"/>
      <c r="AAU107" s="1"/>
      <c r="AAV107" s="1"/>
      <c r="AAW107" s="1"/>
      <c r="AAX107" s="1"/>
      <c r="AAY107" s="1"/>
      <c r="AAZ107" s="1"/>
      <c r="ABA107" s="1"/>
      <c r="ABB107" s="1"/>
      <c r="ABC107" s="1"/>
      <c r="ABD107" s="1"/>
      <c r="ABE107" s="1"/>
      <c r="ABF107" s="1"/>
      <c r="ABG107" s="1"/>
      <c r="ABH107" s="1"/>
      <c r="ABI107" s="1"/>
      <c r="ABJ107" s="1"/>
      <c r="ABK107" s="1"/>
      <c r="ABL107" s="1"/>
      <c r="ABM107" s="1"/>
      <c r="ABN107" s="1"/>
      <c r="ABO107" s="1"/>
      <c r="ABP107" s="1"/>
      <c r="ABQ107" s="1"/>
      <c r="ABR107" s="1"/>
      <c r="ABS107" s="1"/>
      <c r="ABT107" s="1"/>
      <c r="ABU107" s="1"/>
      <c r="ABV107" s="1"/>
      <c r="ABW107" s="1"/>
      <c r="ABX107" s="1"/>
      <c r="ABY107" s="1"/>
      <c r="ABZ107" s="1"/>
      <c r="ACA107" s="1"/>
      <c r="ACB107" s="1"/>
      <c r="ACC107" s="1"/>
      <c r="ACD107" s="1"/>
      <c r="ACE107" s="1"/>
      <c r="ACF107" s="1"/>
      <c r="ACG107" s="1"/>
      <c r="ACH107" s="1"/>
      <c r="ACI107" s="1"/>
      <c r="ACJ107" s="1"/>
      <c r="ACK107" s="1"/>
      <c r="ACL107" s="1"/>
      <c r="ACM107" s="1"/>
      <c r="ACN107" s="1"/>
      <c r="ACO107" s="1"/>
      <c r="ACP107" s="1"/>
      <c r="ACQ107" s="1"/>
      <c r="ACR107" s="1"/>
      <c r="ACS107" s="1"/>
      <c r="ACT107" s="1"/>
      <c r="ACU107" s="1"/>
      <c r="ACV107" s="1"/>
      <c r="ACW107" s="1"/>
      <c r="ACX107" s="1"/>
      <c r="ACY107" s="1"/>
      <c r="ACZ107" s="1"/>
      <c r="ADA107" s="1"/>
      <c r="ADB107" s="1"/>
      <c r="ADC107" s="1"/>
      <c r="ADD107" s="1"/>
      <c r="ADE107" s="1"/>
      <c r="ADF107" s="1"/>
      <c r="ADG107" s="1"/>
      <c r="ADH107" s="1"/>
      <c r="ADI107" s="1"/>
      <c r="ADJ107" s="1"/>
      <c r="ADK107" s="1"/>
      <c r="ADL107" s="1"/>
      <c r="ADM107" s="1"/>
      <c r="ADN107" s="1"/>
      <c r="ADO107" s="1"/>
      <c r="ADP107" s="1"/>
      <c r="ADQ107" s="1"/>
      <c r="ADR107" s="1"/>
      <c r="ADS107" s="1"/>
      <c r="ADT107" s="1"/>
      <c r="ADU107" s="1"/>
      <c r="ADV107" s="1"/>
      <c r="ADW107" s="1"/>
      <c r="ADX107" s="1"/>
      <c r="ADY107" s="1"/>
      <c r="ADZ107" s="1"/>
      <c r="AEA107" s="1"/>
      <c r="AEB107" s="1"/>
      <c r="AEC107" s="1"/>
      <c r="AED107" s="1"/>
      <c r="AEE107" s="1"/>
      <c r="AEF107" s="1"/>
      <c r="AEG107" s="1"/>
      <c r="AEH107" s="1"/>
      <c r="AEI107" s="1"/>
      <c r="AEJ107" s="1"/>
      <c r="AEK107" s="1"/>
      <c r="AEL107" s="1"/>
      <c r="AEM107" s="1"/>
      <c r="AEN107" s="1"/>
      <c r="AEO107" s="1"/>
      <c r="AEP107" s="1"/>
      <c r="AEQ107" s="1"/>
      <c r="AER107" s="1"/>
      <c r="AES107" s="1"/>
      <c r="AET107" s="1"/>
      <c r="AEU107" s="1"/>
      <c r="AEV107" s="1"/>
      <c r="AEW107" s="1"/>
      <c r="AEX107" s="1"/>
      <c r="AEY107" s="1"/>
      <c r="AEZ107" s="1"/>
      <c r="AFA107" s="1"/>
      <c r="AFB107" s="1"/>
      <c r="AFC107" s="1"/>
      <c r="AFD107" s="1"/>
      <c r="AFE107" s="1"/>
      <c r="AFF107" s="1"/>
      <c r="AFG107" s="1"/>
      <c r="AFH107" s="1"/>
      <c r="AFI107" s="1"/>
      <c r="AFJ107" s="1"/>
      <c r="AFK107" s="1"/>
      <c r="AFL107" s="1"/>
      <c r="AFM107" s="1"/>
      <c r="AFN107" s="1"/>
      <c r="AFO107" s="1"/>
      <c r="AFP107" s="1"/>
      <c r="AFQ107" s="1"/>
      <c r="AFR107" s="1"/>
      <c r="AFS107" s="1"/>
      <c r="AFT107" s="1"/>
      <c r="AFU107" s="1"/>
      <c r="AFV107" s="1"/>
      <c r="AFW107" s="1"/>
      <c r="AFX107" s="1"/>
      <c r="AFY107" s="1"/>
      <c r="AFZ107" s="1"/>
      <c r="AGA107" s="1"/>
      <c r="AGB107" s="1"/>
      <c r="AGC107" s="1"/>
      <c r="AGD107" s="1"/>
      <c r="AGE107" s="1"/>
      <c r="AGF107" s="1"/>
      <c r="AGG107" s="1"/>
      <c r="AGH107" s="1"/>
      <c r="AGI107" s="1"/>
      <c r="AGJ107" s="1"/>
      <c r="AGK107" s="1"/>
      <c r="AGL107" s="1"/>
      <c r="AGM107" s="1"/>
      <c r="AGN107" s="1"/>
      <c r="AGO107" s="1"/>
      <c r="AGP107" s="1"/>
      <c r="AGQ107" s="1"/>
      <c r="AGR107" s="1"/>
      <c r="AGS107" s="1"/>
      <c r="AGT107" s="1"/>
      <c r="AGU107" s="1"/>
      <c r="AGV107" s="1"/>
      <c r="AGW107" s="1"/>
      <c r="AGX107" s="1"/>
      <c r="AGY107" s="1"/>
      <c r="AGZ107" s="1"/>
      <c r="AHA107" s="1"/>
      <c r="AHB107" s="1"/>
      <c r="AHC107" s="1"/>
      <c r="AHD107" s="1"/>
      <c r="AHE107" s="1"/>
      <c r="AHF107" s="1"/>
      <c r="AHG107" s="1"/>
      <c r="AHH107" s="1"/>
      <c r="AHI107" s="1"/>
      <c r="AHJ107" s="1"/>
      <c r="AHK107" s="1"/>
      <c r="AHL107" s="1"/>
      <c r="AHM107" s="1"/>
      <c r="AHN107" s="1"/>
      <c r="AHO107" s="1"/>
      <c r="AHP107" s="1"/>
      <c r="AHQ107" s="1"/>
      <c r="AHR107" s="1"/>
      <c r="AHS107" s="1"/>
      <c r="AHT107" s="1"/>
      <c r="AHU107" s="1"/>
      <c r="AHV107" s="1"/>
      <c r="AHW107" s="1"/>
      <c r="AHX107" s="1"/>
      <c r="AHY107" s="1"/>
      <c r="AHZ107" s="1"/>
      <c r="AIA107" s="1"/>
      <c r="AIB107" s="1"/>
      <c r="AIC107" s="1"/>
      <c r="AID107" s="1"/>
      <c r="AIE107" s="1"/>
      <c r="AIF107" s="1"/>
      <c r="AIG107" s="1"/>
      <c r="AIH107" s="1"/>
      <c r="AII107" s="1"/>
      <c r="AIJ107" s="1"/>
      <c r="AIK107" s="1"/>
      <c r="AIL107" s="1"/>
      <c r="AIM107" s="1"/>
      <c r="AIN107" s="1"/>
      <c r="AIO107" s="1"/>
      <c r="AIP107" s="1"/>
      <c r="AIQ107" s="1"/>
      <c r="AIR107" s="1"/>
      <c r="AIS107" s="1"/>
      <c r="AIT107" s="1"/>
      <c r="AIU107" s="1"/>
      <c r="AIV107" s="1"/>
      <c r="AIW107" s="1"/>
      <c r="AIX107" s="1"/>
      <c r="AIY107" s="1"/>
      <c r="AIZ107" s="1"/>
      <c r="AJA107" s="1"/>
      <c r="AJB107" s="1"/>
      <c r="AJC107" s="1"/>
      <c r="AJD107" s="1"/>
      <c r="AJE107" s="1"/>
      <c r="AJF107" s="1"/>
      <c r="AJG107" s="1"/>
      <c r="AJH107" s="1"/>
      <c r="AJI107" s="1"/>
      <c r="AJJ107" s="1"/>
      <c r="AJK107" s="1"/>
      <c r="AJL107" s="1"/>
      <c r="AJM107" s="1"/>
      <c r="AJN107" s="1"/>
      <c r="AJO107" s="1"/>
      <c r="AJP107" s="1"/>
      <c r="AJQ107" s="1"/>
      <c r="AJR107" s="1"/>
      <c r="AJS107" s="1"/>
      <c r="AJT107" s="1"/>
      <c r="AJU107" s="1"/>
      <c r="AJV107" s="1"/>
      <c r="AJW107" s="1"/>
      <c r="AJX107" s="1"/>
      <c r="AJY107" s="1"/>
      <c r="AJZ107" s="1"/>
      <c r="AKA107" s="1"/>
      <c r="AKB107" s="1"/>
      <c r="AKC107" s="1"/>
      <c r="AKD107" s="1"/>
      <c r="AKE107" s="1"/>
      <c r="AKF107" s="1"/>
      <c r="AKG107" s="1"/>
      <c r="AKH107" s="1"/>
      <c r="AKI107" s="1"/>
      <c r="AKJ107" s="1"/>
      <c r="AKK107" s="1"/>
      <c r="AKL107" s="1"/>
      <c r="AKM107" s="1"/>
      <c r="AKN107" s="1"/>
      <c r="AKO107" s="1"/>
      <c r="AKP107" s="1"/>
      <c r="AKQ107" s="1"/>
      <c r="AKR107" s="1"/>
      <c r="AKS107" s="1"/>
      <c r="AKT107" s="1"/>
      <c r="AKU107" s="1"/>
      <c r="AKV107" s="1"/>
      <c r="AKW107" s="1"/>
      <c r="AKX107" s="1"/>
      <c r="AKY107" s="1"/>
      <c r="AKZ107" s="1"/>
      <c r="ALA107" s="1"/>
      <c r="ALB107" s="1"/>
      <c r="ALC107" s="1"/>
      <c r="ALD107" s="1"/>
      <c r="ALE107" s="1"/>
      <c r="ALF107" s="1"/>
      <c r="ALG107" s="1"/>
      <c r="ALH107" s="1"/>
      <c r="ALI107" s="1"/>
      <c r="ALJ107" s="1"/>
      <c r="ALK107" s="1"/>
      <c r="ALL107" s="1"/>
      <c r="ALM107" s="1"/>
      <c r="ALN107" s="1"/>
      <c r="ALO107" s="1"/>
      <c r="ALP107" s="1"/>
      <c r="ALQ107" s="1"/>
      <c r="ALR107" s="1"/>
      <c r="ALS107" s="1"/>
      <c r="ALT107" s="1"/>
      <c r="ALU107" s="1"/>
      <c r="ALV107" s="1"/>
      <c r="ALW107" s="1"/>
      <c r="ALX107" s="1"/>
      <c r="ALY107" s="1"/>
      <c r="ALZ107" s="1"/>
      <c r="AMA107" s="1"/>
      <c r="AMB107" s="1"/>
      <c r="AMC107" s="1"/>
      <c r="AMD107" s="1"/>
      <c r="AME107" s="1"/>
      <c r="AMF107" s="1"/>
      <c r="AMG107" s="1"/>
      <c r="AMH107" s="1"/>
      <c r="AMI107" s="1"/>
      <c r="AMJ107" s="1"/>
    </row>
    <row r="108" customFormat="false" ht="10.5" hidden="false" customHeight="true" outlineLevel="0" collapsed="false">
      <c r="A108" s="97" t="n">
        <v>8</v>
      </c>
      <c r="B108" s="138"/>
      <c r="C108" s="138"/>
      <c r="D108" s="138"/>
      <c r="E108" s="138"/>
      <c r="F108" s="138"/>
      <c r="G108" s="138"/>
      <c r="H108" s="138"/>
      <c r="I108" s="138"/>
      <c r="J108" s="19"/>
      <c r="K108" s="19"/>
      <c r="L108" s="19"/>
      <c r="M108" s="19"/>
      <c r="N108" s="19"/>
      <c r="O108" s="19"/>
      <c r="P108" s="19"/>
      <c r="Q108" s="19"/>
      <c r="R108" s="19"/>
      <c r="S108" s="19"/>
      <c r="T108" s="19"/>
      <c r="U108" s="19"/>
      <c r="V108" s="19"/>
      <c r="W108" s="139" t="n">
        <f aca="false">J108*S108</f>
        <v>0</v>
      </c>
      <c r="X108" s="139"/>
      <c r="Y108" s="139"/>
      <c r="Z108" s="139"/>
      <c r="AA108" s="139" t="n">
        <f aca="false">J108*P108</f>
        <v>0</v>
      </c>
      <c r="AB108" s="139"/>
      <c r="AC108" s="139"/>
      <c r="AD108" s="139"/>
      <c r="AE108" s="139" t="n">
        <f aca="false">M108*P108</f>
        <v>0</v>
      </c>
      <c r="AF108" s="139"/>
      <c r="AG108" s="139"/>
      <c r="AH108" s="140" t="n">
        <f aca="false">W108-AA108</f>
        <v>0</v>
      </c>
      <c r="AI108" s="140"/>
      <c r="AJ108" s="140"/>
      <c r="AK108" s="140"/>
      <c r="AL108" s="141" t="str">
        <f aca="false">IFERROR(AH108/$AH$114,"$-")</f>
        <v>$-</v>
      </c>
      <c r="AM108" s="141"/>
      <c r="AN108" s="141"/>
      <c r="AO108" s="14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c r="GE108" s="1"/>
      <c r="GF108" s="1"/>
      <c r="GG108" s="1"/>
      <c r="GH108" s="1"/>
      <c r="GI108" s="1"/>
      <c r="GJ108" s="1"/>
      <c r="GK108" s="1"/>
      <c r="GL108" s="1"/>
      <c r="GM108" s="1"/>
      <c r="GN108" s="1"/>
      <c r="GO108" s="1"/>
      <c r="GP108" s="1"/>
      <c r="GQ108" s="1"/>
      <c r="GR108" s="1"/>
      <c r="GS108" s="1"/>
      <c r="GT108" s="1"/>
      <c r="GU108" s="1"/>
      <c r="GV108" s="1"/>
      <c r="GW108" s="1"/>
      <c r="GX108" s="1"/>
      <c r="GY108" s="1"/>
      <c r="GZ108" s="1"/>
      <c r="HA108" s="1"/>
      <c r="HB108" s="1"/>
      <c r="HC108" s="1"/>
      <c r="HD108" s="1"/>
      <c r="HE108" s="1"/>
      <c r="HF108" s="1"/>
      <c r="HG108" s="1"/>
      <c r="HH108" s="1"/>
      <c r="HI108" s="1"/>
      <c r="HJ108" s="1"/>
      <c r="HK108" s="1"/>
      <c r="HL108" s="1"/>
      <c r="HM108" s="1"/>
      <c r="HN108" s="1"/>
      <c r="HO108" s="1"/>
      <c r="HP108" s="1"/>
      <c r="HQ108" s="1"/>
      <c r="HR108" s="1"/>
      <c r="HS108" s="1"/>
      <c r="HT108" s="1"/>
      <c r="HU108" s="1"/>
      <c r="HV108" s="1"/>
      <c r="HW108" s="1"/>
      <c r="HX108" s="1"/>
      <c r="HY108" s="1"/>
      <c r="HZ108" s="1"/>
      <c r="IA108" s="1"/>
      <c r="IB108" s="1"/>
      <c r="IC108" s="1"/>
      <c r="ID108" s="1"/>
      <c r="IE108" s="1"/>
      <c r="IF108" s="1"/>
      <c r="IG108" s="1"/>
      <c r="IH108" s="1"/>
      <c r="II108" s="1"/>
      <c r="IJ108" s="1"/>
      <c r="IK108" s="1"/>
      <c r="IL108" s="1"/>
      <c r="IM108" s="1"/>
      <c r="IN108" s="1"/>
      <c r="IO108" s="1"/>
      <c r="IP108" s="1"/>
      <c r="IQ108" s="1"/>
      <c r="IR108" s="1"/>
      <c r="IS108" s="1"/>
      <c r="IT108" s="1"/>
      <c r="IU108" s="1"/>
      <c r="IV108" s="1"/>
      <c r="IW108" s="1"/>
      <c r="IX108" s="1"/>
      <c r="IY108" s="1"/>
      <c r="IZ108" s="1"/>
      <c r="JA108" s="1"/>
      <c r="JB108" s="1"/>
      <c r="JC108" s="1"/>
      <c r="JD108" s="1"/>
      <c r="JE108" s="1"/>
      <c r="JF108" s="1"/>
      <c r="JG108" s="1"/>
      <c r="JH108" s="1"/>
      <c r="JI108" s="1"/>
      <c r="JJ108" s="1"/>
      <c r="JK108" s="1"/>
      <c r="JL108" s="1"/>
      <c r="JM108" s="1"/>
      <c r="JN108" s="1"/>
      <c r="JO108" s="1"/>
      <c r="JP108" s="1"/>
      <c r="JQ108" s="1"/>
      <c r="JR108" s="1"/>
      <c r="JS108" s="1"/>
      <c r="JT108" s="1"/>
      <c r="JU108" s="1"/>
      <c r="JV108" s="1"/>
      <c r="JW108" s="1"/>
      <c r="JX108" s="1"/>
      <c r="JY108" s="1"/>
      <c r="JZ108" s="1"/>
      <c r="KA108" s="1"/>
      <c r="KB108" s="1"/>
      <c r="KC108" s="1"/>
      <c r="KD108" s="1"/>
      <c r="KE108" s="1"/>
      <c r="KF108" s="1"/>
      <c r="KG108" s="1"/>
      <c r="KH108" s="1"/>
      <c r="KI108" s="1"/>
      <c r="KJ108" s="1"/>
      <c r="KK108" s="1"/>
      <c r="KL108" s="1"/>
      <c r="KM108" s="1"/>
      <c r="KN108" s="1"/>
      <c r="KO108" s="1"/>
      <c r="KP108" s="1"/>
      <c r="KQ108" s="1"/>
      <c r="KR108" s="1"/>
      <c r="KS108" s="1"/>
      <c r="KT108" s="1"/>
      <c r="KU108" s="1"/>
      <c r="KV108" s="1"/>
      <c r="KW108" s="1"/>
      <c r="KX108" s="1"/>
      <c r="KY108" s="1"/>
      <c r="KZ108" s="1"/>
      <c r="LA108" s="1"/>
      <c r="LB108" s="1"/>
      <c r="LC108" s="1"/>
      <c r="LD108" s="1"/>
      <c r="LE108" s="1"/>
      <c r="LF108" s="1"/>
      <c r="LG108" s="1"/>
      <c r="LH108" s="1"/>
      <c r="LI108" s="1"/>
      <c r="LJ108" s="1"/>
      <c r="LK108" s="1"/>
      <c r="LL108" s="1"/>
      <c r="LM108" s="1"/>
      <c r="LN108" s="1"/>
      <c r="LO108" s="1"/>
      <c r="LP108" s="1"/>
      <c r="LQ108" s="1"/>
      <c r="LR108" s="1"/>
      <c r="LS108" s="1"/>
      <c r="LT108" s="1"/>
      <c r="LU108" s="1"/>
      <c r="LV108" s="1"/>
      <c r="LW108" s="1"/>
      <c r="LX108" s="1"/>
      <c r="LY108" s="1"/>
      <c r="LZ108" s="1"/>
      <c r="MA108" s="1"/>
      <c r="MB108" s="1"/>
      <c r="MC108" s="1"/>
      <c r="MD108" s="1"/>
      <c r="ME108" s="1"/>
      <c r="MF108" s="1"/>
      <c r="MG108" s="1"/>
      <c r="MH108" s="1"/>
      <c r="MI108" s="1"/>
      <c r="MJ108" s="1"/>
      <c r="MK108" s="1"/>
      <c r="ML108" s="1"/>
      <c r="MM108" s="1"/>
      <c r="MN108" s="1"/>
      <c r="MO108" s="1"/>
      <c r="MP108" s="1"/>
      <c r="MQ108" s="1"/>
      <c r="MR108" s="1"/>
      <c r="MS108" s="1"/>
      <c r="MT108" s="1"/>
      <c r="MU108" s="1"/>
      <c r="MV108" s="1"/>
      <c r="MW108" s="1"/>
      <c r="MX108" s="1"/>
      <c r="MY108" s="1"/>
      <c r="MZ108" s="1"/>
      <c r="NA108" s="1"/>
      <c r="NB108" s="1"/>
      <c r="NC108" s="1"/>
      <c r="ND108" s="1"/>
      <c r="NE108" s="1"/>
      <c r="NF108" s="1"/>
      <c r="NG108" s="1"/>
      <c r="NH108" s="1"/>
      <c r="NI108" s="1"/>
      <c r="NJ108" s="1"/>
      <c r="NK108" s="1"/>
      <c r="NL108" s="1"/>
      <c r="NM108" s="1"/>
      <c r="NN108" s="1"/>
      <c r="NO108" s="1"/>
      <c r="NP108" s="1"/>
      <c r="NQ108" s="1"/>
      <c r="NR108" s="1"/>
      <c r="NS108" s="1"/>
      <c r="NT108" s="1"/>
      <c r="NU108" s="1"/>
      <c r="NV108" s="1"/>
      <c r="NW108" s="1"/>
      <c r="NX108" s="1"/>
      <c r="NY108" s="1"/>
      <c r="NZ108" s="1"/>
      <c r="OA108" s="1"/>
      <c r="OB108" s="1"/>
      <c r="OC108" s="1"/>
      <c r="OD108" s="1"/>
      <c r="OE108" s="1"/>
      <c r="OF108" s="1"/>
      <c r="OG108" s="1"/>
      <c r="OH108" s="1"/>
      <c r="OI108" s="1"/>
      <c r="OJ108" s="1"/>
      <c r="OK108" s="1"/>
      <c r="OL108" s="1"/>
      <c r="OM108" s="1"/>
      <c r="ON108" s="1"/>
      <c r="OO108" s="1"/>
      <c r="OP108" s="1"/>
      <c r="OQ108" s="1"/>
      <c r="OR108" s="1"/>
      <c r="OS108" s="1"/>
      <c r="OT108" s="1"/>
      <c r="OU108" s="1"/>
      <c r="OV108" s="1"/>
      <c r="OW108" s="1"/>
      <c r="OX108" s="1"/>
      <c r="OY108" s="1"/>
      <c r="OZ108" s="1"/>
      <c r="PA108" s="1"/>
      <c r="PB108" s="1"/>
      <c r="PC108" s="1"/>
      <c r="PD108" s="1"/>
      <c r="PE108" s="1"/>
      <c r="PF108" s="1"/>
      <c r="PG108" s="1"/>
      <c r="PH108" s="1"/>
      <c r="PI108" s="1"/>
      <c r="PJ108" s="1"/>
      <c r="PK108" s="1"/>
      <c r="PL108" s="1"/>
      <c r="PM108" s="1"/>
      <c r="PN108" s="1"/>
      <c r="PO108" s="1"/>
      <c r="PP108" s="1"/>
      <c r="PQ108" s="1"/>
      <c r="PR108" s="1"/>
      <c r="PS108" s="1"/>
      <c r="PT108" s="1"/>
      <c r="PU108" s="1"/>
      <c r="PV108" s="1"/>
      <c r="PW108" s="1"/>
      <c r="PX108" s="1"/>
      <c r="PY108" s="1"/>
      <c r="PZ108" s="1"/>
      <c r="QA108" s="1"/>
      <c r="QB108" s="1"/>
      <c r="QC108" s="1"/>
      <c r="QD108" s="1"/>
      <c r="QE108" s="1"/>
      <c r="QF108" s="1"/>
      <c r="QG108" s="1"/>
      <c r="QH108" s="1"/>
      <c r="QI108" s="1"/>
      <c r="QJ108" s="1"/>
      <c r="QK108" s="1"/>
      <c r="QL108" s="1"/>
      <c r="QM108" s="1"/>
      <c r="QN108" s="1"/>
      <c r="QO108" s="1"/>
      <c r="QP108" s="1"/>
      <c r="QQ108" s="1"/>
      <c r="QR108" s="1"/>
      <c r="QS108" s="1"/>
      <c r="QT108" s="1"/>
      <c r="QU108" s="1"/>
      <c r="QV108" s="1"/>
      <c r="QW108" s="1"/>
      <c r="QX108" s="1"/>
      <c r="QY108" s="1"/>
      <c r="QZ108" s="1"/>
      <c r="RA108" s="1"/>
      <c r="RB108" s="1"/>
      <c r="RC108" s="1"/>
      <c r="RD108" s="1"/>
      <c r="RE108" s="1"/>
      <c r="RF108" s="1"/>
      <c r="RG108" s="1"/>
      <c r="RH108" s="1"/>
      <c r="RI108" s="1"/>
      <c r="RJ108" s="1"/>
      <c r="RK108" s="1"/>
      <c r="RL108" s="1"/>
      <c r="RM108" s="1"/>
      <c r="RN108" s="1"/>
      <c r="RO108" s="1"/>
      <c r="RP108" s="1"/>
      <c r="RQ108" s="1"/>
      <c r="RR108" s="1"/>
      <c r="RS108" s="1"/>
      <c r="RT108" s="1"/>
      <c r="RU108" s="1"/>
      <c r="RV108" s="1"/>
      <c r="RW108" s="1"/>
      <c r="RX108" s="1"/>
      <c r="RY108" s="1"/>
      <c r="RZ108" s="1"/>
      <c r="SA108" s="1"/>
      <c r="SB108" s="1"/>
      <c r="SC108" s="1"/>
      <c r="SD108" s="1"/>
      <c r="SE108" s="1"/>
      <c r="SF108" s="1"/>
      <c r="SG108" s="1"/>
      <c r="SH108" s="1"/>
      <c r="SI108" s="1"/>
      <c r="SJ108" s="1"/>
      <c r="SK108" s="1"/>
      <c r="SL108" s="1"/>
      <c r="SM108" s="1"/>
      <c r="SN108" s="1"/>
      <c r="SO108" s="1"/>
      <c r="SP108" s="1"/>
      <c r="SQ108" s="1"/>
      <c r="SR108" s="1"/>
      <c r="SS108" s="1"/>
      <c r="ST108" s="1"/>
      <c r="SU108" s="1"/>
      <c r="SV108" s="1"/>
      <c r="SW108" s="1"/>
      <c r="SX108" s="1"/>
      <c r="SY108" s="1"/>
      <c r="SZ108" s="1"/>
      <c r="TA108" s="1"/>
      <c r="TB108" s="1"/>
      <c r="TC108" s="1"/>
      <c r="TD108" s="1"/>
      <c r="TE108" s="1"/>
      <c r="TF108" s="1"/>
      <c r="TG108" s="1"/>
      <c r="TH108" s="1"/>
      <c r="TI108" s="1"/>
      <c r="TJ108" s="1"/>
      <c r="TK108" s="1"/>
      <c r="TL108" s="1"/>
      <c r="TM108" s="1"/>
      <c r="TN108" s="1"/>
      <c r="TO108" s="1"/>
      <c r="TP108" s="1"/>
      <c r="TQ108" s="1"/>
      <c r="TR108" s="1"/>
      <c r="TS108" s="1"/>
      <c r="TT108" s="1"/>
      <c r="TU108" s="1"/>
      <c r="TV108" s="1"/>
      <c r="TW108" s="1"/>
      <c r="TX108" s="1"/>
      <c r="TY108" s="1"/>
      <c r="TZ108" s="1"/>
      <c r="UA108" s="1"/>
      <c r="UB108" s="1"/>
      <c r="UC108" s="1"/>
      <c r="UD108" s="1"/>
      <c r="UE108" s="1"/>
      <c r="UF108" s="1"/>
      <c r="UG108" s="1"/>
      <c r="UH108" s="1"/>
      <c r="UI108" s="1"/>
      <c r="UJ108" s="1"/>
      <c r="UK108" s="1"/>
      <c r="UL108" s="1"/>
      <c r="UM108" s="1"/>
      <c r="UN108" s="1"/>
      <c r="UO108" s="1"/>
      <c r="UP108" s="1"/>
      <c r="UQ108" s="1"/>
      <c r="UR108" s="1"/>
      <c r="US108" s="1"/>
      <c r="UT108" s="1"/>
      <c r="UU108" s="1"/>
      <c r="UV108" s="1"/>
      <c r="UW108" s="1"/>
      <c r="UX108" s="1"/>
      <c r="UY108" s="1"/>
      <c r="UZ108" s="1"/>
      <c r="VA108" s="1"/>
      <c r="VB108" s="1"/>
      <c r="VC108" s="1"/>
      <c r="VD108" s="1"/>
      <c r="VE108" s="1"/>
      <c r="VF108" s="1"/>
      <c r="VG108" s="1"/>
      <c r="VH108" s="1"/>
      <c r="VI108" s="1"/>
      <c r="VJ108" s="1"/>
      <c r="VK108" s="1"/>
      <c r="VL108" s="1"/>
      <c r="VM108" s="1"/>
      <c r="VN108" s="1"/>
      <c r="VO108" s="1"/>
      <c r="VP108" s="1"/>
      <c r="VQ108" s="1"/>
      <c r="VR108" s="1"/>
      <c r="VS108" s="1"/>
      <c r="VT108" s="1"/>
      <c r="VU108" s="1"/>
      <c r="VV108" s="1"/>
      <c r="VW108" s="1"/>
      <c r="VX108" s="1"/>
      <c r="VY108" s="1"/>
      <c r="VZ108" s="1"/>
      <c r="WA108" s="1"/>
      <c r="WB108" s="1"/>
      <c r="WC108" s="1"/>
      <c r="WD108" s="1"/>
      <c r="WE108" s="1"/>
      <c r="WF108" s="1"/>
      <c r="WG108" s="1"/>
      <c r="WH108" s="1"/>
      <c r="WI108" s="1"/>
      <c r="WJ108" s="1"/>
      <c r="WK108" s="1"/>
      <c r="WL108" s="1"/>
      <c r="WM108" s="1"/>
      <c r="WN108" s="1"/>
      <c r="WO108" s="1"/>
      <c r="WP108" s="1"/>
      <c r="WQ108" s="1"/>
      <c r="WR108" s="1"/>
      <c r="WS108" s="1"/>
      <c r="WT108" s="1"/>
      <c r="WU108" s="1"/>
      <c r="WV108" s="1"/>
      <c r="WW108" s="1"/>
      <c r="WX108" s="1"/>
      <c r="WY108" s="1"/>
      <c r="WZ108" s="1"/>
      <c r="XA108" s="1"/>
      <c r="XB108" s="1"/>
      <c r="XC108" s="1"/>
      <c r="XD108" s="1"/>
      <c r="XE108" s="1"/>
      <c r="XF108" s="1"/>
      <c r="XG108" s="1"/>
      <c r="XH108" s="1"/>
      <c r="XI108" s="1"/>
      <c r="XJ108" s="1"/>
      <c r="XK108" s="1"/>
      <c r="XL108" s="1"/>
      <c r="XM108" s="1"/>
      <c r="XN108" s="1"/>
      <c r="XO108" s="1"/>
      <c r="XP108" s="1"/>
      <c r="XQ108" s="1"/>
      <c r="XR108" s="1"/>
      <c r="XS108" s="1"/>
      <c r="XT108" s="1"/>
      <c r="XU108" s="1"/>
      <c r="XV108" s="1"/>
      <c r="XW108" s="1"/>
      <c r="XX108" s="1"/>
      <c r="XY108" s="1"/>
      <c r="XZ108" s="1"/>
      <c r="YA108" s="1"/>
      <c r="YB108" s="1"/>
      <c r="YC108" s="1"/>
      <c r="YD108" s="1"/>
      <c r="YE108" s="1"/>
      <c r="YF108" s="1"/>
      <c r="YG108" s="1"/>
      <c r="YH108" s="1"/>
      <c r="YI108" s="1"/>
      <c r="YJ108" s="1"/>
      <c r="YK108" s="1"/>
      <c r="YL108" s="1"/>
      <c r="YM108" s="1"/>
      <c r="YN108" s="1"/>
      <c r="YO108" s="1"/>
      <c r="YP108" s="1"/>
      <c r="YQ108" s="1"/>
      <c r="YR108" s="1"/>
      <c r="YS108" s="1"/>
      <c r="YT108" s="1"/>
      <c r="YU108" s="1"/>
      <c r="YV108" s="1"/>
      <c r="YW108" s="1"/>
      <c r="YX108" s="1"/>
      <c r="YY108" s="1"/>
      <c r="YZ108" s="1"/>
      <c r="ZA108" s="1"/>
      <c r="ZB108" s="1"/>
      <c r="ZC108" s="1"/>
      <c r="ZD108" s="1"/>
      <c r="ZE108" s="1"/>
      <c r="ZF108" s="1"/>
      <c r="ZG108" s="1"/>
      <c r="ZH108" s="1"/>
      <c r="ZI108" s="1"/>
      <c r="ZJ108" s="1"/>
      <c r="ZK108" s="1"/>
      <c r="ZL108" s="1"/>
      <c r="ZM108" s="1"/>
      <c r="ZN108" s="1"/>
      <c r="ZO108" s="1"/>
      <c r="ZP108" s="1"/>
      <c r="ZQ108" s="1"/>
      <c r="ZR108" s="1"/>
      <c r="ZS108" s="1"/>
      <c r="ZT108" s="1"/>
      <c r="ZU108" s="1"/>
      <c r="ZV108" s="1"/>
      <c r="ZW108" s="1"/>
      <c r="ZX108" s="1"/>
      <c r="ZY108" s="1"/>
      <c r="ZZ108" s="1"/>
      <c r="AAA108" s="1"/>
      <c r="AAB108" s="1"/>
      <c r="AAC108" s="1"/>
      <c r="AAD108" s="1"/>
      <c r="AAE108" s="1"/>
      <c r="AAF108" s="1"/>
      <c r="AAG108" s="1"/>
      <c r="AAH108" s="1"/>
      <c r="AAI108" s="1"/>
      <c r="AAJ108" s="1"/>
      <c r="AAK108" s="1"/>
      <c r="AAL108" s="1"/>
      <c r="AAM108" s="1"/>
      <c r="AAN108" s="1"/>
      <c r="AAO108" s="1"/>
      <c r="AAP108" s="1"/>
      <c r="AAQ108" s="1"/>
      <c r="AAR108" s="1"/>
      <c r="AAS108" s="1"/>
      <c r="AAT108" s="1"/>
      <c r="AAU108" s="1"/>
      <c r="AAV108" s="1"/>
      <c r="AAW108" s="1"/>
      <c r="AAX108" s="1"/>
      <c r="AAY108" s="1"/>
      <c r="AAZ108" s="1"/>
      <c r="ABA108" s="1"/>
      <c r="ABB108" s="1"/>
      <c r="ABC108" s="1"/>
      <c r="ABD108" s="1"/>
      <c r="ABE108" s="1"/>
      <c r="ABF108" s="1"/>
      <c r="ABG108" s="1"/>
      <c r="ABH108" s="1"/>
      <c r="ABI108" s="1"/>
      <c r="ABJ108" s="1"/>
      <c r="ABK108" s="1"/>
      <c r="ABL108" s="1"/>
      <c r="ABM108" s="1"/>
      <c r="ABN108" s="1"/>
      <c r="ABO108" s="1"/>
      <c r="ABP108" s="1"/>
      <c r="ABQ108" s="1"/>
      <c r="ABR108" s="1"/>
      <c r="ABS108" s="1"/>
      <c r="ABT108" s="1"/>
      <c r="ABU108" s="1"/>
      <c r="ABV108" s="1"/>
      <c r="ABW108" s="1"/>
      <c r="ABX108" s="1"/>
      <c r="ABY108" s="1"/>
      <c r="ABZ108" s="1"/>
      <c r="ACA108" s="1"/>
      <c r="ACB108" s="1"/>
      <c r="ACC108" s="1"/>
      <c r="ACD108" s="1"/>
      <c r="ACE108" s="1"/>
      <c r="ACF108" s="1"/>
      <c r="ACG108" s="1"/>
      <c r="ACH108" s="1"/>
      <c r="ACI108" s="1"/>
      <c r="ACJ108" s="1"/>
      <c r="ACK108" s="1"/>
      <c r="ACL108" s="1"/>
      <c r="ACM108" s="1"/>
      <c r="ACN108" s="1"/>
      <c r="ACO108" s="1"/>
      <c r="ACP108" s="1"/>
      <c r="ACQ108" s="1"/>
      <c r="ACR108" s="1"/>
      <c r="ACS108" s="1"/>
      <c r="ACT108" s="1"/>
      <c r="ACU108" s="1"/>
      <c r="ACV108" s="1"/>
      <c r="ACW108" s="1"/>
      <c r="ACX108" s="1"/>
      <c r="ACY108" s="1"/>
      <c r="ACZ108" s="1"/>
      <c r="ADA108" s="1"/>
      <c r="ADB108" s="1"/>
      <c r="ADC108" s="1"/>
      <c r="ADD108" s="1"/>
      <c r="ADE108" s="1"/>
      <c r="ADF108" s="1"/>
      <c r="ADG108" s="1"/>
      <c r="ADH108" s="1"/>
      <c r="ADI108" s="1"/>
      <c r="ADJ108" s="1"/>
      <c r="ADK108" s="1"/>
      <c r="ADL108" s="1"/>
      <c r="ADM108" s="1"/>
      <c r="ADN108" s="1"/>
      <c r="ADO108" s="1"/>
      <c r="ADP108" s="1"/>
      <c r="ADQ108" s="1"/>
      <c r="ADR108" s="1"/>
      <c r="ADS108" s="1"/>
      <c r="ADT108" s="1"/>
      <c r="ADU108" s="1"/>
      <c r="ADV108" s="1"/>
      <c r="ADW108" s="1"/>
      <c r="ADX108" s="1"/>
      <c r="ADY108" s="1"/>
      <c r="ADZ108" s="1"/>
      <c r="AEA108" s="1"/>
      <c r="AEB108" s="1"/>
      <c r="AEC108" s="1"/>
      <c r="AED108" s="1"/>
      <c r="AEE108" s="1"/>
      <c r="AEF108" s="1"/>
      <c r="AEG108" s="1"/>
      <c r="AEH108" s="1"/>
      <c r="AEI108" s="1"/>
      <c r="AEJ108" s="1"/>
      <c r="AEK108" s="1"/>
      <c r="AEL108" s="1"/>
      <c r="AEM108" s="1"/>
      <c r="AEN108" s="1"/>
      <c r="AEO108" s="1"/>
      <c r="AEP108" s="1"/>
      <c r="AEQ108" s="1"/>
      <c r="AER108" s="1"/>
      <c r="AES108" s="1"/>
      <c r="AET108" s="1"/>
      <c r="AEU108" s="1"/>
      <c r="AEV108" s="1"/>
      <c r="AEW108" s="1"/>
      <c r="AEX108" s="1"/>
      <c r="AEY108" s="1"/>
      <c r="AEZ108" s="1"/>
      <c r="AFA108" s="1"/>
      <c r="AFB108" s="1"/>
      <c r="AFC108" s="1"/>
      <c r="AFD108" s="1"/>
      <c r="AFE108" s="1"/>
      <c r="AFF108" s="1"/>
      <c r="AFG108" s="1"/>
      <c r="AFH108" s="1"/>
      <c r="AFI108" s="1"/>
      <c r="AFJ108" s="1"/>
      <c r="AFK108" s="1"/>
      <c r="AFL108" s="1"/>
      <c r="AFM108" s="1"/>
      <c r="AFN108" s="1"/>
      <c r="AFO108" s="1"/>
      <c r="AFP108" s="1"/>
      <c r="AFQ108" s="1"/>
      <c r="AFR108" s="1"/>
      <c r="AFS108" s="1"/>
      <c r="AFT108" s="1"/>
      <c r="AFU108" s="1"/>
      <c r="AFV108" s="1"/>
      <c r="AFW108" s="1"/>
      <c r="AFX108" s="1"/>
      <c r="AFY108" s="1"/>
      <c r="AFZ108" s="1"/>
      <c r="AGA108" s="1"/>
      <c r="AGB108" s="1"/>
      <c r="AGC108" s="1"/>
      <c r="AGD108" s="1"/>
      <c r="AGE108" s="1"/>
      <c r="AGF108" s="1"/>
      <c r="AGG108" s="1"/>
      <c r="AGH108" s="1"/>
      <c r="AGI108" s="1"/>
      <c r="AGJ108" s="1"/>
      <c r="AGK108" s="1"/>
      <c r="AGL108" s="1"/>
      <c r="AGM108" s="1"/>
      <c r="AGN108" s="1"/>
      <c r="AGO108" s="1"/>
      <c r="AGP108" s="1"/>
      <c r="AGQ108" s="1"/>
      <c r="AGR108" s="1"/>
      <c r="AGS108" s="1"/>
      <c r="AGT108" s="1"/>
      <c r="AGU108" s="1"/>
      <c r="AGV108" s="1"/>
      <c r="AGW108" s="1"/>
      <c r="AGX108" s="1"/>
      <c r="AGY108" s="1"/>
      <c r="AGZ108" s="1"/>
      <c r="AHA108" s="1"/>
      <c r="AHB108" s="1"/>
      <c r="AHC108" s="1"/>
      <c r="AHD108" s="1"/>
      <c r="AHE108" s="1"/>
      <c r="AHF108" s="1"/>
      <c r="AHG108" s="1"/>
      <c r="AHH108" s="1"/>
      <c r="AHI108" s="1"/>
      <c r="AHJ108" s="1"/>
      <c r="AHK108" s="1"/>
      <c r="AHL108" s="1"/>
      <c r="AHM108" s="1"/>
      <c r="AHN108" s="1"/>
      <c r="AHO108" s="1"/>
      <c r="AHP108" s="1"/>
      <c r="AHQ108" s="1"/>
      <c r="AHR108" s="1"/>
      <c r="AHS108" s="1"/>
      <c r="AHT108" s="1"/>
      <c r="AHU108" s="1"/>
      <c r="AHV108" s="1"/>
      <c r="AHW108" s="1"/>
      <c r="AHX108" s="1"/>
      <c r="AHY108" s="1"/>
      <c r="AHZ108" s="1"/>
      <c r="AIA108" s="1"/>
      <c r="AIB108" s="1"/>
      <c r="AIC108" s="1"/>
      <c r="AID108" s="1"/>
      <c r="AIE108" s="1"/>
      <c r="AIF108" s="1"/>
      <c r="AIG108" s="1"/>
      <c r="AIH108" s="1"/>
      <c r="AII108" s="1"/>
      <c r="AIJ108" s="1"/>
      <c r="AIK108" s="1"/>
      <c r="AIL108" s="1"/>
      <c r="AIM108" s="1"/>
      <c r="AIN108" s="1"/>
      <c r="AIO108" s="1"/>
      <c r="AIP108" s="1"/>
      <c r="AIQ108" s="1"/>
      <c r="AIR108" s="1"/>
      <c r="AIS108" s="1"/>
      <c r="AIT108" s="1"/>
      <c r="AIU108" s="1"/>
      <c r="AIV108" s="1"/>
      <c r="AIW108" s="1"/>
      <c r="AIX108" s="1"/>
      <c r="AIY108" s="1"/>
      <c r="AIZ108" s="1"/>
      <c r="AJA108" s="1"/>
      <c r="AJB108" s="1"/>
      <c r="AJC108" s="1"/>
      <c r="AJD108" s="1"/>
      <c r="AJE108" s="1"/>
      <c r="AJF108" s="1"/>
      <c r="AJG108" s="1"/>
      <c r="AJH108" s="1"/>
      <c r="AJI108" s="1"/>
      <c r="AJJ108" s="1"/>
      <c r="AJK108" s="1"/>
      <c r="AJL108" s="1"/>
      <c r="AJM108" s="1"/>
      <c r="AJN108" s="1"/>
      <c r="AJO108" s="1"/>
      <c r="AJP108" s="1"/>
      <c r="AJQ108" s="1"/>
      <c r="AJR108" s="1"/>
      <c r="AJS108" s="1"/>
      <c r="AJT108" s="1"/>
      <c r="AJU108" s="1"/>
      <c r="AJV108" s="1"/>
      <c r="AJW108" s="1"/>
      <c r="AJX108" s="1"/>
      <c r="AJY108" s="1"/>
      <c r="AJZ108" s="1"/>
      <c r="AKA108" s="1"/>
      <c r="AKB108" s="1"/>
      <c r="AKC108" s="1"/>
      <c r="AKD108" s="1"/>
      <c r="AKE108" s="1"/>
      <c r="AKF108" s="1"/>
      <c r="AKG108" s="1"/>
      <c r="AKH108" s="1"/>
      <c r="AKI108" s="1"/>
      <c r="AKJ108" s="1"/>
      <c r="AKK108" s="1"/>
      <c r="AKL108" s="1"/>
      <c r="AKM108" s="1"/>
      <c r="AKN108" s="1"/>
      <c r="AKO108" s="1"/>
      <c r="AKP108" s="1"/>
      <c r="AKQ108" s="1"/>
      <c r="AKR108" s="1"/>
      <c r="AKS108" s="1"/>
      <c r="AKT108" s="1"/>
      <c r="AKU108" s="1"/>
      <c r="AKV108" s="1"/>
      <c r="AKW108" s="1"/>
      <c r="AKX108" s="1"/>
      <c r="AKY108" s="1"/>
      <c r="AKZ108" s="1"/>
      <c r="ALA108" s="1"/>
      <c r="ALB108" s="1"/>
      <c r="ALC108" s="1"/>
      <c r="ALD108" s="1"/>
      <c r="ALE108" s="1"/>
      <c r="ALF108" s="1"/>
      <c r="ALG108" s="1"/>
      <c r="ALH108" s="1"/>
      <c r="ALI108" s="1"/>
      <c r="ALJ108" s="1"/>
      <c r="ALK108" s="1"/>
      <c r="ALL108" s="1"/>
      <c r="ALM108" s="1"/>
      <c r="ALN108" s="1"/>
      <c r="ALO108" s="1"/>
      <c r="ALP108" s="1"/>
      <c r="ALQ108" s="1"/>
      <c r="ALR108" s="1"/>
      <c r="ALS108" s="1"/>
      <c r="ALT108" s="1"/>
      <c r="ALU108" s="1"/>
      <c r="ALV108" s="1"/>
      <c r="ALW108" s="1"/>
      <c r="ALX108" s="1"/>
      <c r="ALY108" s="1"/>
      <c r="ALZ108" s="1"/>
      <c r="AMA108" s="1"/>
      <c r="AMB108" s="1"/>
      <c r="AMC108" s="1"/>
      <c r="AMD108" s="1"/>
      <c r="AME108" s="1"/>
      <c r="AMF108" s="1"/>
      <c r="AMG108" s="1"/>
      <c r="AMH108" s="1"/>
      <c r="AMI108" s="1"/>
      <c r="AMJ108" s="1"/>
    </row>
    <row r="109" customFormat="false" ht="10.5" hidden="false" customHeight="true" outlineLevel="0" collapsed="false">
      <c r="A109" s="97" t="n">
        <v>9</v>
      </c>
      <c r="B109" s="138"/>
      <c r="C109" s="138"/>
      <c r="D109" s="138"/>
      <c r="E109" s="138"/>
      <c r="F109" s="138"/>
      <c r="G109" s="138"/>
      <c r="H109" s="138"/>
      <c r="I109" s="138"/>
      <c r="J109" s="19"/>
      <c r="K109" s="19"/>
      <c r="L109" s="19"/>
      <c r="M109" s="19"/>
      <c r="N109" s="19"/>
      <c r="O109" s="19"/>
      <c r="P109" s="19"/>
      <c r="Q109" s="19"/>
      <c r="R109" s="19"/>
      <c r="S109" s="19"/>
      <c r="T109" s="19"/>
      <c r="U109" s="19"/>
      <c r="V109" s="19"/>
      <c r="W109" s="139" t="n">
        <f aca="false">J109*S109</f>
        <v>0</v>
      </c>
      <c r="X109" s="139"/>
      <c r="Y109" s="139"/>
      <c r="Z109" s="139"/>
      <c r="AA109" s="139" t="n">
        <f aca="false">J109*P109</f>
        <v>0</v>
      </c>
      <c r="AB109" s="139"/>
      <c r="AC109" s="139"/>
      <c r="AD109" s="139"/>
      <c r="AE109" s="139" t="n">
        <f aca="false">M109*P109</f>
        <v>0</v>
      </c>
      <c r="AF109" s="139"/>
      <c r="AG109" s="139"/>
      <c r="AH109" s="140" t="n">
        <f aca="false">W109-AA109</f>
        <v>0</v>
      </c>
      <c r="AI109" s="140"/>
      <c r="AJ109" s="140"/>
      <c r="AK109" s="140"/>
      <c r="AL109" s="141" t="str">
        <f aca="false">IFERROR(AH109/$AH$114,"$-")</f>
        <v>$-</v>
      </c>
      <c r="AM109" s="141"/>
      <c r="AN109" s="141"/>
      <c r="AO109" s="14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c r="OP109" s="1"/>
      <c r="OQ109" s="1"/>
      <c r="OR109" s="1"/>
      <c r="OS109" s="1"/>
      <c r="OT109" s="1"/>
      <c r="OU109" s="1"/>
      <c r="OV109" s="1"/>
      <c r="OW109" s="1"/>
      <c r="OX109" s="1"/>
      <c r="OY109" s="1"/>
      <c r="OZ109" s="1"/>
      <c r="PA109" s="1"/>
      <c r="PB109" s="1"/>
      <c r="PC109" s="1"/>
      <c r="PD109" s="1"/>
      <c r="PE109" s="1"/>
      <c r="PF109" s="1"/>
      <c r="PG109" s="1"/>
      <c r="PH109" s="1"/>
      <c r="PI109" s="1"/>
      <c r="PJ109" s="1"/>
      <c r="PK109" s="1"/>
      <c r="PL109" s="1"/>
      <c r="PM109" s="1"/>
      <c r="PN109" s="1"/>
      <c r="PO109" s="1"/>
      <c r="PP109" s="1"/>
      <c r="PQ109" s="1"/>
      <c r="PR109" s="1"/>
      <c r="PS109" s="1"/>
      <c r="PT109" s="1"/>
      <c r="PU109" s="1"/>
      <c r="PV109" s="1"/>
      <c r="PW109" s="1"/>
      <c r="PX109" s="1"/>
      <c r="PY109" s="1"/>
      <c r="PZ109" s="1"/>
      <c r="QA109" s="1"/>
      <c r="QB109" s="1"/>
      <c r="QC109" s="1"/>
      <c r="QD109" s="1"/>
      <c r="QE109" s="1"/>
      <c r="QF109" s="1"/>
      <c r="QG109" s="1"/>
      <c r="QH109" s="1"/>
      <c r="QI109" s="1"/>
      <c r="QJ109" s="1"/>
      <c r="QK109" s="1"/>
      <c r="QL109" s="1"/>
      <c r="QM109" s="1"/>
      <c r="QN109" s="1"/>
      <c r="QO109" s="1"/>
      <c r="QP109" s="1"/>
      <c r="QQ109" s="1"/>
      <c r="QR109" s="1"/>
      <c r="QS109" s="1"/>
      <c r="QT109" s="1"/>
      <c r="QU109" s="1"/>
      <c r="QV109" s="1"/>
      <c r="QW109" s="1"/>
      <c r="QX109" s="1"/>
      <c r="QY109" s="1"/>
      <c r="QZ109" s="1"/>
      <c r="RA109" s="1"/>
      <c r="RB109" s="1"/>
      <c r="RC109" s="1"/>
      <c r="RD109" s="1"/>
      <c r="RE109" s="1"/>
      <c r="RF109" s="1"/>
      <c r="RG109" s="1"/>
      <c r="RH109" s="1"/>
      <c r="RI109" s="1"/>
      <c r="RJ109" s="1"/>
      <c r="RK109" s="1"/>
      <c r="RL109" s="1"/>
      <c r="RM109" s="1"/>
      <c r="RN109" s="1"/>
      <c r="RO109" s="1"/>
      <c r="RP109" s="1"/>
      <c r="RQ109" s="1"/>
      <c r="RR109" s="1"/>
      <c r="RS109" s="1"/>
      <c r="RT109" s="1"/>
      <c r="RU109" s="1"/>
      <c r="RV109" s="1"/>
      <c r="RW109" s="1"/>
      <c r="RX109" s="1"/>
      <c r="RY109" s="1"/>
      <c r="RZ109" s="1"/>
      <c r="SA109" s="1"/>
      <c r="SB109" s="1"/>
      <c r="SC109" s="1"/>
      <c r="SD109" s="1"/>
      <c r="SE109" s="1"/>
      <c r="SF109" s="1"/>
      <c r="SG109" s="1"/>
      <c r="SH109" s="1"/>
      <c r="SI109" s="1"/>
      <c r="SJ109" s="1"/>
      <c r="SK109" s="1"/>
      <c r="SL109" s="1"/>
      <c r="SM109" s="1"/>
      <c r="SN109" s="1"/>
      <c r="SO109" s="1"/>
      <c r="SP109" s="1"/>
      <c r="SQ109" s="1"/>
      <c r="SR109" s="1"/>
      <c r="SS109" s="1"/>
      <c r="ST109" s="1"/>
      <c r="SU109" s="1"/>
      <c r="SV109" s="1"/>
      <c r="SW109" s="1"/>
      <c r="SX109" s="1"/>
      <c r="SY109" s="1"/>
      <c r="SZ109" s="1"/>
      <c r="TA109" s="1"/>
      <c r="TB109" s="1"/>
      <c r="TC109" s="1"/>
      <c r="TD109" s="1"/>
      <c r="TE109" s="1"/>
      <c r="TF109" s="1"/>
      <c r="TG109" s="1"/>
      <c r="TH109" s="1"/>
      <c r="TI109" s="1"/>
      <c r="TJ109" s="1"/>
      <c r="TK109" s="1"/>
      <c r="TL109" s="1"/>
      <c r="TM109" s="1"/>
      <c r="TN109" s="1"/>
      <c r="TO109" s="1"/>
      <c r="TP109" s="1"/>
      <c r="TQ109" s="1"/>
      <c r="TR109" s="1"/>
      <c r="TS109" s="1"/>
      <c r="TT109" s="1"/>
      <c r="TU109" s="1"/>
      <c r="TV109" s="1"/>
      <c r="TW109" s="1"/>
      <c r="TX109" s="1"/>
      <c r="TY109" s="1"/>
      <c r="TZ109" s="1"/>
      <c r="UA109" s="1"/>
      <c r="UB109" s="1"/>
      <c r="UC109" s="1"/>
      <c r="UD109" s="1"/>
      <c r="UE109" s="1"/>
      <c r="UF109" s="1"/>
      <c r="UG109" s="1"/>
      <c r="UH109" s="1"/>
      <c r="UI109" s="1"/>
      <c r="UJ109" s="1"/>
      <c r="UK109" s="1"/>
      <c r="UL109" s="1"/>
      <c r="UM109" s="1"/>
      <c r="UN109" s="1"/>
      <c r="UO109" s="1"/>
      <c r="UP109" s="1"/>
      <c r="UQ109" s="1"/>
      <c r="UR109" s="1"/>
      <c r="US109" s="1"/>
      <c r="UT109" s="1"/>
      <c r="UU109" s="1"/>
      <c r="UV109" s="1"/>
      <c r="UW109" s="1"/>
      <c r="UX109" s="1"/>
      <c r="UY109" s="1"/>
      <c r="UZ109" s="1"/>
      <c r="VA109" s="1"/>
      <c r="VB109" s="1"/>
      <c r="VC109" s="1"/>
      <c r="VD109" s="1"/>
      <c r="VE109" s="1"/>
      <c r="VF109" s="1"/>
      <c r="VG109" s="1"/>
      <c r="VH109" s="1"/>
      <c r="VI109" s="1"/>
      <c r="VJ109" s="1"/>
      <c r="VK109" s="1"/>
      <c r="VL109" s="1"/>
      <c r="VM109" s="1"/>
      <c r="VN109" s="1"/>
      <c r="VO109" s="1"/>
      <c r="VP109" s="1"/>
      <c r="VQ109" s="1"/>
      <c r="VR109" s="1"/>
      <c r="VS109" s="1"/>
      <c r="VT109" s="1"/>
      <c r="VU109" s="1"/>
      <c r="VV109" s="1"/>
      <c r="VW109" s="1"/>
      <c r="VX109" s="1"/>
      <c r="VY109" s="1"/>
      <c r="VZ109" s="1"/>
      <c r="WA109" s="1"/>
      <c r="WB109" s="1"/>
      <c r="WC109" s="1"/>
      <c r="WD109" s="1"/>
      <c r="WE109" s="1"/>
      <c r="WF109" s="1"/>
      <c r="WG109" s="1"/>
      <c r="WH109" s="1"/>
      <c r="WI109" s="1"/>
      <c r="WJ109" s="1"/>
      <c r="WK109" s="1"/>
      <c r="WL109" s="1"/>
      <c r="WM109" s="1"/>
      <c r="WN109" s="1"/>
      <c r="WO109" s="1"/>
      <c r="WP109" s="1"/>
      <c r="WQ109" s="1"/>
      <c r="WR109" s="1"/>
      <c r="WS109" s="1"/>
      <c r="WT109" s="1"/>
      <c r="WU109" s="1"/>
      <c r="WV109" s="1"/>
      <c r="WW109" s="1"/>
      <c r="WX109" s="1"/>
      <c r="WY109" s="1"/>
      <c r="WZ109" s="1"/>
      <c r="XA109" s="1"/>
      <c r="XB109" s="1"/>
      <c r="XC109" s="1"/>
      <c r="XD109" s="1"/>
      <c r="XE109" s="1"/>
      <c r="XF109" s="1"/>
      <c r="XG109" s="1"/>
      <c r="XH109" s="1"/>
      <c r="XI109" s="1"/>
      <c r="XJ109" s="1"/>
      <c r="XK109" s="1"/>
      <c r="XL109" s="1"/>
      <c r="XM109" s="1"/>
      <c r="XN109" s="1"/>
      <c r="XO109" s="1"/>
      <c r="XP109" s="1"/>
      <c r="XQ109" s="1"/>
      <c r="XR109" s="1"/>
      <c r="XS109" s="1"/>
      <c r="XT109" s="1"/>
      <c r="XU109" s="1"/>
      <c r="XV109" s="1"/>
      <c r="XW109" s="1"/>
      <c r="XX109" s="1"/>
      <c r="XY109" s="1"/>
      <c r="XZ109" s="1"/>
      <c r="YA109" s="1"/>
      <c r="YB109" s="1"/>
      <c r="YC109" s="1"/>
      <c r="YD109" s="1"/>
      <c r="YE109" s="1"/>
      <c r="YF109" s="1"/>
      <c r="YG109" s="1"/>
      <c r="YH109" s="1"/>
      <c r="YI109" s="1"/>
      <c r="YJ109" s="1"/>
      <c r="YK109" s="1"/>
      <c r="YL109" s="1"/>
      <c r="YM109" s="1"/>
      <c r="YN109" s="1"/>
      <c r="YO109" s="1"/>
      <c r="YP109" s="1"/>
      <c r="YQ109" s="1"/>
      <c r="YR109" s="1"/>
      <c r="YS109" s="1"/>
      <c r="YT109" s="1"/>
      <c r="YU109" s="1"/>
      <c r="YV109" s="1"/>
      <c r="YW109" s="1"/>
      <c r="YX109" s="1"/>
      <c r="YY109" s="1"/>
      <c r="YZ109" s="1"/>
      <c r="ZA109" s="1"/>
      <c r="ZB109" s="1"/>
      <c r="ZC109" s="1"/>
      <c r="ZD109" s="1"/>
      <c r="ZE109" s="1"/>
      <c r="ZF109" s="1"/>
      <c r="ZG109" s="1"/>
      <c r="ZH109" s="1"/>
      <c r="ZI109" s="1"/>
      <c r="ZJ109" s="1"/>
      <c r="ZK109" s="1"/>
      <c r="ZL109" s="1"/>
      <c r="ZM109" s="1"/>
      <c r="ZN109" s="1"/>
      <c r="ZO109" s="1"/>
      <c r="ZP109" s="1"/>
      <c r="ZQ109" s="1"/>
      <c r="ZR109" s="1"/>
      <c r="ZS109" s="1"/>
      <c r="ZT109" s="1"/>
      <c r="ZU109" s="1"/>
      <c r="ZV109" s="1"/>
      <c r="ZW109" s="1"/>
      <c r="ZX109" s="1"/>
      <c r="ZY109" s="1"/>
      <c r="ZZ109" s="1"/>
      <c r="AAA109" s="1"/>
      <c r="AAB109" s="1"/>
      <c r="AAC109" s="1"/>
      <c r="AAD109" s="1"/>
      <c r="AAE109" s="1"/>
      <c r="AAF109" s="1"/>
      <c r="AAG109" s="1"/>
      <c r="AAH109" s="1"/>
      <c r="AAI109" s="1"/>
      <c r="AAJ109" s="1"/>
      <c r="AAK109" s="1"/>
      <c r="AAL109" s="1"/>
      <c r="AAM109" s="1"/>
      <c r="AAN109" s="1"/>
      <c r="AAO109" s="1"/>
      <c r="AAP109" s="1"/>
      <c r="AAQ109" s="1"/>
      <c r="AAR109" s="1"/>
      <c r="AAS109" s="1"/>
      <c r="AAT109" s="1"/>
      <c r="AAU109" s="1"/>
      <c r="AAV109" s="1"/>
      <c r="AAW109" s="1"/>
      <c r="AAX109" s="1"/>
      <c r="AAY109" s="1"/>
      <c r="AAZ109" s="1"/>
      <c r="ABA109" s="1"/>
      <c r="ABB109" s="1"/>
      <c r="ABC109" s="1"/>
      <c r="ABD109" s="1"/>
      <c r="ABE109" s="1"/>
      <c r="ABF109" s="1"/>
      <c r="ABG109" s="1"/>
      <c r="ABH109" s="1"/>
      <c r="ABI109" s="1"/>
      <c r="ABJ109" s="1"/>
      <c r="ABK109" s="1"/>
      <c r="ABL109" s="1"/>
      <c r="ABM109" s="1"/>
      <c r="ABN109" s="1"/>
      <c r="ABO109" s="1"/>
      <c r="ABP109" s="1"/>
      <c r="ABQ109" s="1"/>
      <c r="ABR109" s="1"/>
      <c r="ABS109" s="1"/>
      <c r="ABT109" s="1"/>
      <c r="ABU109" s="1"/>
      <c r="ABV109" s="1"/>
      <c r="ABW109" s="1"/>
      <c r="ABX109" s="1"/>
      <c r="ABY109" s="1"/>
      <c r="ABZ109" s="1"/>
      <c r="ACA109" s="1"/>
      <c r="ACB109" s="1"/>
      <c r="ACC109" s="1"/>
      <c r="ACD109" s="1"/>
      <c r="ACE109" s="1"/>
      <c r="ACF109" s="1"/>
      <c r="ACG109" s="1"/>
      <c r="ACH109" s="1"/>
      <c r="ACI109" s="1"/>
      <c r="ACJ109" s="1"/>
      <c r="ACK109" s="1"/>
      <c r="ACL109" s="1"/>
      <c r="ACM109" s="1"/>
      <c r="ACN109" s="1"/>
      <c r="ACO109" s="1"/>
      <c r="ACP109" s="1"/>
      <c r="ACQ109" s="1"/>
      <c r="ACR109" s="1"/>
      <c r="ACS109" s="1"/>
      <c r="ACT109" s="1"/>
      <c r="ACU109" s="1"/>
      <c r="ACV109" s="1"/>
      <c r="ACW109" s="1"/>
      <c r="ACX109" s="1"/>
      <c r="ACY109" s="1"/>
      <c r="ACZ109" s="1"/>
      <c r="ADA109" s="1"/>
      <c r="ADB109" s="1"/>
      <c r="ADC109" s="1"/>
      <c r="ADD109" s="1"/>
      <c r="ADE109" s="1"/>
      <c r="ADF109" s="1"/>
      <c r="ADG109" s="1"/>
      <c r="ADH109" s="1"/>
      <c r="ADI109" s="1"/>
      <c r="ADJ109" s="1"/>
      <c r="ADK109" s="1"/>
      <c r="ADL109" s="1"/>
      <c r="ADM109" s="1"/>
      <c r="ADN109" s="1"/>
      <c r="ADO109" s="1"/>
      <c r="ADP109" s="1"/>
      <c r="ADQ109" s="1"/>
      <c r="ADR109" s="1"/>
      <c r="ADS109" s="1"/>
      <c r="ADT109" s="1"/>
      <c r="ADU109" s="1"/>
      <c r="ADV109" s="1"/>
      <c r="ADW109" s="1"/>
      <c r="ADX109" s="1"/>
      <c r="ADY109" s="1"/>
      <c r="ADZ109" s="1"/>
      <c r="AEA109" s="1"/>
      <c r="AEB109" s="1"/>
      <c r="AEC109" s="1"/>
      <c r="AED109" s="1"/>
      <c r="AEE109" s="1"/>
      <c r="AEF109" s="1"/>
      <c r="AEG109" s="1"/>
      <c r="AEH109" s="1"/>
      <c r="AEI109" s="1"/>
      <c r="AEJ109" s="1"/>
      <c r="AEK109" s="1"/>
      <c r="AEL109" s="1"/>
      <c r="AEM109" s="1"/>
      <c r="AEN109" s="1"/>
      <c r="AEO109" s="1"/>
      <c r="AEP109" s="1"/>
      <c r="AEQ109" s="1"/>
      <c r="AER109" s="1"/>
      <c r="AES109" s="1"/>
      <c r="AET109" s="1"/>
      <c r="AEU109" s="1"/>
      <c r="AEV109" s="1"/>
      <c r="AEW109" s="1"/>
      <c r="AEX109" s="1"/>
      <c r="AEY109" s="1"/>
      <c r="AEZ109" s="1"/>
      <c r="AFA109" s="1"/>
      <c r="AFB109" s="1"/>
      <c r="AFC109" s="1"/>
      <c r="AFD109" s="1"/>
      <c r="AFE109" s="1"/>
      <c r="AFF109" s="1"/>
      <c r="AFG109" s="1"/>
      <c r="AFH109" s="1"/>
      <c r="AFI109" s="1"/>
      <c r="AFJ109" s="1"/>
      <c r="AFK109" s="1"/>
      <c r="AFL109" s="1"/>
      <c r="AFM109" s="1"/>
      <c r="AFN109" s="1"/>
      <c r="AFO109" s="1"/>
      <c r="AFP109" s="1"/>
      <c r="AFQ109" s="1"/>
      <c r="AFR109" s="1"/>
      <c r="AFS109" s="1"/>
      <c r="AFT109" s="1"/>
      <c r="AFU109" s="1"/>
      <c r="AFV109" s="1"/>
      <c r="AFW109" s="1"/>
      <c r="AFX109" s="1"/>
      <c r="AFY109" s="1"/>
      <c r="AFZ109" s="1"/>
      <c r="AGA109" s="1"/>
      <c r="AGB109" s="1"/>
      <c r="AGC109" s="1"/>
      <c r="AGD109" s="1"/>
      <c r="AGE109" s="1"/>
      <c r="AGF109" s="1"/>
      <c r="AGG109" s="1"/>
      <c r="AGH109" s="1"/>
      <c r="AGI109" s="1"/>
      <c r="AGJ109" s="1"/>
      <c r="AGK109" s="1"/>
      <c r="AGL109" s="1"/>
      <c r="AGM109" s="1"/>
      <c r="AGN109" s="1"/>
      <c r="AGO109" s="1"/>
      <c r="AGP109" s="1"/>
      <c r="AGQ109" s="1"/>
      <c r="AGR109" s="1"/>
      <c r="AGS109" s="1"/>
      <c r="AGT109" s="1"/>
      <c r="AGU109" s="1"/>
      <c r="AGV109" s="1"/>
      <c r="AGW109" s="1"/>
      <c r="AGX109" s="1"/>
      <c r="AGY109" s="1"/>
      <c r="AGZ109" s="1"/>
      <c r="AHA109" s="1"/>
      <c r="AHB109" s="1"/>
      <c r="AHC109" s="1"/>
      <c r="AHD109" s="1"/>
      <c r="AHE109" s="1"/>
      <c r="AHF109" s="1"/>
      <c r="AHG109" s="1"/>
      <c r="AHH109" s="1"/>
      <c r="AHI109" s="1"/>
      <c r="AHJ109" s="1"/>
      <c r="AHK109" s="1"/>
      <c r="AHL109" s="1"/>
      <c r="AHM109" s="1"/>
      <c r="AHN109" s="1"/>
      <c r="AHO109" s="1"/>
      <c r="AHP109" s="1"/>
      <c r="AHQ109" s="1"/>
      <c r="AHR109" s="1"/>
      <c r="AHS109" s="1"/>
      <c r="AHT109" s="1"/>
      <c r="AHU109" s="1"/>
      <c r="AHV109" s="1"/>
      <c r="AHW109" s="1"/>
      <c r="AHX109" s="1"/>
      <c r="AHY109" s="1"/>
      <c r="AHZ109" s="1"/>
      <c r="AIA109" s="1"/>
      <c r="AIB109" s="1"/>
      <c r="AIC109" s="1"/>
      <c r="AID109" s="1"/>
      <c r="AIE109" s="1"/>
      <c r="AIF109" s="1"/>
      <c r="AIG109" s="1"/>
      <c r="AIH109" s="1"/>
      <c r="AII109" s="1"/>
      <c r="AIJ109" s="1"/>
      <c r="AIK109" s="1"/>
      <c r="AIL109" s="1"/>
      <c r="AIM109" s="1"/>
      <c r="AIN109" s="1"/>
      <c r="AIO109" s="1"/>
      <c r="AIP109" s="1"/>
      <c r="AIQ109" s="1"/>
      <c r="AIR109" s="1"/>
      <c r="AIS109" s="1"/>
      <c r="AIT109" s="1"/>
      <c r="AIU109" s="1"/>
      <c r="AIV109" s="1"/>
      <c r="AIW109" s="1"/>
      <c r="AIX109" s="1"/>
      <c r="AIY109" s="1"/>
      <c r="AIZ109" s="1"/>
      <c r="AJA109" s="1"/>
      <c r="AJB109" s="1"/>
      <c r="AJC109" s="1"/>
      <c r="AJD109" s="1"/>
      <c r="AJE109" s="1"/>
      <c r="AJF109" s="1"/>
      <c r="AJG109" s="1"/>
      <c r="AJH109" s="1"/>
      <c r="AJI109" s="1"/>
      <c r="AJJ109" s="1"/>
      <c r="AJK109" s="1"/>
      <c r="AJL109" s="1"/>
      <c r="AJM109" s="1"/>
      <c r="AJN109" s="1"/>
      <c r="AJO109" s="1"/>
      <c r="AJP109" s="1"/>
      <c r="AJQ109" s="1"/>
      <c r="AJR109" s="1"/>
      <c r="AJS109" s="1"/>
      <c r="AJT109" s="1"/>
      <c r="AJU109" s="1"/>
      <c r="AJV109" s="1"/>
      <c r="AJW109" s="1"/>
      <c r="AJX109" s="1"/>
      <c r="AJY109" s="1"/>
      <c r="AJZ109" s="1"/>
      <c r="AKA109" s="1"/>
      <c r="AKB109" s="1"/>
      <c r="AKC109" s="1"/>
      <c r="AKD109" s="1"/>
      <c r="AKE109" s="1"/>
      <c r="AKF109" s="1"/>
      <c r="AKG109" s="1"/>
      <c r="AKH109" s="1"/>
      <c r="AKI109" s="1"/>
      <c r="AKJ109" s="1"/>
      <c r="AKK109" s="1"/>
      <c r="AKL109" s="1"/>
      <c r="AKM109" s="1"/>
      <c r="AKN109" s="1"/>
      <c r="AKO109" s="1"/>
      <c r="AKP109" s="1"/>
      <c r="AKQ109" s="1"/>
      <c r="AKR109" s="1"/>
      <c r="AKS109" s="1"/>
      <c r="AKT109" s="1"/>
      <c r="AKU109" s="1"/>
      <c r="AKV109" s="1"/>
      <c r="AKW109" s="1"/>
      <c r="AKX109" s="1"/>
      <c r="AKY109" s="1"/>
      <c r="AKZ109" s="1"/>
      <c r="ALA109" s="1"/>
      <c r="ALB109" s="1"/>
      <c r="ALC109" s="1"/>
      <c r="ALD109" s="1"/>
      <c r="ALE109" s="1"/>
      <c r="ALF109" s="1"/>
      <c r="ALG109" s="1"/>
      <c r="ALH109" s="1"/>
      <c r="ALI109" s="1"/>
      <c r="ALJ109" s="1"/>
      <c r="ALK109" s="1"/>
      <c r="ALL109" s="1"/>
      <c r="ALM109" s="1"/>
      <c r="ALN109" s="1"/>
      <c r="ALO109" s="1"/>
      <c r="ALP109" s="1"/>
      <c r="ALQ109" s="1"/>
      <c r="ALR109" s="1"/>
      <c r="ALS109" s="1"/>
      <c r="ALT109" s="1"/>
      <c r="ALU109" s="1"/>
      <c r="ALV109" s="1"/>
      <c r="ALW109" s="1"/>
      <c r="ALX109" s="1"/>
      <c r="ALY109" s="1"/>
      <c r="ALZ109" s="1"/>
      <c r="AMA109" s="1"/>
      <c r="AMB109" s="1"/>
      <c r="AMC109" s="1"/>
      <c r="AMD109" s="1"/>
      <c r="AME109" s="1"/>
      <c r="AMF109" s="1"/>
      <c r="AMG109" s="1"/>
      <c r="AMH109" s="1"/>
      <c r="AMI109" s="1"/>
      <c r="AMJ109" s="1"/>
    </row>
    <row r="110" customFormat="false" ht="10.5" hidden="false" customHeight="true" outlineLevel="0" collapsed="false">
      <c r="A110" s="97" t="n">
        <v>10</v>
      </c>
      <c r="B110" s="138"/>
      <c r="C110" s="138"/>
      <c r="D110" s="138"/>
      <c r="E110" s="138"/>
      <c r="F110" s="138"/>
      <c r="G110" s="138"/>
      <c r="H110" s="138"/>
      <c r="I110" s="138"/>
      <c r="J110" s="19"/>
      <c r="K110" s="19"/>
      <c r="L110" s="19"/>
      <c r="M110" s="19"/>
      <c r="N110" s="19"/>
      <c r="O110" s="19"/>
      <c r="P110" s="19"/>
      <c r="Q110" s="19"/>
      <c r="R110" s="19"/>
      <c r="S110" s="19"/>
      <c r="T110" s="19"/>
      <c r="U110" s="19"/>
      <c r="V110" s="19"/>
      <c r="W110" s="139" t="n">
        <f aca="false">J110*S110</f>
        <v>0</v>
      </c>
      <c r="X110" s="139"/>
      <c r="Y110" s="139"/>
      <c r="Z110" s="139"/>
      <c r="AA110" s="139" t="n">
        <f aca="false">J110*P110</f>
        <v>0</v>
      </c>
      <c r="AB110" s="139"/>
      <c r="AC110" s="139"/>
      <c r="AD110" s="139"/>
      <c r="AE110" s="139" t="n">
        <f aca="false">M110*P110</f>
        <v>0</v>
      </c>
      <c r="AF110" s="139"/>
      <c r="AG110" s="139"/>
      <c r="AH110" s="140" t="n">
        <f aca="false">W110-AA110</f>
        <v>0</v>
      </c>
      <c r="AI110" s="140"/>
      <c r="AJ110" s="140"/>
      <c r="AK110" s="140"/>
      <c r="AL110" s="141" t="str">
        <f aca="false">IFERROR(AH110/$AH$114,"$-")</f>
        <v>$-</v>
      </c>
      <c r="AM110" s="141"/>
      <c r="AN110" s="141"/>
      <c r="AO110" s="14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c r="IY110" s="1"/>
      <c r="IZ110" s="1"/>
      <c r="JA110" s="1"/>
      <c r="JB110" s="1"/>
      <c r="JC110" s="1"/>
      <c r="JD110" s="1"/>
      <c r="JE110" s="1"/>
      <c r="JF110" s="1"/>
      <c r="JG110" s="1"/>
      <c r="JH110" s="1"/>
      <c r="JI110" s="1"/>
      <c r="JJ110" s="1"/>
      <c r="JK110" s="1"/>
      <c r="JL110" s="1"/>
      <c r="JM110" s="1"/>
      <c r="JN110" s="1"/>
      <c r="JO110" s="1"/>
      <c r="JP110" s="1"/>
      <c r="JQ110" s="1"/>
      <c r="JR110" s="1"/>
      <c r="JS110" s="1"/>
      <c r="JT110" s="1"/>
      <c r="JU110" s="1"/>
      <c r="JV110" s="1"/>
      <c r="JW110" s="1"/>
      <c r="JX110" s="1"/>
      <c r="JY110" s="1"/>
      <c r="JZ110" s="1"/>
      <c r="KA110" s="1"/>
      <c r="KB110" s="1"/>
      <c r="KC110" s="1"/>
      <c r="KD110" s="1"/>
      <c r="KE110" s="1"/>
      <c r="KF110" s="1"/>
      <c r="KG110" s="1"/>
      <c r="KH110" s="1"/>
      <c r="KI110" s="1"/>
      <c r="KJ110" s="1"/>
      <c r="KK110" s="1"/>
      <c r="KL110" s="1"/>
      <c r="KM110" s="1"/>
      <c r="KN110" s="1"/>
      <c r="KO110" s="1"/>
      <c r="KP110" s="1"/>
      <c r="KQ110" s="1"/>
      <c r="KR110" s="1"/>
      <c r="KS110" s="1"/>
      <c r="KT110" s="1"/>
      <c r="KU110" s="1"/>
      <c r="KV110" s="1"/>
      <c r="KW110" s="1"/>
      <c r="KX110" s="1"/>
      <c r="KY110" s="1"/>
      <c r="KZ110" s="1"/>
      <c r="LA110" s="1"/>
      <c r="LB110" s="1"/>
      <c r="LC110" s="1"/>
      <c r="LD110" s="1"/>
      <c r="LE110" s="1"/>
      <c r="LF110" s="1"/>
      <c r="LG110" s="1"/>
      <c r="LH110" s="1"/>
      <c r="LI110" s="1"/>
      <c r="LJ110" s="1"/>
      <c r="LK110" s="1"/>
      <c r="LL110" s="1"/>
      <c r="LM110" s="1"/>
      <c r="LN110" s="1"/>
      <c r="LO110" s="1"/>
      <c r="LP110" s="1"/>
      <c r="LQ110" s="1"/>
      <c r="LR110" s="1"/>
      <c r="LS110" s="1"/>
      <c r="LT110" s="1"/>
      <c r="LU110" s="1"/>
      <c r="LV110" s="1"/>
      <c r="LW110" s="1"/>
      <c r="LX110" s="1"/>
      <c r="LY110" s="1"/>
      <c r="LZ110" s="1"/>
      <c r="MA110" s="1"/>
      <c r="MB110" s="1"/>
      <c r="MC110" s="1"/>
      <c r="MD110" s="1"/>
      <c r="ME110" s="1"/>
      <c r="MF110" s="1"/>
      <c r="MG110" s="1"/>
      <c r="MH110" s="1"/>
      <c r="MI110" s="1"/>
      <c r="MJ110" s="1"/>
      <c r="MK110" s="1"/>
      <c r="ML110" s="1"/>
      <c r="MM110" s="1"/>
      <c r="MN110" s="1"/>
      <c r="MO110" s="1"/>
      <c r="MP110" s="1"/>
      <c r="MQ110" s="1"/>
      <c r="MR110" s="1"/>
      <c r="MS110" s="1"/>
      <c r="MT110" s="1"/>
      <c r="MU110" s="1"/>
      <c r="MV110" s="1"/>
      <c r="MW110" s="1"/>
      <c r="MX110" s="1"/>
      <c r="MY110" s="1"/>
      <c r="MZ110" s="1"/>
      <c r="NA110" s="1"/>
      <c r="NB110" s="1"/>
      <c r="NC110" s="1"/>
      <c r="ND110" s="1"/>
      <c r="NE110" s="1"/>
      <c r="NF110" s="1"/>
      <c r="NG110" s="1"/>
      <c r="NH110" s="1"/>
      <c r="NI110" s="1"/>
      <c r="NJ110" s="1"/>
      <c r="NK110" s="1"/>
      <c r="NL110" s="1"/>
      <c r="NM110" s="1"/>
      <c r="NN110" s="1"/>
      <c r="NO110" s="1"/>
      <c r="NP110" s="1"/>
      <c r="NQ110" s="1"/>
      <c r="NR110" s="1"/>
      <c r="NS110" s="1"/>
      <c r="NT110" s="1"/>
      <c r="NU110" s="1"/>
      <c r="NV110" s="1"/>
      <c r="NW110" s="1"/>
      <c r="NX110" s="1"/>
      <c r="NY110" s="1"/>
      <c r="NZ110" s="1"/>
      <c r="OA110" s="1"/>
      <c r="OB110" s="1"/>
      <c r="OC110" s="1"/>
      <c r="OD110" s="1"/>
      <c r="OE110" s="1"/>
      <c r="OF110" s="1"/>
      <c r="OG110" s="1"/>
      <c r="OH110" s="1"/>
      <c r="OI110" s="1"/>
      <c r="OJ110" s="1"/>
      <c r="OK110" s="1"/>
      <c r="OL110" s="1"/>
      <c r="OM110" s="1"/>
      <c r="ON110" s="1"/>
      <c r="OO110" s="1"/>
      <c r="OP110" s="1"/>
      <c r="OQ110" s="1"/>
      <c r="OR110" s="1"/>
      <c r="OS110" s="1"/>
      <c r="OT110" s="1"/>
      <c r="OU110" s="1"/>
      <c r="OV110" s="1"/>
      <c r="OW110" s="1"/>
      <c r="OX110" s="1"/>
      <c r="OY110" s="1"/>
      <c r="OZ110" s="1"/>
      <c r="PA110" s="1"/>
      <c r="PB110" s="1"/>
      <c r="PC110" s="1"/>
      <c r="PD110" s="1"/>
      <c r="PE110" s="1"/>
      <c r="PF110" s="1"/>
      <c r="PG110" s="1"/>
      <c r="PH110" s="1"/>
      <c r="PI110" s="1"/>
      <c r="PJ110" s="1"/>
      <c r="PK110" s="1"/>
      <c r="PL110" s="1"/>
      <c r="PM110" s="1"/>
      <c r="PN110" s="1"/>
      <c r="PO110" s="1"/>
      <c r="PP110" s="1"/>
      <c r="PQ110" s="1"/>
      <c r="PR110" s="1"/>
      <c r="PS110" s="1"/>
      <c r="PT110" s="1"/>
      <c r="PU110" s="1"/>
      <c r="PV110" s="1"/>
      <c r="PW110" s="1"/>
      <c r="PX110" s="1"/>
      <c r="PY110" s="1"/>
      <c r="PZ110" s="1"/>
      <c r="QA110" s="1"/>
      <c r="QB110" s="1"/>
      <c r="QC110" s="1"/>
      <c r="QD110" s="1"/>
      <c r="QE110" s="1"/>
      <c r="QF110" s="1"/>
      <c r="QG110" s="1"/>
      <c r="QH110" s="1"/>
      <c r="QI110" s="1"/>
      <c r="QJ110" s="1"/>
      <c r="QK110" s="1"/>
      <c r="QL110" s="1"/>
      <c r="QM110" s="1"/>
      <c r="QN110" s="1"/>
      <c r="QO110" s="1"/>
      <c r="QP110" s="1"/>
      <c r="QQ110" s="1"/>
      <c r="QR110" s="1"/>
      <c r="QS110" s="1"/>
      <c r="QT110" s="1"/>
      <c r="QU110" s="1"/>
      <c r="QV110" s="1"/>
      <c r="QW110" s="1"/>
      <c r="QX110" s="1"/>
      <c r="QY110" s="1"/>
      <c r="QZ110" s="1"/>
      <c r="RA110" s="1"/>
      <c r="RB110" s="1"/>
      <c r="RC110" s="1"/>
      <c r="RD110" s="1"/>
      <c r="RE110" s="1"/>
      <c r="RF110" s="1"/>
      <c r="RG110" s="1"/>
      <c r="RH110" s="1"/>
      <c r="RI110" s="1"/>
      <c r="RJ110" s="1"/>
      <c r="RK110" s="1"/>
      <c r="RL110" s="1"/>
      <c r="RM110" s="1"/>
      <c r="RN110" s="1"/>
      <c r="RO110" s="1"/>
      <c r="RP110" s="1"/>
      <c r="RQ110" s="1"/>
      <c r="RR110" s="1"/>
      <c r="RS110" s="1"/>
      <c r="RT110" s="1"/>
      <c r="RU110" s="1"/>
      <c r="RV110" s="1"/>
      <c r="RW110" s="1"/>
      <c r="RX110" s="1"/>
      <c r="RY110" s="1"/>
      <c r="RZ110" s="1"/>
      <c r="SA110" s="1"/>
      <c r="SB110" s="1"/>
      <c r="SC110" s="1"/>
      <c r="SD110" s="1"/>
      <c r="SE110" s="1"/>
      <c r="SF110" s="1"/>
      <c r="SG110" s="1"/>
      <c r="SH110" s="1"/>
      <c r="SI110" s="1"/>
      <c r="SJ110" s="1"/>
      <c r="SK110" s="1"/>
      <c r="SL110" s="1"/>
      <c r="SM110" s="1"/>
      <c r="SN110" s="1"/>
      <c r="SO110" s="1"/>
      <c r="SP110" s="1"/>
      <c r="SQ110" s="1"/>
      <c r="SR110" s="1"/>
      <c r="SS110" s="1"/>
      <c r="ST110" s="1"/>
      <c r="SU110" s="1"/>
      <c r="SV110" s="1"/>
      <c r="SW110" s="1"/>
      <c r="SX110" s="1"/>
      <c r="SY110" s="1"/>
      <c r="SZ110" s="1"/>
      <c r="TA110" s="1"/>
      <c r="TB110" s="1"/>
      <c r="TC110" s="1"/>
      <c r="TD110" s="1"/>
      <c r="TE110" s="1"/>
      <c r="TF110" s="1"/>
      <c r="TG110" s="1"/>
      <c r="TH110" s="1"/>
      <c r="TI110" s="1"/>
      <c r="TJ110" s="1"/>
      <c r="TK110" s="1"/>
      <c r="TL110" s="1"/>
      <c r="TM110" s="1"/>
      <c r="TN110" s="1"/>
      <c r="TO110" s="1"/>
      <c r="TP110" s="1"/>
      <c r="TQ110" s="1"/>
      <c r="TR110" s="1"/>
      <c r="TS110" s="1"/>
      <c r="TT110" s="1"/>
      <c r="TU110" s="1"/>
      <c r="TV110" s="1"/>
      <c r="TW110" s="1"/>
      <c r="TX110" s="1"/>
      <c r="TY110" s="1"/>
      <c r="TZ110" s="1"/>
      <c r="UA110" s="1"/>
      <c r="UB110" s="1"/>
      <c r="UC110" s="1"/>
      <c r="UD110" s="1"/>
      <c r="UE110" s="1"/>
      <c r="UF110" s="1"/>
      <c r="UG110" s="1"/>
      <c r="UH110" s="1"/>
      <c r="UI110" s="1"/>
      <c r="UJ110" s="1"/>
      <c r="UK110" s="1"/>
      <c r="UL110" s="1"/>
      <c r="UM110" s="1"/>
      <c r="UN110" s="1"/>
      <c r="UO110" s="1"/>
      <c r="UP110" s="1"/>
      <c r="UQ110" s="1"/>
      <c r="UR110" s="1"/>
      <c r="US110" s="1"/>
      <c r="UT110" s="1"/>
      <c r="UU110" s="1"/>
      <c r="UV110" s="1"/>
      <c r="UW110" s="1"/>
      <c r="UX110" s="1"/>
      <c r="UY110" s="1"/>
      <c r="UZ110" s="1"/>
      <c r="VA110" s="1"/>
      <c r="VB110" s="1"/>
      <c r="VC110" s="1"/>
      <c r="VD110" s="1"/>
      <c r="VE110" s="1"/>
      <c r="VF110" s="1"/>
      <c r="VG110" s="1"/>
      <c r="VH110" s="1"/>
      <c r="VI110" s="1"/>
      <c r="VJ110" s="1"/>
      <c r="VK110" s="1"/>
      <c r="VL110" s="1"/>
      <c r="VM110" s="1"/>
      <c r="VN110" s="1"/>
      <c r="VO110" s="1"/>
      <c r="VP110" s="1"/>
      <c r="VQ110" s="1"/>
      <c r="VR110" s="1"/>
      <c r="VS110" s="1"/>
      <c r="VT110" s="1"/>
      <c r="VU110" s="1"/>
      <c r="VV110" s="1"/>
      <c r="VW110" s="1"/>
      <c r="VX110" s="1"/>
      <c r="VY110" s="1"/>
      <c r="VZ110" s="1"/>
      <c r="WA110" s="1"/>
      <c r="WB110" s="1"/>
      <c r="WC110" s="1"/>
      <c r="WD110" s="1"/>
      <c r="WE110" s="1"/>
      <c r="WF110" s="1"/>
      <c r="WG110" s="1"/>
      <c r="WH110" s="1"/>
      <c r="WI110" s="1"/>
      <c r="WJ110" s="1"/>
      <c r="WK110" s="1"/>
      <c r="WL110" s="1"/>
      <c r="WM110" s="1"/>
      <c r="WN110" s="1"/>
      <c r="WO110" s="1"/>
      <c r="WP110" s="1"/>
      <c r="WQ110" s="1"/>
      <c r="WR110" s="1"/>
      <c r="WS110" s="1"/>
      <c r="WT110" s="1"/>
      <c r="WU110" s="1"/>
      <c r="WV110" s="1"/>
      <c r="WW110" s="1"/>
      <c r="WX110" s="1"/>
      <c r="WY110" s="1"/>
      <c r="WZ110" s="1"/>
      <c r="XA110" s="1"/>
      <c r="XB110" s="1"/>
      <c r="XC110" s="1"/>
      <c r="XD110" s="1"/>
      <c r="XE110" s="1"/>
      <c r="XF110" s="1"/>
      <c r="XG110" s="1"/>
      <c r="XH110" s="1"/>
      <c r="XI110" s="1"/>
      <c r="XJ110" s="1"/>
      <c r="XK110" s="1"/>
      <c r="XL110" s="1"/>
      <c r="XM110" s="1"/>
      <c r="XN110" s="1"/>
      <c r="XO110" s="1"/>
      <c r="XP110" s="1"/>
      <c r="XQ110" s="1"/>
      <c r="XR110" s="1"/>
      <c r="XS110" s="1"/>
      <c r="XT110" s="1"/>
      <c r="XU110" s="1"/>
      <c r="XV110" s="1"/>
      <c r="XW110" s="1"/>
      <c r="XX110" s="1"/>
      <c r="XY110" s="1"/>
      <c r="XZ110" s="1"/>
      <c r="YA110" s="1"/>
      <c r="YB110" s="1"/>
      <c r="YC110" s="1"/>
      <c r="YD110" s="1"/>
      <c r="YE110" s="1"/>
      <c r="YF110" s="1"/>
      <c r="YG110" s="1"/>
      <c r="YH110" s="1"/>
      <c r="YI110" s="1"/>
      <c r="YJ110" s="1"/>
      <c r="YK110" s="1"/>
      <c r="YL110" s="1"/>
      <c r="YM110" s="1"/>
      <c r="YN110" s="1"/>
      <c r="YO110" s="1"/>
      <c r="YP110" s="1"/>
      <c r="YQ110" s="1"/>
      <c r="YR110" s="1"/>
      <c r="YS110" s="1"/>
      <c r="YT110" s="1"/>
      <c r="YU110" s="1"/>
      <c r="YV110" s="1"/>
      <c r="YW110" s="1"/>
      <c r="YX110" s="1"/>
      <c r="YY110" s="1"/>
      <c r="YZ110" s="1"/>
      <c r="ZA110" s="1"/>
      <c r="ZB110" s="1"/>
      <c r="ZC110" s="1"/>
      <c r="ZD110" s="1"/>
      <c r="ZE110" s="1"/>
      <c r="ZF110" s="1"/>
      <c r="ZG110" s="1"/>
      <c r="ZH110" s="1"/>
      <c r="ZI110" s="1"/>
      <c r="ZJ110" s="1"/>
      <c r="ZK110" s="1"/>
      <c r="ZL110" s="1"/>
      <c r="ZM110" s="1"/>
      <c r="ZN110" s="1"/>
      <c r="ZO110" s="1"/>
      <c r="ZP110" s="1"/>
      <c r="ZQ110" s="1"/>
      <c r="ZR110" s="1"/>
      <c r="ZS110" s="1"/>
      <c r="ZT110" s="1"/>
      <c r="ZU110" s="1"/>
      <c r="ZV110" s="1"/>
      <c r="ZW110" s="1"/>
      <c r="ZX110" s="1"/>
      <c r="ZY110" s="1"/>
      <c r="ZZ110" s="1"/>
      <c r="AAA110" s="1"/>
      <c r="AAB110" s="1"/>
      <c r="AAC110" s="1"/>
      <c r="AAD110" s="1"/>
      <c r="AAE110" s="1"/>
      <c r="AAF110" s="1"/>
      <c r="AAG110" s="1"/>
      <c r="AAH110" s="1"/>
      <c r="AAI110" s="1"/>
      <c r="AAJ110" s="1"/>
      <c r="AAK110" s="1"/>
      <c r="AAL110" s="1"/>
      <c r="AAM110" s="1"/>
      <c r="AAN110" s="1"/>
      <c r="AAO110" s="1"/>
      <c r="AAP110" s="1"/>
      <c r="AAQ110" s="1"/>
      <c r="AAR110" s="1"/>
      <c r="AAS110" s="1"/>
      <c r="AAT110" s="1"/>
      <c r="AAU110" s="1"/>
      <c r="AAV110" s="1"/>
      <c r="AAW110" s="1"/>
      <c r="AAX110" s="1"/>
      <c r="AAY110" s="1"/>
      <c r="AAZ110" s="1"/>
      <c r="ABA110" s="1"/>
      <c r="ABB110" s="1"/>
      <c r="ABC110" s="1"/>
      <c r="ABD110" s="1"/>
      <c r="ABE110" s="1"/>
      <c r="ABF110" s="1"/>
      <c r="ABG110" s="1"/>
      <c r="ABH110" s="1"/>
      <c r="ABI110" s="1"/>
      <c r="ABJ110" s="1"/>
      <c r="ABK110" s="1"/>
      <c r="ABL110" s="1"/>
      <c r="ABM110" s="1"/>
      <c r="ABN110" s="1"/>
      <c r="ABO110" s="1"/>
      <c r="ABP110" s="1"/>
      <c r="ABQ110" s="1"/>
      <c r="ABR110" s="1"/>
      <c r="ABS110" s="1"/>
      <c r="ABT110" s="1"/>
      <c r="ABU110" s="1"/>
      <c r="ABV110" s="1"/>
      <c r="ABW110" s="1"/>
      <c r="ABX110" s="1"/>
      <c r="ABY110" s="1"/>
      <c r="ABZ110" s="1"/>
      <c r="ACA110" s="1"/>
      <c r="ACB110" s="1"/>
      <c r="ACC110" s="1"/>
      <c r="ACD110" s="1"/>
      <c r="ACE110" s="1"/>
      <c r="ACF110" s="1"/>
      <c r="ACG110" s="1"/>
      <c r="ACH110" s="1"/>
      <c r="ACI110" s="1"/>
      <c r="ACJ110" s="1"/>
      <c r="ACK110" s="1"/>
      <c r="ACL110" s="1"/>
      <c r="ACM110" s="1"/>
      <c r="ACN110" s="1"/>
      <c r="ACO110" s="1"/>
      <c r="ACP110" s="1"/>
      <c r="ACQ110" s="1"/>
      <c r="ACR110" s="1"/>
      <c r="ACS110" s="1"/>
      <c r="ACT110" s="1"/>
      <c r="ACU110" s="1"/>
      <c r="ACV110" s="1"/>
      <c r="ACW110" s="1"/>
      <c r="ACX110" s="1"/>
      <c r="ACY110" s="1"/>
      <c r="ACZ110" s="1"/>
      <c r="ADA110" s="1"/>
      <c r="ADB110" s="1"/>
      <c r="ADC110" s="1"/>
      <c r="ADD110" s="1"/>
      <c r="ADE110" s="1"/>
      <c r="ADF110" s="1"/>
      <c r="ADG110" s="1"/>
      <c r="ADH110" s="1"/>
      <c r="ADI110" s="1"/>
      <c r="ADJ110" s="1"/>
      <c r="ADK110" s="1"/>
      <c r="ADL110" s="1"/>
      <c r="ADM110" s="1"/>
      <c r="ADN110" s="1"/>
      <c r="ADO110" s="1"/>
      <c r="ADP110" s="1"/>
      <c r="ADQ110" s="1"/>
      <c r="ADR110" s="1"/>
      <c r="ADS110" s="1"/>
      <c r="ADT110" s="1"/>
      <c r="ADU110" s="1"/>
      <c r="ADV110" s="1"/>
      <c r="ADW110" s="1"/>
      <c r="ADX110" s="1"/>
      <c r="ADY110" s="1"/>
      <c r="ADZ110" s="1"/>
      <c r="AEA110" s="1"/>
      <c r="AEB110" s="1"/>
      <c r="AEC110" s="1"/>
      <c r="AED110" s="1"/>
      <c r="AEE110" s="1"/>
      <c r="AEF110" s="1"/>
      <c r="AEG110" s="1"/>
      <c r="AEH110" s="1"/>
      <c r="AEI110" s="1"/>
      <c r="AEJ110" s="1"/>
      <c r="AEK110" s="1"/>
      <c r="AEL110" s="1"/>
      <c r="AEM110" s="1"/>
      <c r="AEN110" s="1"/>
      <c r="AEO110" s="1"/>
      <c r="AEP110" s="1"/>
      <c r="AEQ110" s="1"/>
      <c r="AER110" s="1"/>
      <c r="AES110" s="1"/>
      <c r="AET110" s="1"/>
      <c r="AEU110" s="1"/>
      <c r="AEV110" s="1"/>
      <c r="AEW110" s="1"/>
      <c r="AEX110" s="1"/>
      <c r="AEY110" s="1"/>
      <c r="AEZ110" s="1"/>
      <c r="AFA110" s="1"/>
      <c r="AFB110" s="1"/>
      <c r="AFC110" s="1"/>
      <c r="AFD110" s="1"/>
      <c r="AFE110" s="1"/>
      <c r="AFF110" s="1"/>
      <c r="AFG110" s="1"/>
      <c r="AFH110" s="1"/>
      <c r="AFI110" s="1"/>
      <c r="AFJ110" s="1"/>
      <c r="AFK110" s="1"/>
      <c r="AFL110" s="1"/>
      <c r="AFM110" s="1"/>
      <c r="AFN110" s="1"/>
      <c r="AFO110" s="1"/>
      <c r="AFP110" s="1"/>
      <c r="AFQ110" s="1"/>
      <c r="AFR110" s="1"/>
      <c r="AFS110" s="1"/>
      <c r="AFT110" s="1"/>
      <c r="AFU110" s="1"/>
      <c r="AFV110" s="1"/>
      <c r="AFW110" s="1"/>
      <c r="AFX110" s="1"/>
      <c r="AFY110" s="1"/>
      <c r="AFZ110" s="1"/>
      <c r="AGA110" s="1"/>
      <c r="AGB110" s="1"/>
      <c r="AGC110" s="1"/>
      <c r="AGD110" s="1"/>
      <c r="AGE110" s="1"/>
      <c r="AGF110" s="1"/>
      <c r="AGG110" s="1"/>
      <c r="AGH110" s="1"/>
      <c r="AGI110" s="1"/>
      <c r="AGJ110" s="1"/>
      <c r="AGK110" s="1"/>
      <c r="AGL110" s="1"/>
      <c r="AGM110" s="1"/>
      <c r="AGN110" s="1"/>
      <c r="AGO110" s="1"/>
      <c r="AGP110" s="1"/>
      <c r="AGQ110" s="1"/>
      <c r="AGR110" s="1"/>
      <c r="AGS110" s="1"/>
      <c r="AGT110" s="1"/>
      <c r="AGU110" s="1"/>
      <c r="AGV110" s="1"/>
      <c r="AGW110" s="1"/>
      <c r="AGX110" s="1"/>
      <c r="AGY110" s="1"/>
      <c r="AGZ110" s="1"/>
      <c r="AHA110" s="1"/>
      <c r="AHB110" s="1"/>
      <c r="AHC110" s="1"/>
      <c r="AHD110" s="1"/>
      <c r="AHE110" s="1"/>
      <c r="AHF110" s="1"/>
      <c r="AHG110" s="1"/>
      <c r="AHH110" s="1"/>
      <c r="AHI110" s="1"/>
      <c r="AHJ110" s="1"/>
      <c r="AHK110" s="1"/>
      <c r="AHL110" s="1"/>
      <c r="AHM110" s="1"/>
      <c r="AHN110" s="1"/>
      <c r="AHO110" s="1"/>
      <c r="AHP110" s="1"/>
      <c r="AHQ110" s="1"/>
      <c r="AHR110" s="1"/>
      <c r="AHS110" s="1"/>
      <c r="AHT110" s="1"/>
      <c r="AHU110" s="1"/>
      <c r="AHV110" s="1"/>
      <c r="AHW110" s="1"/>
      <c r="AHX110" s="1"/>
      <c r="AHY110" s="1"/>
      <c r="AHZ110" s="1"/>
      <c r="AIA110" s="1"/>
      <c r="AIB110" s="1"/>
      <c r="AIC110" s="1"/>
      <c r="AID110" s="1"/>
      <c r="AIE110" s="1"/>
      <c r="AIF110" s="1"/>
      <c r="AIG110" s="1"/>
      <c r="AIH110" s="1"/>
      <c r="AII110" s="1"/>
      <c r="AIJ110" s="1"/>
      <c r="AIK110" s="1"/>
      <c r="AIL110" s="1"/>
      <c r="AIM110" s="1"/>
      <c r="AIN110" s="1"/>
      <c r="AIO110" s="1"/>
      <c r="AIP110" s="1"/>
      <c r="AIQ110" s="1"/>
      <c r="AIR110" s="1"/>
      <c r="AIS110" s="1"/>
      <c r="AIT110" s="1"/>
      <c r="AIU110" s="1"/>
      <c r="AIV110" s="1"/>
      <c r="AIW110" s="1"/>
      <c r="AIX110" s="1"/>
      <c r="AIY110" s="1"/>
      <c r="AIZ110" s="1"/>
      <c r="AJA110" s="1"/>
      <c r="AJB110" s="1"/>
      <c r="AJC110" s="1"/>
      <c r="AJD110" s="1"/>
      <c r="AJE110" s="1"/>
      <c r="AJF110" s="1"/>
      <c r="AJG110" s="1"/>
      <c r="AJH110" s="1"/>
      <c r="AJI110" s="1"/>
      <c r="AJJ110" s="1"/>
      <c r="AJK110" s="1"/>
      <c r="AJL110" s="1"/>
      <c r="AJM110" s="1"/>
      <c r="AJN110" s="1"/>
      <c r="AJO110" s="1"/>
      <c r="AJP110" s="1"/>
      <c r="AJQ110" s="1"/>
      <c r="AJR110" s="1"/>
      <c r="AJS110" s="1"/>
      <c r="AJT110" s="1"/>
      <c r="AJU110" s="1"/>
      <c r="AJV110" s="1"/>
      <c r="AJW110" s="1"/>
      <c r="AJX110" s="1"/>
      <c r="AJY110" s="1"/>
      <c r="AJZ110" s="1"/>
      <c r="AKA110" s="1"/>
      <c r="AKB110" s="1"/>
      <c r="AKC110" s="1"/>
      <c r="AKD110" s="1"/>
      <c r="AKE110" s="1"/>
      <c r="AKF110" s="1"/>
      <c r="AKG110" s="1"/>
      <c r="AKH110" s="1"/>
      <c r="AKI110" s="1"/>
      <c r="AKJ110" s="1"/>
      <c r="AKK110" s="1"/>
      <c r="AKL110" s="1"/>
      <c r="AKM110" s="1"/>
      <c r="AKN110" s="1"/>
      <c r="AKO110" s="1"/>
      <c r="AKP110" s="1"/>
      <c r="AKQ110" s="1"/>
      <c r="AKR110" s="1"/>
      <c r="AKS110" s="1"/>
      <c r="AKT110" s="1"/>
      <c r="AKU110" s="1"/>
      <c r="AKV110" s="1"/>
      <c r="AKW110" s="1"/>
      <c r="AKX110" s="1"/>
      <c r="AKY110" s="1"/>
      <c r="AKZ110" s="1"/>
      <c r="ALA110" s="1"/>
      <c r="ALB110" s="1"/>
      <c r="ALC110" s="1"/>
      <c r="ALD110" s="1"/>
      <c r="ALE110" s="1"/>
      <c r="ALF110" s="1"/>
      <c r="ALG110" s="1"/>
      <c r="ALH110" s="1"/>
      <c r="ALI110" s="1"/>
      <c r="ALJ110" s="1"/>
      <c r="ALK110" s="1"/>
      <c r="ALL110" s="1"/>
      <c r="ALM110" s="1"/>
      <c r="ALN110" s="1"/>
      <c r="ALO110" s="1"/>
      <c r="ALP110" s="1"/>
      <c r="ALQ110" s="1"/>
      <c r="ALR110" s="1"/>
      <c r="ALS110" s="1"/>
      <c r="ALT110" s="1"/>
      <c r="ALU110" s="1"/>
      <c r="ALV110" s="1"/>
      <c r="ALW110" s="1"/>
      <c r="ALX110" s="1"/>
      <c r="ALY110" s="1"/>
      <c r="ALZ110" s="1"/>
      <c r="AMA110" s="1"/>
      <c r="AMB110" s="1"/>
      <c r="AMC110" s="1"/>
      <c r="AMD110" s="1"/>
      <c r="AME110" s="1"/>
      <c r="AMF110" s="1"/>
      <c r="AMG110" s="1"/>
      <c r="AMH110" s="1"/>
      <c r="AMI110" s="1"/>
      <c r="AMJ110" s="1"/>
    </row>
    <row r="111" customFormat="false" ht="10.5" hidden="false" customHeight="true" outlineLevel="0" collapsed="false">
      <c r="A111" s="97" t="n">
        <v>11</v>
      </c>
      <c r="B111" s="138"/>
      <c r="C111" s="138"/>
      <c r="D111" s="138"/>
      <c r="E111" s="138"/>
      <c r="F111" s="138"/>
      <c r="G111" s="138"/>
      <c r="H111" s="138"/>
      <c r="I111" s="138"/>
      <c r="J111" s="19"/>
      <c r="K111" s="19"/>
      <c r="L111" s="19"/>
      <c r="M111" s="19"/>
      <c r="N111" s="19"/>
      <c r="O111" s="19"/>
      <c r="P111" s="19"/>
      <c r="Q111" s="19"/>
      <c r="R111" s="19"/>
      <c r="S111" s="19"/>
      <c r="T111" s="19"/>
      <c r="U111" s="19"/>
      <c r="V111" s="19"/>
      <c r="W111" s="139" t="n">
        <f aca="false">J111*S111</f>
        <v>0</v>
      </c>
      <c r="X111" s="139"/>
      <c r="Y111" s="139"/>
      <c r="Z111" s="139"/>
      <c r="AA111" s="139" t="n">
        <f aca="false">J111*P111</f>
        <v>0</v>
      </c>
      <c r="AB111" s="139"/>
      <c r="AC111" s="139"/>
      <c r="AD111" s="139"/>
      <c r="AE111" s="139" t="n">
        <f aca="false">M111*P111</f>
        <v>0</v>
      </c>
      <c r="AF111" s="139"/>
      <c r="AG111" s="139"/>
      <c r="AH111" s="140" t="n">
        <f aca="false">W111-AA111</f>
        <v>0</v>
      </c>
      <c r="AI111" s="140"/>
      <c r="AJ111" s="140"/>
      <c r="AK111" s="140"/>
      <c r="AL111" s="141" t="str">
        <f aca="false">IFERROR(AH111/$AH$114,"$-")</f>
        <v>$-</v>
      </c>
      <c r="AM111" s="141"/>
      <c r="AN111" s="141"/>
      <c r="AO111" s="14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c r="DZ111" s="1"/>
      <c r="EA111" s="1"/>
      <c r="EB111" s="1"/>
      <c r="EC111" s="1"/>
      <c r="ED111" s="1"/>
      <c r="EE111" s="1"/>
      <c r="EF111" s="1"/>
      <c r="EG111" s="1"/>
      <c r="EH111" s="1"/>
      <c r="EI111" s="1"/>
      <c r="EJ111" s="1"/>
      <c r="EK111" s="1"/>
      <c r="EL111" s="1"/>
      <c r="EM111" s="1"/>
      <c r="EN111" s="1"/>
      <c r="EO111" s="1"/>
      <c r="EP111" s="1"/>
      <c r="EQ111" s="1"/>
      <c r="ER111" s="1"/>
      <c r="ES111" s="1"/>
      <c r="ET111" s="1"/>
      <c r="EU111" s="1"/>
      <c r="EV111" s="1"/>
      <c r="EW111" s="1"/>
      <c r="EX111" s="1"/>
      <c r="EY111" s="1"/>
      <c r="EZ111" s="1"/>
      <c r="FA111" s="1"/>
      <c r="FB111" s="1"/>
      <c r="FC111" s="1"/>
      <c r="FD111" s="1"/>
      <c r="FE111" s="1"/>
      <c r="FF111" s="1"/>
      <c r="FG111" s="1"/>
      <c r="FH111" s="1"/>
      <c r="FI111" s="1"/>
      <c r="FJ111" s="1"/>
      <c r="FK111" s="1"/>
      <c r="FL111" s="1"/>
      <c r="FM111" s="1"/>
      <c r="FN111" s="1"/>
      <c r="FO111" s="1"/>
      <c r="FP111" s="1"/>
      <c r="FQ111" s="1"/>
      <c r="FR111" s="1"/>
      <c r="FS111" s="1"/>
      <c r="FT111" s="1"/>
      <c r="FU111" s="1"/>
      <c r="FV111" s="1"/>
      <c r="FW111" s="1"/>
      <c r="FX111" s="1"/>
      <c r="FY111" s="1"/>
      <c r="FZ111" s="1"/>
      <c r="GA111" s="1"/>
      <c r="GB111" s="1"/>
      <c r="GC111" s="1"/>
      <c r="GD111" s="1"/>
      <c r="GE111" s="1"/>
      <c r="GF111" s="1"/>
      <c r="GG111" s="1"/>
      <c r="GH111" s="1"/>
      <c r="GI111" s="1"/>
      <c r="GJ111" s="1"/>
      <c r="GK111" s="1"/>
      <c r="GL111" s="1"/>
      <c r="GM111" s="1"/>
      <c r="GN111" s="1"/>
      <c r="GO111" s="1"/>
      <c r="GP111" s="1"/>
      <c r="GQ111" s="1"/>
      <c r="GR111" s="1"/>
      <c r="GS111" s="1"/>
      <c r="GT111" s="1"/>
      <c r="GU111" s="1"/>
      <c r="GV111" s="1"/>
      <c r="GW111" s="1"/>
      <c r="GX111" s="1"/>
      <c r="GY111" s="1"/>
      <c r="GZ111" s="1"/>
      <c r="HA111" s="1"/>
      <c r="HB111" s="1"/>
      <c r="HC111" s="1"/>
      <c r="HD111" s="1"/>
      <c r="HE111" s="1"/>
      <c r="HF111" s="1"/>
      <c r="HG111" s="1"/>
      <c r="HH111" s="1"/>
      <c r="HI111" s="1"/>
      <c r="HJ111" s="1"/>
      <c r="HK111" s="1"/>
      <c r="HL111" s="1"/>
      <c r="HM111" s="1"/>
      <c r="HN111" s="1"/>
      <c r="HO111" s="1"/>
      <c r="HP111" s="1"/>
      <c r="HQ111" s="1"/>
      <c r="HR111" s="1"/>
      <c r="HS111" s="1"/>
      <c r="HT111" s="1"/>
      <c r="HU111" s="1"/>
      <c r="HV111" s="1"/>
      <c r="HW111" s="1"/>
      <c r="HX111" s="1"/>
      <c r="HY111" s="1"/>
      <c r="HZ111" s="1"/>
      <c r="IA111" s="1"/>
      <c r="IB111" s="1"/>
      <c r="IC111" s="1"/>
      <c r="ID111" s="1"/>
      <c r="IE111" s="1"/>
      <c r="IF111" s="1"/>
      <c r="IG111" s="1"/>
      <c r="IH111" s="1"/>
      <c r="II111" s="1"/>
      <c r="IJ111" s="1"/>
      <c r="IK111" s="1"/>
      <c r="IL111" s="1"/>
      <c r="IM111" s="1"/>
      <c r="IN111" s="1"/>
      <c r="IO111" s="1"/>
      <c r="IP111" s="1"/>
      <c r="IQ111" s="1"/>
      <c r="IR111" s="1"/>
      <c r="IS111" s="1"/>
      <c r="IT111" s="1"/>
      <c r="IU111" s="1"/>
      <c r="IV111" s="1"/>
      <c r="IW111" s="1"/>
      <c r="IX111" s="1"/>
      <c r="IY111" s="1"/>
      <c r="IZ111" s="1"/>
      <c r="JA111" s="1"/>
      <c r="JB111" s="1"/>
      <c r="JC111" s="1"/>
      <c r="JD111" s="1"/>
      <c r="JE111" s="1"/>
      <c r="JF111" s="1"/>
      <c r="JG111" s="1"/>
      <c r="JH111" s="1"/>
      <c r="JI111" s="1"/>
      <c r="JJ111" s="1"/>
      <c r="JK111" s="1"/>
      <c r="JL111" s="1"/>
      <c r="JM111" s="1"/>
      <c r="JN111" s="1"/>
      <c r="JO111" s="1"/>
      <c r="JP111" s="1"/>
      <c r="JQ111" s="1"/>
      <c r="JR111" s="1"/>
      <c r="JS111" s="1"/>
      <c r="JT111" s="1"/>
      <c r="JU111" s="1"/>
      <c r="JV111" s="1"/>
      <c r="JW111" s="1"/>
      <c r="JX111" s="1"/>
      <c r="JY111" s="1"/>
      <c r="JZ111" s="1"/>
      <c r="KA111" s="1"/>
      <c r="KB111" s="1"/>
      <c r="KC111" s="1"/>
      <c r="KD111" s="1"/>
      <c r="KE111" s="1"/>
      <c r="KF111" s="1"/>
      <c r="KG111" s="1"/>
      <c r="KH111" s="1"/>
      <c r="KI111" s="1"/>
      <c r="KJ111" s="1"/>
      <c r="KK111" s="1"/>
      <c r="KL111" s="1"/>
      <c r="KM111" s="1"/>
      <c r="KN111" s="1"/>
      <c r="KO111" s="1"/>
      <c r="KP111" s="1"/>
      <c r="KQ111" s="1"/>
      <c r="KR111" s="1"/>
      <c r="KS111" s="1"/>
      <c r="KT111" s="1"/>
      <c r="KU111" s="1"/>
      <c r="KV111" s="1"/>
      <c r="KW111" s="1"/>
      <c r="KX111" s="1"/>
      <c r="KY111" s="1"/>
      <c r="KZ111" s="1"/>
      <c r="LA111" s="1"/>
      <c r="LB111" s="1"/>
      <c r="LC111" s="1"/>
      <c r="LD111" s="1"/>
      <c r="LE111" s="1"/>
      <c r="LF111" s="1"/>
      <c r="LG111" s="1"/>
      <c r="LH111" s="1"/>
      <c r="LI111" s="1"/>
      <c r="LJ111" s="1"/>
      <c r="LK111" s="1"/>
      <c r="LL111" s="1"/>
      <c r="LM111" s="1"/>
      <c r="LN111" s="1"/>
      <c r="LO111" s="1"/>
      <c r="LP111" s="1"/>
      <c r="LQ111" s="1"/>
      <c r="LR111" s="1"/>
      <c r="LS111" s="1"/>
      <c r="LT111" s="1"/>
      <c r="LU111" s="1"/>
      <c r="LV111" s="1"/>
      <c r="LW111" s="1"/>
      <c r="LX111" s="1"/>
      <c r="LY111" s="1"/>
      <c r="LZ111" s="1"/>
      <c r="MA111" s="1"/>
      <c r="MB111" s="1"/>
      <c r="MC111" s="1"/>
      <c r="MD111" s="1"/>
      <c r="ME111" s="1"/>
      <c r="MF111" s="1"/>
      <c r="MG111" s="1"/>
      <c r="MH111" s="1"/>
      <c r="MI111" s="1"/>
      <c r="MJ111" s="1"/>
      <c r="MK111" s="1"/>
      <c r="ML111" s="1"/>
      <c r="MM111" s="1"/>
      <c r="MN111" s="1"/>
      <c r="MO111" s="1"/>
      <c r="MP111" s="1"/>
      <c r="MQ111" s="1"/>
      <c r="MR111" s="1"/>
      <c r="MS111" s="1"/>
      <c r="MT111" s="1"/>
      <c r="MU111" s="1"/>
      <c r="MV111" s="1"/>
      <c r="MW111" s="1"/>
      <c r="MX111" s="1"/>
      <c r="MY111" s="1"/>
      <c r="MZ111" s="1"/>
      <c r="NA111" s="1"/>
      <c r="NB111" s="1"/>
      <c r="NC111" s="1"/>
      <c r="ND111" s="1"/>
      <c r="NE111" s="1"/>
      <c r="NF111" s="1"/>
      <c r="NG111" s="1"/>
      <c r="NH111" s="1"/>
      <c r="NI111" s="1"/>
      <c r="NJ111" s="1"/>
      <c r="NK111" s="1"/>
      <c r="NL111" s="1"/>
      <c r="NM111" s="1"/>
      <c r="NN111" s="1"/>
      <c r="NO111" s="1"/>
      <c r="NP111" s="1"/>
      <c r="NQ111" s="1"/>
      <c r="NR111" s="1"/>
      <c r="NS111" s="1"/>
      <c r="NT111" s="1"/>
      <c r="NU111" s="1"/>
      <c r="NV111" s="1"/>
      <c r="NW111" s="1"/>
      <c r="NX111" s="1"/>
      <c r="NY111" s="1"/>
      <c r="NZ111" s="1"/>
      <c r="OA111" s="1"/>
      <c r="OB111" s="1"/>
      <c r="OC111" s="1"/>
      <c r="OD111" s="1"/>
      <c r="OE111" s="1"/>
      <c r="OF111" s="1"/>
      <c r="OG111" s="1"/>
      <c r="OH111" s="1"/>
      <c r="OI111" s="1"/>
      <c r="OJ111" s="1"/>
      <c r="OK111" s="1"/>
      <c r="OL111" s="1"/>
      <c r="OM111" s="1"/>
      <c r="ON111" s="1"/>
      <c r="OO111" s="1"/>
      <c r="OP111" s="1"/>
      <c r="OQ111" s="1"/>
      <c r="OR111" s="1"/>
      <c r="OS111" s="1"/>
      <c r="OT111" s="1"/>
      <c r="OU111" s="1"/>
      <c r="OV111" s="1"/>
      <c r="OW111" s="1"/>
      <c r="OX111" s="1"/>
      <c r="OY111" s="1"/>
      <c r="OZ111" s="1"/>
      <c r="PA111" s="1"/>
      <c r="PB111" s="1"/>
      <c r="PC111" s="1"/>
      <c r="PD111" s="1"/>
      <c r="PE111" s="1"/>
      <c r="PF111" s="1"/>
      <c r="PG111" s="1"/>
      <c r="PH111" s="1"/>
      <c r="PI111" s="1"/>
      <c r="PJ111" s="1"/>
      <c r="PK111" s="1"/>
      <c r="PL111" s="1"/>
      <c r="PM111" s="1"/>
      <c r="PN111" s="1"/>
      <c r="PO111" s="1"/>
      <c r="PP111" s="1"/>
      <c r="PQ111" s="1"/>
      <c r="PR111" s="1"/>
      <c r="PS111" s="1"/>
      <c r="PT111" s="1"/>
      <c r="PU111" s="1"/>
      <c r="PV111" s="1"/>
      <c r="PW111" s="1"/>
      <c r="PX111" s="1"/>
      <c r="PY111" s="1"/>
      <c r="PZ111" s="1"/>
      <c r="QA111" s="1"/>
      <c r="QB111" s="1"/>
      <c r="QC111" s="1"/>
      <c r="QD111" s="1"/>
      <c r="QE111" s="1"/>
      <c r="QF111" s="1"/>
      <c r="QG111" s="1"/>
      <c r="QH111" s="1"/>
      <c r="QI111" s="1"/>
      <c r="QJ111" s="1"/>
      <c r="QK111" s="1"/>
      <c r="QL111" s="1"/>
      <c r="QM111" s="1"/>
      <c r="QN111" s="1"/>
      <c r="QO111" s="1"/>
      <c r="QP111" s="1"/>
      <c r="QQ111" s="1"/>
      <c r="QR111" s="1"/>
      <c r="QS111" s="1"/>
      <c r="QT111" s="1"/>
      <c r="QU111" s="1"/>
      <c r="QV111" s="1"/>
      <c r="QW111" s="1"/>
      <c r="QX111" s="1"/>
      <c r="QY111" s="1"/>
      <c r="QZ111" s="1"/>
      <c r="RA111" s="1"/>
      <c r="RB111" s="1"/>
      <c r="RC111" s="1"/>
      <c r="RD111" s="1"/>
      <c r="RE111" s="1"/>
      <c r="RF111" s="1"/>
      <c r="RG111" s="1"/>
      <c r="RH111" s="1"/>
      <c r="RI111" s="1"/>
      <c r="RJ111" s="1"/>
      <c r="RK111" s="1"/>
      <c r="RL111" s="1"/>
      <c r="RM111" s="1"/>
      <c r="RN111" s="1"/>
      <c r="RO111" s="1"/>
      <c r="RP111" s="1"/>
      <c r="RQ111" s="1"/>
      <c r="RR111" s="1"/>
      <c r="RS111" s="1"/>
      <c r="RT111" s="1"/>
      <c r="RU111" s="1"/>
      <c r="RV111" s="1"/>
      <c r="RW111" s="1"/>
      <c r="RX111" s="1"/>
      <c r="RY111" s="1"/>
      <c r="RZ111" s="1"/>
      <c r="SA111" s="1"/>
      <c r="SB111" s="1"/>
      <c r="SC111" s="1"/>
      <c r="SD111" s="1"/>
      <c r="SE111" s="1"/>
      <c r="SF111" s="1"/>
      <c r="SG111" s="1"/>
      <c r="SH111" s="1"/>
      <c r="SI111" s="1"/>
      <c r="SJ111" s="1"/>
      <c r="SK111" s="1"/>
      <c r="SL111" s="1"/>
      <c r="SM111" s="1"/>
      <c r="SN111" s="1"/>
      <c r="SO111" s="1"/>
      <c r="SP111" s="1"/>
      <c r="SQ111" s="1"/>
      <c r="SR111" s="1"/>
      <c r="SS111" s="1"/>
      <c r="ST111" s="1"/>
      <c r="SU111" s="1"/>
      <c r="SV111" s="1"/>
      <c r="SW111" s="1"/>
      <c r="SX111" s="1"/>
      <c r="SY111" s="1"/>
      <c r="SZ111" s="1"/>
      <c r="TA111" s="1"/>
      <c r="TB111" s="1"/>
      <c r="TC111" s="1"/>
      <c r="TD111" s="1"/>
      <c r="TE111" s="1"/>
      <c r="TF111" s="1"/>
      <c r="TG111" s="1"/>
      <c r="TH111" s="1"/>
      <c r="TI111" s="1"/>
      <c r="TJ111" s="1"/>
      <c r="TK111" s="1"/>
      <c r="TL111" s="1"/>
      <c r="TM111" s="1"/>
      <c r="TN111" s="1"/>
      <c r="TO111" s="1"/>
      <c r="TP111" s="1"/>
      <c r="TQ111" s="1"/>
      <c r="TR111" s="1"/>
      <c r="TS111" s="1"/>
      <c r="TT111" s="1"/>
      <c r="TU111" s="1"/>
      <c r="TV111" s="1"/>
      <c r="TW111" s="1"/>
      <c r="TX111" s="1"/>
      <c r="TY111" s="1"/>
      <c r="TZ111" s="1"/>
      <c r="UA111" s="1"/>
      <c r="UB111" s="1"/>
      <c r="UC111" s="1"/>
      <c r="UD111" s="1"/>
      <c r="UE111" s="1"/>
      <c r="UF111" s="1"/>
      <c r="UG111" s="1"/>
      <c r="UH111" s="1"/>
      <c r="UI111" s="1"/>
      <c r="UJ111" s="1"/>
      <c r="UK111" s="1"/>
      <c r="UL111" s="1"/>
      <c r="UM111" s="1"/>
      <c r="UN111" s="1"/>
      <c r="UO111" s="1"/>
      <c r="UP111" s="1"/>
      <c r="UQ111" s="1"/>
      <c r="UR111" s="1"/>
      <c r="US111" s="1"/>
      <c r="UT111" s="1"/>
      <c r="UU111" s="1"/>
      <c r="UV111" s="1"/>
      <c r="UW111" s="1"/>
      <c r="UX111" s="1"/>
      <c r="UY111" s="1"/>
      <c r="UZ111" s="1"/>
      <c r="VA111" s="1"/>
      <c r="VB111" s="1"/>
      <c r="VC111" s="1"/>
      <c r="VD111" s="1"/>
      <c r="VE111" s="1"/>
      <c r="VF111" s="1"/>
      <c r="VG111" s="1"/>
      <c r="VH111" s="1"/>
      <c r="VI111" s="1"/>
      <c r="VJ111" s="1"/>
      <c r="VK111" s="1"/>
      <c r="VL111" s="1"/>
      <c r="VM111" s="1"/>
      <c r="VN111" s="1"/>
      <c r="VO111" s="1"/>
      <c r="VP111" s="1"/>
      <c r="VQ111" s="1"/>
      <c r="VR111" s="1"/>
      <c r="VS111" s="1"/>
      <c r="VT111" s="1"/>
      <c r="VU111" s="1"/>
      <c r="VV111" s="1"/>
      <c r="VW111" s="1"/>
      <c r="VX111" s="1"/>
      <c r="VY111" s="1"/>
      <c r="VZ111" s="1"/>
      <c r="WA111" s="1"/>
      <c r="WB111" s="1"/>
      <c r="WC111" s="1"/>
      <c r="WD111" s="1"/>
      <c r="WE111" s="1"/>
      <c r="WF111" s="1"/>
      <c r="WG111" s="1"/>
      <c r="WH111" s="1"/>
      <c r="WI111" s="1"/>
      <c r="WJ111" s="1"/>
      <c r="WK111" s="1"/>
      <c r="WL111" s="1"/>
      <c r="WM111" s="1"/>
      <c r="WN111" s="1"/>
      <c r="WO111" s="1"/>
      <c r="WP111" s="1"/>
      <c r="WQ111" s="1"/>
      <c r="WR111" s="1"/>
      <c r="WS111" s="1"/>
      <c r="WT111" s="1"/>
      <c r="WU111" s="1"/>
      <c r="WV111" s="1"/>
      <c r="WW111" s="1"/>
      <c r="WX111" s="1"/>
      <c r="WY111" s="1"/>
      <c r="WZ111" s="1"/>
      <c r="XA111" s="1"/>
      <c r="XB111" s="1"/>
      <c r="XC111" s="1"/>
      <c r="XD111" s="1"/>
      <c r="XE111" s="1"/>
      <c r="XF111" s="1"/>
      <c r="XG111" s="1"/>
      <c r="XH111" s="1"/>
      <c r="XI111" s="1"/>
      <c r="XJ111" s="1"/>
      <c r="XK111" s="1"/>
      <c r="XL111" s="1"/>
      <c r="XM111" s="1"/>
      <c r="XN111" s="1"/>
      <c r="XO111" s="1"/>
      <c r="XP111" s="1"/>
      <c r="XQ111" s="1"/>
      <c r="XR111" s="1"/>
      <c r="XS111" s="1"/>
      <c r="XT111" s="1"/>
      <c r="XU111" s="1"/>
      <c r="XV111" s="1"/>
      <c r="XW111" s="1"/>
      <c r="XX111" s="1"/>
      <c r="XY111" s="1"/>
      <c r="XZ111" s="1"/>
      <c r="YA111" s="1"/>
      <c r="YB111" s="1"/>
      <c r="YC111" s="1"/>
      <c r="YD111" s="1"/>
      <c r="YE111" s="1"/>
      <c r="YF111" s="1"/>
      <c r="YG111" s="1"/>
      <c r="YH111" s="1"/>
      <c r="YI111" s="1"/>
      <c r="YJ111" s="1"/>
      <c r="YK111" s="1"/>
      <c r="YL111" s="1"/>
      <c r="YM111" s="1"/>
      <c r="YN111" s="1"/>
      <c r="YO111" s="1"/>
      <c r="YP111" s="1"/>
      <c r="YQ111" s="1"/>
      <c r="YR111" s="1"/>
      <c r="YS111" s="1"/>
      <c r="YT111" s="1"/>
      <c r="YU111" s="1"/>
      <c r="YV111" s="1"/>
      <c r="YW111" s="1"/>
      <c r="YX111" s="1"/>
      <c r="YY111" s="1"/>
      <c r="YZ111" s="1"/>
      <c r="ZA111" s="1"/>
      <c r="ZB111" s="1"/>
      <c r="ZC111" s="1"/>
      <c r="ZD111" s="1"/>
      <c r="ZE111" s="1"/>
      <c r="ZF111" s="1"/>
      <c r="ZG111" s="1"/>
      <c r="ZH111" s="1"/>
      <c r="ZI111" s="1"/>
      <c r="ZJ111" s="1"/>
      <c r="ZK111" s="1"/>
      <c r="ZL111" s="1"/>
      <c r="ZM111" s="1"/>
      <c r="ZN111" s="1"/>
      <c r="ZO111" s="1"/>
      <c r="ZP111" s="1"/>
      <c r="ZQ111" s="1"/>
      <c r="ZR111" s="1"/>
      <c r="ZS111" s="1"/>
      <c r="ZT111" s="1"/>
      <c r="ZU111" s="1"/>
      <c r="ZV111" s="1"/>
      <c r="ZW111" s="1"/>
      <c r="ZX111" s="1"/>
      <c r="ZY111" s="1"/>
      <c r="ZZ111" s="1"/>
      <c r="AAA111" s="1"/>
      <c r="AAB111" s="1"/>
      <c r="AAC111" s="1"/>
      <c r="AAD111" s="1"/>
      <c r="AAE111" s="1"/>
      <c r="AAF111" s="1"/>
      <c r="AAG111" s="1"/>
      <c r="AAH111" s="1"/>
      <c r="AAI111" s="1"/>
      <c r="AAJ111" s="1"/>
      <c r="AAK111" s="1"/>
      <c r="AAL111" s="1"/>
      <c r="AAM111" s="1"/>
      <c r="AAN111" s="1"/>
      <c r="AAO111" s="1"/>
      <c r="AAP111" s="1"/>
      <c r="AAQ111" s="1"/>
      <c r="AAR111" s="1"/>
      <c r="AAS111" s="1"/>
      <c r="AAT111" s="1"/>
      <c r="AAU111" s="1"/>
      <c r="AAV111" s="1"/>
      <c r="AAW111" s="1"/>
      <c r="AAX111" s="1"/>
      <c r="AAY111" s="1"/>
      <c r="AAZ111" s="1"/>
      <c r="ABA111" s="1"/>
      <c r="ABB111" s="1"/>
      <c r="ABC111" s="1"/>
      <c r="ABD111" s="1"/>
      <c r="ABE111" s="1"/>
      <c r="ABF111" s="1"/>
      <c r="ABG111" s="1"/>
      <c r="ABH111" s="1"/>
      <c r="ABI111" s="1"/>
      <c r="ABJ111" s="1"/>
      <c r="ABK111" s="1"/>
      <c r="ABL111" s="1"/>
      <c r="ABM111" s="1"/>
      <c r="ABN111" s="1"/>
      <c r="ABO111" s="1"/>
      <c r="ABP111" s="1"/>
      <c r="ABQ111" s="1"/>
      <c r="ABR111" s="1"/>
      <c r="ABS111" s="1"/>
      <c r="ABT111" s="1"/>
      <c r="ABU111" s="1"/>
      <c r="ABV111" s="1"/>
      <c r="ABW111" s="1"/>
      <c r="ABX111" s="1"/>
      <c r="ABY111" s="1"/>
      <c r="ABZ111" s="1"/>
      <c r="ACA111" s="1"/>
      <c r="ACB111" s="1"/>
      <c r="ACC111" s="1"/>
      <c r="ACD111" s="1"/>
      <c r="ACE111" s="1"/>
      <c r="ACF111" s="1"/>
      <c r="ACG111" s="1"/>
      <c r="ACH111" s="1"/>
      <c r="ACI111" s="1"/>
      <c r="ACJ111" s="1"/>
      <c r="ACK111" s="1"/>
      <c r="ACL111" s="1"/>
      <c r="ACM111" s="1"/>
      <c r="ACN111" s="1"/>
      <c r="ACO111" s="1"/>
      <c r="ACP111" s="1"/>
      <c r="ACQ111" s="1"/>
      <c r="ACR111" s="1"/>
      <c r="ACS111" s="1"/>
      <c r="ACT111" s="1"/>
      <c r="ACU111" s="1"/>
      <c r="ACV111" s="1"/>
      <c r="ACW111" s="1"/>
      <c r="ACX111" s="1"/>
      <c r="ACY111" s="1"/>
      <c r="ACZ111" s="1"/>
      <c r="ADA111" s="1"/>
      <c r="ADB111" s="1"/>
      <c r="ADC111" s="1"/>
      <c r="ADD111" s="1"/>
      <c r="ADE111" s="1"/>
      <c r="ADF111" s="1"/>
      <c r="ADG111" s="1"/>
      <c r="ADH111" s="1"/>
      <c r="ADI111" s="1"/>
      <c r="ADJ111" s="1"/>
      <c r="ADK111" s="1"/>
      <c r="ADL111" s="1"/>
      <c r="ADM111" s="1"/>
      <c r="ADN111" s="1"/>
      <c r="ADO111" s="1"/>
      <c r="ADP111" s="1"/>
      <c r="ADQ111" s="1"/>
      <c r="ADR111" s="1"/>
      <c r="ADS111" s="1"/>
      <c r="ADT111" s="1"/>
      <c r="ADU111" s="1"/>
      <c r="ADV111" s="1"/>
      <c r="ADW111" s="1"/>
      <c r="ADX111" s="1"/>
      <c r="ADY111" s="1"/>
      <c r="ADZ111" s="1"/>
      <c r="AEA111" s="1"/>
      <c r="AEB111" s="1"/>
      <c r="AEC111" s="1"/>
      <c r="AED111" s="1"/>
      <c r="AEE111" s="1"/>
      <c r="AEF111" s="1"/>
      <c r="AEG111" s="1"/>
      <c r="AEH111" s="1"/>
      <c r="AEI111" s="1"/>
      <c r="AEJ111" s="1"/>
      <c r="AEK111" s="1"/>
      <c r="AEL111" s="1"/>
      <c r="AEM111" s="1"/>
      <c r="AEN111" s="1"/>
      <c r="AEO111" s="1"/>
      <c r="AEP111" s="1"/>
      <c r="AEQ111" s="1"/>
      <c r="AER111" s="1"/>
      <c r="AES111" s="1"/>
      <c r="AET111" s="1"/>
      <c r="AEU111" s="1"/>
      <c r="AEV111" s="1"/>
      <c r="AEW111" s="1"/>
      <c r="AEX111" s="1"/>
      <c r="AEY111" s="1"/>
      <c r="AEZ111" s="1"/>
      <c r="AFA111" s="1"/>
      <c r="AFB111" s="1"/>
      <c r="AFC111" s="1"/>
      <c r="AFD111" s="1"/>
      <c r="AFE111" s="1"/>
      <c r="AFF111" s="1"/>
      <c r="AFG111" s="1"/>
      <c r="AFH111" s="1"/>
      <c r="AFI111" s="1"/>
      <c r="AFJ111" s="1"/>
      <c r="AFK111" s="1"/>
      <c r="AFL111" s="1"/>
      <c r="AFM111" s="1"/>
      <c r="AFN111" s="1"/>
      <c r="AFO111" s="1"/>
      <c r="AFP111" s="1"/>
      <c r="AFQ111" s="1"/>
      <c r="AFR111" s="1"/>
      <c r="AFS111" s="1"/>
      <c r="AFT111" s="1"/>
      <c r="AFU111" s="1"/>
      <c r="AFV111" s="1"/>
      <c r="AFW111" s="1"/>
      <c r="AFX111" s="1"/>
      <c r="AFY111" s="1"/>
      <c r="AFZ111" s="1"/>
      <c r="AGA111" s="1"/>
      <c r="AGB111" s="1"/>
      <c r="AGC111" s="1"/>
      <c r="AGD111" s="1"/>
      <c r="AGE111" s="1"/>
      <c r="AGF111" s="1"/>
      <c r="AGG111" s="1"/>
      <c r="AGH111" s="1"/>
      <c r="AGI111" s="1"/>
      <c r="AGJ111" s="1"/>
      <c r="AGK111" s="1"/>
      <c r="AGL111" s="1"/>
      <c r="AGM111" s="1"/>
      <c r="AGN111" s="1"/>
      <c r="AGO111" s="1"/>
      <c r="AGP111" s="1"/>
      <c r="AGQ111" s="1"/>
      <c r="AGR111" s="1"/>
      <c r="AGS111" s="1"/>
      <c r="AGT111" s="1"/>
      <c r="AGU111" s="1"/>
      <c r="AGV111" s="1"/>
      <c r="AGW111" s="1"/>
      <c r="AGX111" s="1"/>
      <c r="AGY111" s="1"/>
      <c r="AGZ111" s="1"/>
      <c r="AHA111" s="1"/>
      <c r="AHB111" s="1"/>
      <c r="AHC111" s="1"/>
      <c r="AHD111" s="1"/>
      <c r="AHE111" s="1"/>
      <c r="AHF111" s="1"/>
      <c r="AHG111" s="1"/>
      <c r="AHH111" s="1"/>
      <c r="AHI111" s="1"/>
      <c r="AHJ111" s="1"/>
      <c r="AHK111" s="1"/>
      <c r="AHL111" s="1"/>
      <c r="AHM111" s="1"/>
      <c r="AHN111" s="1"/>
      <c r="AHO111" s="1"/>
      <c r="AHP111" s="1"/>
      <c r="AHQ111" s="1"/>
      <c r="AHR111" s="1"/>
      <c r="AHS111" s="1"/>
      <c r="AHT111" s="1"/>
      <c r="AHU111" s="1"/>
      <c r="AHV111" s="1"/>
      <c r="AHW111" s="1"/>
      <c r="AHX111" s="1"/>
      <c r="AHY111" s="1"/>
      <c r="AHZ111" s="1"/>
      <c r="AIA111" s="1"/>
      <c r="AIB111" s="1"/>
      <c r="AIC111" s="1"/>
      <c r="AID111" s="1"/>
      <c r="AIE111" s="1"/>
      <c r="AIF111" s="1"/>
      <c r="AIG111" s="1"/>
      <c r="AIH111" s="1"/>
      <c r="AII111" s="1"/>
      <c r="AIJ111" s="1"/>
      <c r="AIK111" s="1"/>
      <c r="AIL111" s="1"/>
      <c r="AIM111" s="1"/>
      <c r="AIN111" s="1"/>
      <c r="AIO111" s="1"/>
      <c r="AIP111" s="1"/>
      <c r="AIQ111" s="1"/>
      <c r="AIR111" s="1"/>
      <c r="AIS111" s="1"/>
      <c r="AIT111" s="1"/>
      <c r="AIU111" s="1"/>
      <c r="AIV111" s="1"/>
      <c r="AIW111" s="1"/>
      <c r="AIX111" s="1"/>
      <c r="AIY111" s="1"/>
      <c r="AIZ111" s="1"/>
      <c r="AJA111" s="1"/>
      <c r="AJB111" s="1"/>
      <c r="AJC111" s="1"/>
      <c r="AJD111" s="1"/>
      <c r="AJE111" s="1"/>
      <c r="AJF111" s="1"/>
      <c r="AJG111" s="1"/>
      <c r="AJH111" s="1"/>
      <c r="AJI111" s="1"/>
      <c r="AJJ111" s="1"/>
      <c r="AJK111" s="1"/>
      <c r="AJL111" s="1"/>
      <c r="AJM111" s="1"/>
      <c r="AJN111" s="1"/>
      <c r="AJO111" s="1"/>
      <c r="AJP111" s="1"/>
      <c r="AJQ111" s="1"/>
      <c r="AJR111" s="1"/>
      <c r="AJS111" s="1"/>
      <c r="AJT111" s="1"/>
      <c r="AJU111" s="1"/>
      <c r="AJV111" s="1"/>
      <c r="AJW111" s="1"/>
      <c r="AJX111" s="1"/>
      <c r="AJY111" s="1"/>
      <c r="AJZ111" s="1"/>
      <c r="AKA111" s="1"/>
      <c r="AKB111" s="1"/>
      <c r="AKC111" s="1"/>
      <c r="AKD111" s="1"/>
      <c r="AKE111" s="1"/>
      <c r="AKF111" s="1"/>
      <c r="AKG111" s="1"/>
      <c r="AKH111" s="1"/>
      <c r="AKI111" s="1"/>
      <c r="AKJ111" s="1"/>
      <c r="AKK111" s="1"/>
      <c r="AKL111" s="1"/>
      <c r="AKM111" s="1"/>
      <c r="AKN111" s="1"/>
      <c r="AKO111" s="1"/>
      <c r="AKP111" s="1"/>
      <c r="AKQ111" s="1"/>
      <c r="AKR111" s="1"/>
      <c r="AKS111" s="1"/>
      <c r="AKT111" s="1"/>
      <c r="AKU111" s="1"/>
      <c r="AKV111" s="1"/>
      <c r="AKW111" s="1"/>
      <c r="AKX111" s="1"/>
      <c r="AKY111" s="1"/>
      <c r="AKZ111" s="1"/>
      <c r="ALA111" s="1"/>
      <c r="ALB111" s="1"/>
      <c r="ALC111" s="1"/>
      <c r="ALD111" s="1"/>
      <c r="ALE111" s="1"/>
      <c r="ALF111" s="1"/>
      <c r="ALG111" s="1"/>
      <c r="ALH111" s="1"/>
      <c r="ALI111" s="1"/>
      <c r="ALJ111" s="1"/>
      <c r="ALK111" s="1"/>
      <c r="ALL111" s="1"/>
      <c r="ALM111" s="1"/>
      <c r="ALN111" s="1"/>
      <c r="ALO111" s="1"/>
      <c r="ALP111" s="1"/>
      <c r="ALQ111" s="1"/>
      <c r="ALR111" s="1"/>
      <c r="ALS111" s="1"/>
      <c r="ALT111" s="1"/>
      <c r="ALU111" s="1"/>
      <c r="ALV111" s="1"/>
      <c r="ALW111" s="1"/>
      <c r="ALX111" s="1"/>
      <c r="ALY111" s="1"/>
      <c r="ALZ111" s="1"/>
      <c r="AMA111" s="1"/>
      <c r="AMB111" s="1"/>
      <c r="AMC111" s="1"/>
      <c r="AMD111" s="1"/>
      <c r="AME111" s="1"/>
      <c r="AMF111" s="1"/>
      <c r="AMG111" s="1"/>
      <c r="AMH111" s="1"/>
      <c r="AMI111" s="1"/>
      <c r="AMJ111" s="1"/>
    </row>
    <row r="112" customFormat="false" ht="10.5" hidden="false" customHeight="true" outlineLevel="0" collapsed="false">
      <c r="A112" s="97" t="n">
        <v>12</v>
      </c>
      <c r="B112" s="138"/>
      <c r="C112" s="138"/>
      <c r="D112" s="138"/>
      <c r="E112" s="138"/>
      <c r="F112" s="138"/>
      <c r="G112" s="138"/>
      <c r="H112" s="138"/>
      <c r="I112" s="138"/>
      <c r="J112" s="19"/>
      <c r="K112" s="19"/>
      <c r="L112" s="19"/>
      <c r="M112" s="19"/>
      <c r="N112" s="19"/>
      <c r="O112" s="19"/>
      <c r="P112" s="19"/>
      <c r="Q112" s="19"/>
      <c r="R112" s="19"/>
      <c r="S112" s="19"/>
      <c r="T112" s="19"/>
      <c r="U112" s="19"/>
      <c r="V112" s="19"/>
      <c r="W112" s="139" t="n">
        <f aca="false">J112*S112</f>
        <v>0</v>
      </c>
      <c r="X112" s="139"/>
      <c r="Y112" s="139"/>
      <c r="Z112" s="139"/>
      <c r="AA112" s="139" t="n">
        <f aca="false">J112*P112</f>
        <v>0</v>
      </c>
      <c r="AB112" s="139"/>
      <c r="AC112" s="139"/>
      <c r="AD112" s="139"/>
      <c r="AE112" s="139" t="n">
        <f aca="false">M112*P112</f>
        <v>0</v>
      </c>
      <c r="AF112" s="139"/>
      <c r="AG112" s="139"/>
      <c r="AH112" s="140" t="n">
        <f aca="false">W112-AA112</f>
        <v>0</v>
      </c>
      <c r="AI112" s="140"/>
      <c r="AJ112" s="140"/>
      <c r="AK112" s="140"/>
      <c r="AL112" s="141" t="str">
        <f aca="false">IFERROR(AH112/$AH$114,"$-")</f>
        <v>$-</v>
      </c>
      <c r="AM112" s="141"/>
      <c r="AN112" s="141"/>
      <c r="AO112" s="14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c r="DZ112" s="1"/>
      <c r="EA112" s="1"/>
      <c r="EB112" s="1"/>
      <c r="EC112" s="1"/>
      <c r="ED112" s="1"/>
      <c r="EE112" s="1"/>
      <c r="EF112" s="1"/>
      <c r="EG112" s="1"/>
      <c r="EH112" s="1"/>
      <c r="EI112" s="1"/>
      <c r="EJ112" s="1"/>
      <c r="EK112" s="1"/>
      <c r="EL112" s="1"/>
      <c r="EM112" s="1"/>
      <c r="EN112" s="1"/>
      <c r="EO112" s="1"/>
      <c r="EP112" s="1"/>
      <c r="EQ112" s="1"/>
      <c r="ER112" s="1"/>
      <c r="ES112" s="1"/>
      <c r="ET112" s="1"/>
      <c r="EU112" s="1"/>
      <c r="EV112" s="1"/>
      <c r="EW112" s="1"/>
      <c r="EX112" s="1"/>
      <c r="EY112" s="1"/>
      <c r="EZ112" s="1"/>
      <c r="FA112" s="1"/>
      <c r="FB112" s="1"/>
      <c r="FC112" s="1"/>
      <c r="FD112" s="1"/>
      <c r="FE112" s="1"/>
      <c r="FF112" s="1"/>
      <c r="FG112" s="1"/>
      <c r="FH112" s="1"/>
      <c r="FI112" s="1"/>
      <c r="FJ112" s="1"/>
      <c r="FK112" s="1"/>
      <c r="FL112" s="1"/>
      <c r="FM112" s="1"/>
      <c r="FN112" s="1"/>
      <c r="FO112" s="1"/>
      <c r="FP112" s="1"/>
      <c r="FQ112" s="1"/>
      <c r="FR112" s="1"/>
      <c r="FS112" s="1"/>
      <c r="FT112" s="1"/>
      <c r="FU112" s="1"/>
      <c r="FV112" s="1"/>
      <c r="FW112" s="1"/>
      <c r="FX112" s="1"/>
      <c r="FY112" s="1"/>
      <c r="FZ112" s="1"/>
      <c r="GA112" s="1"/>
      <c r="GB112" s="1"/>
      <c r="GC112" s="1"/>
      <c r="GD112" s="1"/>
      <c r="GE112" s="1"/>
      <c r="GF112" s="1"/>
      <c r="GG112" s="1"/>
      <c r="GH112" s="1"/>
      <c r="GI112" s="1"/>
      <c r="GJ112" s="1"/>
      <c r="GK112" s="1"/>
      <c r="GL112" s="1"/>
      <c r="GM112" s="1"/>
      <c r="GN112" s="1"/>
      <c r="GO112" s="1"/>
      <c r="GP112" s="1"/>
      <c r="GQ112" s="1"/>
      <c r="GR112" s="1"/>
      <c r="GS112" s="1"/>
      <c r="GT112" s="1"/>
      <c r="GU112" s="1"/>
      <c r="GV112" s="1"/>
      <c r="GW112" s="1"/>
      <c r="GX112" s="1"/>
      <c r="GY112" s="1"/>
      <c r="GZ112" s="1"/>
      <c r="HA112" s="1"/>
      <c r="HB112" s="1"/>
      <c r="HC112" s="1"/>
      <c r="HD112" s="1"/>
      <c r="HE112" s="1"/>
      <c r="HF112" s="1"/>
      <c r="HG112" s="1"/>
      <c r="HH112" s="1"/>
      <c r="HI112" s="1"/>
      <c r="HJ112" s="1"/>
      <c r="HK112" s="1"/>
      <c r="HL112" s="1"/>
      <c r="HM112" s="1"/>
      <c r="HN112" s="1"/>
      <c r="HO112" s="1"/>
      <c r="HP112" s="1"/>
      <c r="HQ112" s="1"/>
      <c r="HR112" s="1"/>
      <c r="HS112" s="1"/>
      <c r="HT112" s="1"/>
      <c r="HU112" s="1"/>
      <c r="HV112" s="1"/>
      <c r="HW112" s="1"/>
      <c r="HX112" s="1"/>
      <c r="HY112" s="1"/>
      <c r="HZ112" s="1"/>
      <c r="IA112" s="1"/>
      <c r="IB112" s="1"/>
      <c r="IC112" s="1"/>
      <c r="ID112" s="1"/>
      <c r="IE112" s="1"/>
      <c r="IF112" s="1"/>
      <c r="IG112" s="1"/>
      <c r="IH112" s="1"/>
      <c r="II112" s="1"/>
      <c r="IJ112" s="1"/>
      <c r="IK112" s="1"/>
      <c r="IL112" s="1"/>
      <c r="IM112" s="1"/>
      <c r="IN112" s="1"/>
      <c r="IO112" s="1"/>
      <c r="IP112" s="1"/>
      <c r="IQ112" s="1"/>
      <c r="IR112" s="1"/>
      <c r="IS112" s="1"/>
      <c r="IT112" s="1"/>
      <c r="IU112" s="1"/>
      <c r="IV112" s="1"/>
      <c r="IW112" s="1"/>
      <c r="IX112" s="1"/>
      <c r="IY112" s="1"/>
      <c r="IZ112" s="1"/>
      <c r="JA112" s="1"/>
      <c r="JB112" s="1"/>
      <c r="JC112" s="1"/>
      <c r="JD112" s="1"/>
      <c r="JE112" s="1"/>
      <c r="JF112" s="1"/>
      <c r="JG112" s="1"/>
      <c r="JH112" s="1"/>
      <c r="JI112" s="1"/>
      <c r="JJ112" s="1"/>
      <c r="JK112" s="1"/>
      <c r="JL112" s="1"/>
      <c r="JM112" s="1"/>
      <c r="JN112" s="1"/>
      <c r="JO112" s="1"/>
      <c r="JP112" s="1"/>
      <c r="JQ112" s="1"/>
      <c r="JR112" s="1"/>
      <c r="JS112" s="1"/>
      <c r="JT112" s="1"/>
      <c r="JU112" s="1"/>
      <c r="JV112" s="1"/>
      <c r="JW112" s="1"/>
      <c r="JX112" s="1"/>
      <c r="JY112" s="1"/>
      <c r="JZ112" s="1"/>
      <c r="KA112" s="1"/>
      <c r="KB112" s="1"/>
      <c r="KC112" s="1"/>
      <c r="KD112" s="1"/>
      <c r="KE112" s="1"/>
      <c r="KF112" s="1"/>
      <c r="KG112" s="1"/>
      <c r="KH112" s="1"/>
      <c r="KI112" s="1"/>
      <c r="KJ112" s="1"/>
      <c r="KK112" s="1"/>
      <c r="KL112" s="1"/>
      <c r="KM112" s="1"/>
      <c r="KN112" s="1"/>
      <c r="KO112" s="1"/>
      <c r="KP112" s="1"/>
      <c r="KQ112" s="1"/>
      <c r="KR112" s="1"/>
      <c r="KS112" s="1"/>
      <c r="KT112" s="1"/>
      <c r="KU112" s="1"/>
      <c r="KV112" s="1"/>
      <c r="KW112" s="1"/>
      <c r="KX112" s="1"/>
      <c r="KY112" s="1"/>
      <c r="KZ112" s="1"/>
      <c r="LA112" s="1"/>
      <c r="LB112" s="1"/>
      <c r="LC112" s="1"/>
      <c r="LD112" s="1"/>
      <c r="LE112" s="1"/>
      <c r="LF112" s="1"/>
      <c r="LG112" s="1"/>
      <c r="LH112" s="1"/>
      <c r="LI112" s="1"/>
      <c r="LJ112" s="1"/>
      <c r="LK112" s="1"/>
      <c r="LL112" s="1"/>
      <c r="LM112" s="1"/>
      <c r="LN112" s="1"/>
      <c r="LO112" s="1"/>
      <c r="LP112" s="1"/>
      <c r="LQ112" s="1"/>
      <c r="LR112" s="1"/>
      <c r="LS112" s="1"/>
      <c r="LT112" s="1"/>
      <c r="LU112" s="1"/>
      <c r="LV112" s="1"/>
      <c r="LW112" s="1"/>
      <c r="LX112" s="1"/>
      <c r="LY112" s="1"/>
      <c r="LZ112" s="1"/>
      <c r="MA112" s="1"/>
      <c r="MB112" s="1"/>
      <c r="MC112" s="1"/>
      <c r="MD112" s="1"/>
      <c r="ME112" s="1"/>
      <c r="MF112" s="1"/>
      <c r="MG112" s="1"/>
      <c r="MH112" s="1"/>
      <c r="MI112" s="1"/>
      <c r="MJ112" s="1"/>
      <c r="MK112" s="1"/>
      <c r="ML112" s="1"/>
      <c r="MM112" s="1"/>
      <c r="MN112" s="1"/>
      <c r="MO112" s="1"/>
      <c r="MP112" s="1"/>
      <c r="MQ112" s="1"/>
      <c r="MR112" s="1"/>
      <c r="MS112" s="1"/>
      <c r="MT112" s="1"/>
      <c r="MU112" s="1"/>
      <c r="MV112" s="1"/>
      <c r="MW112" s="1"/>
      <c r="MX112" s="1"/>
      <c r="MY112" s="1"/>
      <c r="MZ112" s="1"/>
      <c r="NA112" s="1"/>
      <c r="NB112" s="1"/>
      <c r="NC112" s="1"/>
      <c r="ND112" s="1"/>
      <c r="NE112" s="1"/>
      <c r="NF112" s="1"/>
      <c r="NG112" s="1"/>
      <c r="NH112" s="1"/>
      <c r="NI112" s="1"/>
      <c r="NJ112" s="1"/>
      <c r="NK112" s="1"/>
      <c r="NL112" s="1"/>
      <c r="NM112" s="1"/>
      <c r="NN112" s="1"/>
      <c r="NO112" s="1"/>
      <c r="NP112" s="1"/>
      <c r="NQ112" s="1"/>
      <c r="NR112" s="1"/>
      <c r="NS112" s="1"/>
      <c r="NT112" s="1"/>
      <c r="NU112" s="1"/>
      <c r="NV112" s="1"/>
      <c r="NW112" s="1"/>
      <c r="NX112" s="1"/>
      <c r="NY112" s="1"/>
      <c r="NZ112" s="1"/>
      <c r="OA112" s="1"/>
      <c r="OB112" s="1"/>
      <c r="OC112" s="1"/>
      <c r="OD112" s="1"/>
      <c r="OE112" s="1"/>
      <c r="OF112" s="1"/>
      <c r="OG112" s="1"/>
      <c r="OH112" s="1"/>
      <c r="OI112" s="1"/>
      <c r="OJ112" s="1"/>
      <c r="OK112" s="1"/>
      <c r="OL112" s="1"/>
      <c r="OM112" s="1"/>
      <c r="ON112" s="1"/>
      <c r="OO112" s="1"/>
      <c r="OP112" s="1"/>
      <c r="OQ112" s="1"/>
      <c r="OR112" s="1"/>
      <c r="OS112" s="1"/>
      <c r="OT112" s="1"/>
      <c r="OU112" s="1"/>
      <c r="OV112" s="1"/>
      <c r="OW112" s="1"/>
      <c r="OX112" s="1"/>
      <c r="OY112" s="1"/>
      <c r="OZ112" s="1"/>
      <c r="PA112" s="1"/>
      <c r="PB112" s="1"/>
      <c r="PC112" s="1"/>
      <c r="PD112" s="1"/>
      <c r="PE112" s="1"/>
      <c r="PF112" s="1"/>
      <c r="PG112" s="1"/>
      <c r="PH112" s="1"/>
      <c r="PI112" s="1"/>
      <c r="PJ112" s="1"/>
      <c r="PK112" s="1"/>
      <c r="PL112" s="1"/>
      <c r="PM112" s="1"/>
      <c r="PN112" s="1"/>
      <c r="PO112" s="1"/>
      <c r="PP112" s="1"/>
      <c r="PQ112" s="1"/>
      <c r="PR112" s="1"/>
      <c r="PS112" s="1"/>
      <c r="PT112" s="1"/>
      <c r="PU112" s="1"/>
      <c r="PV112" s="1"/>
      <c r="PW112" s="1"/>
      <c r="PX112" s="1"/>
      <c r="PY112" s="1"/>
      <c r="PZ112" s="1"/>
      <c r="QA112" s="1"/>
      <c r="QB112" s="1"/>
      <c r="QC112" s="1"/>
      <c r="QD112" s="1"/>
      <c r="QE112" s="1"/>
      <c r="QF112" s="1"/>
      <c r="QG112" s="1"/>
      <c r="QH112" s="1"/>
      <c r="QI112" s="1"/>
      <c r="QJ112" s="1"/>
      <c r="QK112" s="1"/>
      <c r="QL112" s="1"/>
      <c r="QM112" s="1"/>
      <c r="QN112" s="1"/>
      <c r="QO112" s="1"/>
      <c r="QP112" s="1"/>
      <c r="QQ112" s="1"/>
      <c r="QR112" s="1"/>
      <c r="QS112" s="1"/>
      <c r="QT112" s="1"/>
      <c r="QU112" s="1"/>
      <c r="QV112" s="1"/>
      <c r="QW112" s="1"/>
      <c r="QX112" s="1"/>
      <c r="QY112" s="1"/>
      <c r="QZ112" s="1"/>
      <c r="RA112" s="1"/>
      <c r="RB112" s="1"/>
      <c r="RC112" s="1"/>
      <c r="RD112" s="1"/>
      <c r="RE112" s="1"/>
      <c r="RF112" s="1"/>
      <c r="RG112" s="1"/>
      <c r="RH112" s="1"/>
      <c r="RI112" s="1"/>
      <c r="RJ112" s="1"/>
      <c r="RK112" s="1"/>
      <c r="RL112" s="1"/>
      <c r="RM112" s="1"/>
      <c r="RN112" s="1"/>
      <c r="RO112" s="1"/>
      <c r="RP112" s="1"/>
      <c r="RQ112" s="1"/>
      <c r="RR112" s="1"/>
      <c r="RS112" s="1"/>
      <c r="RT112" s="1"/>
      <c r="RU112" s="1"/>
      <c r="RV112" s="1"/>
      <c r="RW112" s="1"/>
      <c r="RX112" s="1"/>
      <c r="RY112" s="1"/>
      <c r="RZ112" s="1"/>
      <c r="SA112" s="1"/>
      <c r="SB112" s="1"/>
      <c r="SC112" s="1"/>
      <c r="SD112" s="1"/>
      <c r="SE112" s="1"/>
      <c r="SF112" s="1"/>
      <c r="SG112" s="1"/>
      <c r="SH112" s="1"/>
      <c r="SI112" s="1"/>
      <c r="SJ112" s="1"/>
      <c r="SK112" s="1"/>
      <c r="SL112" s="1"/>
      <c r="SM112" s="1"/>
      <c r="SN112" s="1"/>
      <c r="SO112" s="1"/>
      <c r="SP112" s="1"/>
      <c r="SQ112" s="1"/>
      <c r="SR112" s="1"/>
      <c r="SS112" s="1"/>
      <c r="ST112" s="1"/>
      <c r="SU112" s="1"/>
      <c r="SV112" s="1"/>
      <c r="SW112" s="1"/>
      <c r="SX112" s="1"/>
      <c r="SY112" s="1"/>
      <c r="SZ112" s="1"/>
      <c r="TA112" s="1"/>
      <c r="TB112" s="1"/>
      <c r="TC112" s="1"/>
      <c r="TD112" s="1"/>
      <c r="TE112" s="1"/>
      <c r="TF112" s="1"/>
      <c r="TG112" s="1"/>
      <c r="TH112" s="1"/>
      <c r="TI112" s="1"/>
      <c r="TJ112" s="1"/>
      <c r="TK112" s="1"/>
      <c r="TL112" s="1"/>
      <c r="TM112" s="1"/>
      <c r="TN112" s="1"/>
      <c r="TO112" s="1"/>
      <c r="TP112" s="1"/>
      <c r="TQ112" s="1"/>
      <c r="TR112" s="1"/>
      <c r="TS112" s="1"/>
      <c r="TT112" s="1"/>
      <c r="TU112" s="1"/>
      <c r="TV112" s="1"/>
      <c r="TW112" s="1"/>
      <c r="TX112" s="1"/>
      <c r="TY112" s="1"/>
      <c r="TZ112" s="1"/>
      <c r="UA112" s="1"/>
      <c r="UB112" s="1"/>
      <c r="UC112" s="1"/>
      <c r="UD112" s="1"/>
      <c r="UE112" s="1"/>
      <c r="UF112" s="1"/>
      <c r="UG112" s="1"/>
      <c r="UH112" s="1"/>
      <c r="UI112" s="1"/>
      <c r="UJ112" s="1"/>
      <c r="UK112" s="1"/>
      <c r="UL112" s="1"/>
      <c r="UM112" s="1"/>
      <c r="UN112" s="1"/>
      <c r="UO112" s="1"/>
      <c r="UP112" s="1"/>
      <c r="UQ112" s="1"/>
      <c r="UR112" s="1"/>
      <c r="US112" s="1"/>
      <c r="UT112" s="1"/>
      <c r="UU112" s="1"/>
      <c r="UV112" s="1"/>
      <c r="UW112" s="1"/>
      <c r="UX112" s="1"/>
      <c r="UY112" s="1"/>
      <c r="UZ112" s="1"/>
      <c r="VA112" s="1"/>
      <c r="VB112" s="1"/>
      <c r="VC112" s="1"/>
      <c r="VD112" s="1"/>
      <c r="VE112" s="1"/>
      <c r="VF112" s="1"/>
      <c r="VG112" s="1"/>
      <c r="VH112" s="1"/>
      <c r="VI112" s="1"/>
      <c r="VJ112" s="1"/>
      <c r="VK112" s="1"/>
      <c r="VL112" s="1"/>
      <c r="VM112" s="1"/>
      <c r="VN112" s="1"/>
      <c r="VO112" s="1"/>
      <c r="VP112" s="1"/>
      <c r="VQ112" s="1"/>
      <c r="VR112" s="1"/>
      <c r="VS112" s="1"/>
      <c r="VT112" s="1"/>
      <c r="VU112" s="1"/>
      <c r="VV112" s="1"/>
      <c r="VW112" s="1"/>
      <c r="VX112" s="1"/>
      <c r="VY112" s="1"/>
      <c r="VZ112" s="1"/>
      <c r="WA112" s="1"/>
      <c r="WB112" s="1"/>
      <c r="WC112" s="1"/>
      <c r="WD112" s="1"/>
      <c r="WE112" s="1"/>
      <c r="WF112" s="1"/>
      <c r="WG112" s="1"/>
      <c r="WH112" s="1"/>
      <c r="WI112" s="1"/>
      <c r="WJ112" s="1"/>
      <c r="WK112" s="1"/>
      <c r="WL112" s="1"/>
      <c r="WM112" s="1"/>
      <c r="WN112" s="1"/>
      <c r="WO112" s="1"/>
      <c r="WP112" s="1"/>
      <c r="WQ112" s="1"/>
      <c r="WR112" s="1"/>
      <c r="WS112" s="1"/>
      <c r="WT112" s="1"/>
      <c r="WU112" s="1"/>
      <c r="WV112" s="1"/>
      <c r="WW112" s="1"/>
      <c r="WX112" s="1"/>
      <c r="WY112" s="1"/>
      <c r="WZ112" s="1"/>
      <c r="XA112" s="1"/>
      <c r="XB112" s="1"/>
      <c r="XC112" s="1"/>
      <c r="XD112" s="1"/>
      <c r="XE112" s="1"/>
      <c r="XF112" s="1"/>
      <c r="XG112" s="1"/>
      <c r="XH112" s="1"/>
      <c r="XI112" s="1"/>
      <c r="XJ112" s="1"/>
      <c r="XK112" s="1"/>
      <c r="XL112" s="1"/>
      <c r="XM112" s="1"/>
      <c r="XN112" s="1"/>
      <c r="XO112" s="1"/>
      <c r="XP112" s="1"/>
      <c r="XQ112" s="1"/>
      <c r="XR112" s="1"/>
      <c r="XS112" s="1"/>
      <c r="XT112" s="1"/>
      <c r="XU112" s="1"/>
      <c r="XV112" s="1"/>
      <c r="XW112" s="1"/>
      <c r="XX112" s="1"/>
      <c r="XY112" s="1"/>
      <c r="XZ112" s="1"/>
      <c r="YA112" s="1"/>
      <c r="YB112" s="1"/>
      <c r="YC112" s="1"/>
      <c r="YD112" s="1"/>
      <c r="YE112" s="1"/>
      <c r="YF112" s="1"/>
      <c r="YG112" s="1"/>
      <c r="YH112" s="1"/>
      <c r="YI112" s="1"/>
      <c r="YJ112" s="1"/>
      <c r="YK112" s="1"/>
      <c r="YL112" s="1"/>
      <c r="YM112" s="1"/>
      <c r="YN112" s="1"/>
      <c r="YO112" s="1"/>
      <c r="YP112" s="1"/>
      <c r="YQ112" s="1"/>
      <c r="YR112" s="1"/>
      <c r="YS112" s="1"/>
      <c r="YT112" s="1"/>
      <c r="YU112" s="1"/>
      <c r="YV112" s="1"/>
      <c r="YW112" s="1"/>
      <c r="YX112" s="1"/>
      <c r="YY112" s="1"/>
      <c r="YZ112" s="1"/>
      <c r="ZA112" s="1"/>
      <c r="ZB112" s="1"/>
      <c r="ZC112" s="1"/>
      <c r="ZD112" s="1"/>
      <c r="ZE112" s="1"/>
      <c r="ZF112" s="1"/>
      <c r="ZG112" s="1"/>
      <c r="ZH112" s="1"/>
      <c r="ZI112" s="1"/>
      <c r="ZJ112" s="1"/>
      <c r="ZK112" s="1"/>
      <c r="ZL112" s="1"/>
      <c r="ZM112" s="1"/>
      <c r="ZN112" s="1"/>
      <c r="ZO112" s="1"/>
      <c r="ZP112" s="1"/>
      <c r="ZQ112" s="1"/>
      <c r="ZR112" s="1"/>
      <c r="ZS112" s="1"/>
      <c r="ZT112" s="1"/>
      <c r="ZU112" s="1"/>
      <c r="ZV112" s="1"/>
      <c r="ZW112" s="1"/>
      <c r="ZX112" s="1"/>
      <c r="ZY112" s="1"/>
      <c r="ZZ112" s="1"/>
      <c r="AAA112" s="1"/>
      <c r="AAB112" s="1"/>
      <c r="AAC112" s="1"/>
      <c r="AAD112" s="1"/>
      <c r="AAE112" s="1"/>
      <c r="AAF112" s="1"/>
      <c r="AAG112" s="1"/>
      <c r="AAH112" s="1"/>
      <c r="AAI112" s="1"/>
      <c r="AAJ112" s="1"/>
      <c r="AAK112" s="1"/>
      <c r="AAL112" s="1"/>
      <c r="AAM112" s="1"/>
      <c r="AAN112" s="1"/>
      <c r="AAO112" s="1"/>
      <c r="AAP112" s="1"/>
      <c r="AAQ112" s="1"/>
      <c r="AAR112" s="1"/>
      <c r="AAS112" s="1"/>
      <c r="AAT112" s="1"/>
      <c r="AAU112" s="1"/>
      <c r="AAV112" s="1"/>
      <c r="AAW112" s="1"/>
      <c r="AAX112" s="1"/>
      <c r="AAY112" s="1"/>
      <c r="AAZ112" s="1"/>
      <c r="ABA112" s="1"/>
      <c r="ABB112" s="1"/>
      <c r="ABC112" s="1"/>
      <c r="ABD112" s="1"/>
      <c r="ABE112" s="1"/>
      <c r="ABF112" s="1"/>
      <c r="ABG112" s="1"/>
      <c r="ABH112" s="1"/>
      <c r="ABI112" s="1"/>
      <c r="ABJ112" s="1"/>
      <c r="ABK112" s="1"/>
      <c r="ABL112" s="1"/>
      <c r="ABM112" s="1"/>
      <c r="ABN112" s="1"/>
      <c r="ABO112" s="1"/>
      <c r="ABP112" s="1"/>
      <c r="ABQ112" s="1"/>
      <c r="ABR112" s="1"/>
      <c r="ABS112" s="1"/>
      <c r="ABT112" s="1"/>
      <c r="ABU112" s="1"/>
      <c r="ABV112" s="1"/>
      <c r="ABW112" s="1"/>
      <c r="ABX112" s="1"/>
      <c r="ABY112" s="1"/>
      <c r="ABZ112" s="1"/>
      <c r="ACA112" s="1"/>
      <c r="ACB112" s="1"/>
      <c r="ACC112" s="1"/>
      <c r="ACD112" s="1"/>
      <c r="ACE112" s="1"/>
      <c r="ACF112" s="1"/>
      <c r="ACG112" s="1"/>
      <c r="ACH112" s="1"/>
      <c r="ACI112" s="1"/>
      <c r="ACJ112" s="1"/>
      <c r="ACK112" s="1"/>
      <c r="ACL112" s="1"/>
      <c r="ACM112" s="1"/>
      <c r="ACN112" s="1"/>
      <c r="ACO112" s="1"/>
      <c r="ACP112" s="1"/>
      <c r="ACQ112" s="1"/>
      <c r="ACR112" s="1"/>
      <c r="ACS112" s="1"/>
      <c r="ACT112" s="1"/>
      <c r="ACU112" s="1"/>
      <c r="ACV112" s="1"/>
      <c r="ACW112" s="1"/>
      <c r="ACX112" s="1"/>
      <c r="ACY112" s="1"/>
      <c r="ACZ112" s="1"/>
      <c r="ADA112" s="1"/>
      <c r="ADB112" s="1"/>
      <c r="ADC112" s="1"/>
      <c r="ADD112" s="1"/>
      <c r="ADE112" s="1"/>
      <c r="ADF112" s="1"/>
      <c r="ADG112" s="1"/>
      <c r="ADH112" s="1"/>
      <c r="ADI112" s="1"/>
      <c r="ADJ112" s="1"/>
      <c r="ADK112" s="1"/>
      <c r="ADL112" s="1"/>
      <c r="ADM112" s="1"/>
      <c r="ADN112" s="1"/>
      <c r="ADO112" s="1"/>
      <c r="ADP112" s="1"/>
      <c r="ADQ112" s="1"/>
      <c r="ADR112" s="1"/>
      <c r="ADS112" s="1"/>
      <c r="ADT112" s="1"/>
      <c r="ADU112" s="1"/>
      <c r="ADV112" s="1"/>
      <c r="ADW112" s="1"/>
      <c r="ADX112" s="1"/>
      <c r="ADY112" s="1"/>
      <c r="ADZ112" s="1"/>
      <c r="AEA112" s="1"/>
      <c r="AEB112" s="1"/>
      <c r="AEC112" s="1"/>
      <c r="AED112" s="1"/>
      <c r="AEE112" s="1"/>
      <c r="AEF112" s="1"/>
      <c r="AEG112" s="1"/>
      <c r="AEH112" s="1"/>
      <c r="AEI112" s="1"/>
      <c r="AEJ112" s="1"/>
      <c r="AEK112" s="1"/>
      <c r="AEL112" s="1"/>
      <c r="AEM112" s="1"/>
      <c r="AEN112" s="1"/>
      <c r="AEO112" s="1"/>
      <c r="AEP112" s="1"/>
      <c r="AEQ112" s="1"/>
      <c r="AER112" s="1"/>
      <c r="AES112" s="1"/>
      <c r="AET112" s="1"/>
      <c r="AEU112" s="1"/>
      <c r="AEV112" s="1"/>
      <c r="AEW112" s="1"/>
      <c r="AEX112" s="1"/>
      <c r="AEY112" s="1"/>
      <c r="AEZ112" s="1"/>
      <c r="AFA112" s="1"/>
      <c r="AFB112" s="1"/>
      <c r="AFC112" s="1"/>
      <c r="AFD112" s="1"/>
      <c r="AFE112" s="1"/>
      <c r="AFF112" s="1"/>
      <c r="AFG112" s="1"/>
      <c r="AFH112" s="1"/>
      <c r="AFI112" s="1"/>
      <c r="AFJ112" s="1"/>
      <c r="AFK112" s="1"/>
      <c r="AFL112" s="1"/>
      <c r="AFM112" s="1"/>
      <c r="AFN112" s="1"/>
      <c r="AFO112" s="1"/>
      <c r="AFP112" s="1"/>
      <c r="AFQ112" s="1"/>
      <c r="AFR112" s="1"/>
      <c r="AFS112" s="1"/>
      <c r="AFT112" s="1"/>
      <c r="AFU112" s="1"/>
      <c r="AFV112" s="1"/>
      <c r="AFW112" s="1"/>
      <c r="AFX112" s="1"/>
      <c r="AFY112" s="1"/>
      <c r="AFZ112" s="1"/>
      <c r="AGA112" s="1"/>
      <c r="AGB112" s="1"/>
      <c r="AGC112" s="1"/>
      <c r="AGD112" s="1"/>
      <c r="AGE112" s="1"/>
      <c r="AGF112" s="1"/>
      <c r="AGG112" s="1"/>
      <c r="AGH112" s="1"/>
      <c r="AGI112" s="1"/>
      <c r="AGJ112" s="1"/>
      <c r="AGK112" s="1"/>
      <c r="AGL112" s="1"/>
      <c r="AGM112" s="1"/>
      <c r="AGN112" s="1"/>
      <c r="AGO112" s="1"/>
      <c r="AGP112" s="1"/>
      <c r="AGQ112" s="1"/>
      <c r="AGR112" s="1"/>
      <c r="AGS112" s="1"/>
      <c r="AGT112" s="1"/>
      <c r="AGU112" s="1"/>
      <c r="AGV112" s="1"/>
      <c r="AGW112" s="1"/>
      <c r="AGX112" s="1"/>
      <c r="AGY112" s="1"/>
      <c r="AGZ112" s="1"/>
      <c r="AHA112" s="1"/>
      <c r="AHB112" s="1"/>
      <c r="AHC112" s="1"/>
      <c r="AHD112" s="1"/>
      <c r="AHE112" s="1"/>
      <c r="AHF112" s="1"/>
      <c r="AHG112" s="1"/>
      <c r="AHH112" s="1"/>
      <c r="AHI112" s="1"/>
      <c r="AHJ112" s="1"/>
      <c r="AHK112" s="1"/>
      <c r="AHL112" s="1"/>
      <c r="AHM112" s="1"/>
      <c r="AHN112" s="1"/>
      <c r="AHO112" s="1"/>
      <c r="AHP112" s="1"/>
      <c r="AHQ112" s="1"/>
      <c r="AHR112" s="1"/>
      <c r="AHS112" s="1"/>
      <c r="AHT112" s="1"/>
      <c r="AHU112" s="1"/>
      <c r="AHV112" s="1"/>
      <c r="AHW112" s="1"/>
      <c r="AHX112" s="1"/>
      <c r="AHY112" s="1"/>
      <c r="AHZ112" s="1"/>
      <c r="AIA112" s="1"/>
      <c r="AIB112" s="1"/>
      <c r="AIC112" s="1"/>
      <c r="AID112" s="1"/>
      <c r="AIE112" s="1"/>
      <c r="AIF112" s="1"/>
      <c r="AIG112" s="1"/>
      <c r="AIH112" s="1"/>
      <c r="AII112" s="1"/>
      <c r="AIJ112" s="1"/>
      <c r="AIK112" s="1"/>
      <c r="AIL112" s="1"/>
      <c r="AIM112" s="1"/>
      <c r="AIN112" s="1"/>
      <c r="AIO112" s="1"/>
      <c r="AIP112" s="1"/>
      <c r="AIQ112" s="1"/>
      <c r="AIR112" s="1"/>
      <c r="AIS112" s="1"/>
      <c r="AIT112" s="1"/>
      <c r="AIU112" s="1"/>
      <c r="AIV112" s="1"/>
      <c r="AIW112" s="1"/>
      <c r="AIX112" s="1"/>
      <c r="AIY112" s="1"/>
      <c r="AIZ112" s="1"/>
      <c r="AJA112" s="1"/>
      <c r="AJB112" s="1"/>
      <c r="AJC112" s="1"/>
      <c r="AJD112" s="1"/>
      <c r="AJE112" s="1"/>
      <c r="AJF112" s="1"/>
      <c r="AJG112" s="1"/>
      <c r="AJH112" s="1"/>
      <c r="AJI112" s="1"/>
      <c r="AJJ112" s="1"/>
      <c r="AJK112" s="1"/>
      <c r="AJL112" s="1"/>
      <c r="AJM112" s="1"/>
      <c r="AJN112" s="1"/>
      <c r="AJO112" s="1"/>
      <c r="AJP112" s="1"/>
      <c r="AJQ112" s="1"/>
      <c r="AJR112" s="1"/>
      <c r="AJS112" s="1"/>
      <c r="AJT112" s="1"/>
      <c r="AJU112" s="1"/>
      <c r="AJV112" s="1"/>
      <c r="AJW112" s="1"/>
      <c r="AJX112" s="1"/>
      <c r="AJY112" s="1"/>
      <c r="AJZ112" s="1"/>
      <c r="AKA112" s="1"/>
      <c r="AKB112" s="1"/>
      <c r="AKC112" s="1"/>
      <c r="AKD112" s="1"/>
      <c r="AKE112" s="1"/>
      <c r="AKF112" s="1"/>
      <c r="AKG112" s="1"/>
      <c r="AKH112" s="1"/>
      <c r="AKI112" s="1"/>
      <c r="AKJ112" s="1"/>
      <c r="AKK112" s="1"/>
      <c r="AKL112" s="1"/>
      <c r="AKM112" s="1"/>
      <c r="AKN112" s="1"/>
      <c r="AKO112" s="1"/>
      <c r="AKP112" s="1"/>
      <c r="AKQ112" s="1"/>
      <c r="AKR112" s="1"/>
      <c r="AKS112" s="1"/>
      <c r="AKT112" s="1"/>
      <c r="AKU112" s="1"/>
      <c r="AKV112" s="1"/>
      <c r="AKW112" s="1"/>
      <c r="AKX112" s="1"/>
      <c r="AKY112" s="1"/>
      <c r="AKZ112" s="1"/>
      <c r="ALA112" s="1"/>
      <c r="ALB112" s="1"/>
      <c r="ALC112" s="1"/>
      <c r="ALD112" s="1"/>
      <c r="ALE112" s="1"/>
      <c r="ALF112" s="1"/>
      <c r="ALG112" s="1"/>
      <c r="ALH112" s="1"/>
      <c r="ALI112" s="1"/>
      <c r="ALJ112" s="1"/>
      <c r="ALK112" s="1"/>
      <c r="ALL112" s="1"/>
      <c r="ALM112" s="1"/>
      <c r="ALN112" s="1"/>
      <c r="ALO112" s="1"/>
      <c r="ALP112" s="1"/>
      <c r="ALQ112" s="1"/>
      <c r="ALR112" s="1"/>
      <c r="ALS112" s="1"/>
      <c r="ALT112" s="1"/>
      <c r="ALU112" s="1"/>
      <c r="ALV112" s="1"/>
      <c r="ALW112" s="1"/>
      <c r="ALX112" s="1"/>
      <c r="ALY112" s="1"/>
      <c r="ALZ112" s="1"/>
      <c r="AMA112" s="1"/>
      <c r="AMB112" s="1"/>
      <c r="AMC112" s="1"/>
      <c r="AMD112" s="1"/>
      <c r="AME112" s="1"/>
      <c r="AMF112" s="1"/>
      <c r="AMG112" s="1"/>
      <c r="AMH112" s="1"/>
      <c r="AMI112" s="1"/>
      <c r="AMJ112" s="1"/>
    </row>
    <row r="113" customFormat="false" ht="10.5" hidden="false" customHeight="true" outlineLevel="0" collapsed="false">
      <c r="A113" s="97" t="n">
        <v>13</v>
      </c>
      <c r="B113" s="138"/>
      <c r="C113" s="138"/>
      <c r="D113" s="138"/>
      <c r="E113" s="138"/>
      <c r="F113" s="138"/>
      <c r="G113" s="138"/>
      <c r="H113" s="138"/>
      <c r="I113" s="138"/>
      <c r="J113" s="19"/>
      <c r="K113" s="19"/>
      <c r="L113" s="19"/>
      <c r="M113" s="19"/>
      <c r="N113" s="19"/>
      <c r="O113" s="19"/>
      <c r="P113" s="19"/>
      <c r="Q113" s="19"/>
      <c r="R113" s="19"/>
      <c r="S113" s="19"/>
      <c r="T113" s="19"/>
      <c r="U113" s="19"/>
      <c r="V113" s="19"/>
      <c r="W113" s="142" t="n">
        <f aca="false">J113*S113</f>
        <v>0</v>
      </c>
      <c r="X113" s="142"/>
      <c r="Y113" s="142"/>
      <c r="Z113" s="142"/>
      <c r="AA113" s="142" t="n">
        <f aca="false">J113*P113</f>
        <v>0</v>
      </c>
      <c r="AB113" s="142"/>
      <c r="AC113" s="142"/>
      <c r="AD113" s="142"/>
      <c r="AE113" s="142" t="n">
        <f aca="false">M113*P113</f>
        <v>0</v>
      </c>
      <c r="AF113" s="142"/>
      <c r="AG113" s="142"/>
      <c r="AH113" s="143" t="n">
        <f aca="false">W113-AA113</f>
        <v>0</v>
      </c>
      <c r="AI113" s="143"/>
      <c r="AJ113" s="143"/>
      <c r="AK113" s="143"/>
      <c r="AL113" s="141" t="str">
        <f aca="false">IFERROR(AH113/$AH$114,"$-")</f>
        <v>$-</v>
      </c>
      <c r="AM113" s="141"/>
      <c r="AN113" s="141"/>
      <c r="AO113" s="14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c r="OP113" s="1"/>
      <c r="OQ113" s="1"/>
      <c r="OR113" s="1"/>
      <c r="OS113" s="1"/>
      <c r="OT113" s="1"/>
      <c r="OU113" s="1"/>
      <c r="OV113" s="1"/>
      <c r="OW113" s="1"/>
      <c r="OX113" s="1"/>
      <c r="OY113" s="1"/>
      <c r="OZ113" s="1"/>
      <c r="PA113" s="1"/>
      <c r="PB113" s="1"/>
      <c r="PC113" s="1"/>
      <c r="PD113" s="1"/>
      <c r="PE113" s="1"/>
      <c r="PF113" s="1"/>
      <c r="PG113" s="1"/>
      <c r="PH113" s="1"/>
      <c r="PI113" s="1"/>
      <c r="PJ113" s="1"/>
      <c r="PK113" s="1"/>
      <c r="PL113" s="1"/>
      <c r="PM113" s="1"/>
      <c r="PN113" s="1"/>
      <c r="PO113" s="1"/>
      <c r="PP113" s="1"/>
      <c r="PQ113" s="1"/>
      <c r="PR113" s="1"/>
      <c r="PS113" s="1"/>
      <c r="PT113" s="1"/>
      <c r="PU113" s="1"/>
      <c r="PV113" s="1"/>
      <c r="PW113" s="1"/>
      <c r="PX113" s="1"/>
      <c r="PY113" s="1"/>
      <c r="PZ113" s="1"/>
      <c r="QA113" s="1"/>
      <c r="QB113" s="1"/>
      <c r="QC113" s="1"/>
      <c r="QD113" s="1"/>
      <c r="QE113" s="1"/>
      <c r="QF113" s="1"/>
      <c r="QG113" s="1"/>
      <c r="QH113" s="1"/>
      <c r="QI113" s="1"/>
      <c r="QJ113" s="1"/>
      <c r="QK113" s="1"/>
      <c r="QL113" s="1"/>
      <c r="QM113" s="1"/>
      <c r="QN113" s="1"/>
      <c r="QO113" s="1"/>
      <c r="QP113" s="1"/>
      <c r="QQ113" s="1"/>
      <c r="QR113" s="1"/>
      <c r="QS113" s="1"/>
      <c r="QT113" s="1"/>
      <c r="QU113" s="1"/>
      <c r="QV113" s="1"/>
      <c r="QW113" s="1"/>
      <c r="QX113" s="1"/>
      <c r="QY113" s="1"/>
      <c r="QZ113" s="1"/>
      <c r="RA113" s="1"/>
      <c r="RB113" s="1"/>
      <c r="RC113" s="1"/>
      <c r="RD113" s="1"/>
      <c r="RE113" s="1"/>
      <c r="RF113" s="1"/>
      <c r="RG113" s="1"/>
      <c r="RH113" s="1"/>
      <c r="RI113" s="1"/>
      <c r="RJ113" s="1"/>
      <c r="RK113" s="1"/>
      <c r="RL113" s="1"/>
      <c r="RM113" s="1"/>
      <c r="RN113" s="1"/>
      <c r="RO113" s="1"/>
      <c r="RP113" s="1"/>
      <c r="RQ113" s="1"/>
      <c r="RR113" s="1"/>
      <c r="RS113" s="1"/>
      <c r="RT113" s="1"/>
      <c r="RU113" s="1"/>
      <c r="RV113" s="1"/>
      <c r="RW113" s="1"/>
      <c r="RX113" s="1"/>
      <c r="RY113" s="1"/>
      <c r="RZ113" s="1"/>
      <c r="SA113" s="1"/>
      <c r="SB113" s="1"/>
      <c r="SC113" s="1"/>
      <c r="SD113" s="1"/>
      <c r="SE113" s="1"/>
      <c r="SF113" s="1"/>
      <c r="SG113" s="1"/>
      <c r="SH113" s="1"/>
      <c r="SI113" s="1"/>
      <c r="SJ113" s="1"/>
      <c r="SK113" s="1"/>
      <c r="SL113" s="1"/>
      <c r="SM113" s="1"/>
      <c r="SN113" s="1"/>
      <c r="SO113" s="1"/>
      <c r="SP113" s="1"/>
      <c r="SQ113" s="1"/>
      <c r="SR113" s="1"/>
      <c r="SS113" s="1"/>
      <c r="ST113" s="1"/>
      <c r="SU113" s="1"/>
      <c r="SV113" s="1"/>
      <c r="SW113" s="1"/>
      <c r="SX113" s="1"/>
      <c r="SY113" s="1"/>
      <c r="SZ113" s="1"/>
      <c r="TA113" s="1"/>
      <c r="TB113" s="1"/>
      <c r="TC113" s="1"/>
      <c r="TD113" s="1"/>
      <c r="TE113" s="1"/>
      <c r="TF113" s="1"/>
      <c r="TG113" s="1"/>
      <c r="TH113" s="1"/>
      <c r="TI113" s="1"/>
      <c r="TJ113" s="1"/>
      <c r="TK113" s="1"/>
      <c r="TL113" s="1"/>
      <c r="TM113" s="1"/>
      <c r="TN113" s="1"/>
      <c r="TO113" s="1"/>
      <c r="TP113" s="1"/>
      <c r="TQ113" s="1"/>
      <c r="TR113" s="1"/>
      <c r="TS113" s="1"/>
      <c r="TT113" s="1"/>
      <c r="TU113" s="1"/>
      <c r="TV113" s="1"/>
      <c r="TW113" s="1"/>
      <c r="TX113" s="1"/>
      <c r="TY113" s="1"/>
      <c r="TZ113" s="1"/>
      <c r="UA113" s="1"/>
      <c r="UB113" s="1"/>
      <c r="UC113" s="1"/>
      <c r="UD113" s="1"/>
      <c r="UE113" s="1"/>
      <c r="UF113" s="1"/>
      <c r="UG113" s="1"/>
      <c r="UH113" s="1"/>
      <c r="UI113" s="1"/>
      <c r="UJ113" s="1"/>
      <c r="UK113" s="1"/>
      <c r="UL113" s="1"/>
      <c r="UM113" s="1"/>
      <c r="UN113" s="1"/>
      <c r="UO113" s="1"/>
      <c r="UP113" s="1"/>
      <c r="UQ113" s="1"/>
      <c r="UR113" s="1"/>
      <c r="US113" s="1"/>
      <c r="UT113" s="1"/>
      <c r="UU113" s="1"/>
      <c r="UV113" s="1"/>
      <c r="UW113" s="1"/>
      <c r="UX113" s="1"/>
      <c r="UY113" s="1"/>
      <c r="UZ113" s="1"/>
      <c r="VA113" s="1"/>
      <c r="VB113" s="1"/>
      <c r="VC113" s="1"/>
      <c r="VD113" s="1"/>
      <c r="VE113" s="1"/>
      <c r="VF113" s="1"/>
      <c r="VG113" s="1"/>
      <c r="VH113" s="1"/>
      <c r="VI113" s="1"/>
      <c r="VJ113" s="1"/>
      <c r="VK113" s="1"/>
      <c r="VL113" s="1"/>
      <c r="VM113" s="1"/>
      <c r="VN113" s="1"/>
      <c r="VO113" s="1"/>
      <c r="VP113" s="1"/>
      <c r="VQ113" s="1"/>
      <c r="VR113" s="1"/>
      <c r="VS113" s="1"/>
      <c r="VT113" s="1"/>
      <c r="VU113" s="1"/>
      <c r="VV113" s="1"/>
      <c r="VW113" s="1"/>
      <c r="VX113" s="1"/>
      <c r="VY113" s="1"/>
      <c r="VZ113" s="1"/>
      <c r="WA113" s="1"/>
      <c r="WB113" s="1"/>
      <c r="WC113" s="1"/>
      <c r="WD113" s="1"/>
      <c r="WE113" s="1"/>
      <c r="WF113" s="1"/>
      <c r="WG113" s="1"/>
      <c r="WH113" s="1"/>
      <c r="WI113" s="1"/>
      <c r="WJ113" s="1"/>
      <c r="WK113" s="1"/>
      <c r="WL113" s="1"/>
      <c r="WM113" s="1"/>
      <c r="WN113" s="1"/>
      <c r="WO113" s="1"/>
      <c r="WP113" s="1"/>
      <c r="WQ113" s="1"/>
      <c r="WR113" s="1"/>
      <c r="WS113" s="1"/>
      <c r="WT113" s="1"/>
      <c r="WU113" s="1"/>
      <c r="WV113" s="1"/>
      <c r="WW113" s="1"/>
      <c r="WX113" s="1"/>
      <c r="WY113" s="1"/>
      <c r="WZ113" s="1"/>
      <c r="XA113" s="1"/>
      <c r="XB113" s="1"/>
      <c r="XC113" s="1"/>
      <c r="XD113" s="1"/>
      <c r="XE113" s="1"/>
      <c r="XF113" s="1"/>
      <c r="XG113" s="1"/>
      <c r="XH113" s="1"/>
      <c r="XI113" s="1"/>
      <c r="XJ113" s="1"/>
      <c r="XK113" s="1"/>
      <c r="XL113" s="1"/>
      <c r="XM113" s="1"/>
      <c r="XN113" s="1"/>
      <c r="XO113" s="1"/>
      <c r="XP113" s="1"/>
      <c r="XQ113" s="1"/>
      <c r="XR113" s="1"/>
      <c r="XS113" s="1"/>
      <c r="XT113" s="1"/>
      <c r="XU113" s="1"/>
      <c r="XV113" s="1"/>
      <c r="XW113" s="1"/>
      <c r="XX113" s="1"/>
      <c r="XY113" s="1"/>
      <c r="XZ113" s="1"/>
      <c r="YA113" s="1"/>
      <c r="YB113" s="1"/>
      <c r="YC113" s="1"/>
      <c r="YD113" s="1"/>
      <c r="YE113" s="1"/>
      <c r="YF113" s="1"/>
      <c r="YG113" s="1"/>
      <c r="YH113" s="1"/>
      <c r="YI113" s="1"/>
      <c r="YJ113" s="1"/>
      <c r="YK113" s="1"/>
      <c r="YL113" s="1"/>
      <c r="YM113" s="1"/>
      <c r="YN113" s="1"/>
      <c r="YO113" s="1"/>
      <c r="YP113" s="1"/>
      <c r="YQ113" s="1"/>
      <c r="YR113" s="1"/>
      <c r="YS113" s="1"/>
      <c r="YT113" s="1"/>
      <c r="YU113" s="1"/>
      <c r="YV113" s="1"/>
      <c r="YW113" s="1"/>
      <c r="YX113" s="1"/>
      <c r="YY113" s="1"/>
      <c r="YZ113" s="1"/>
      <c r="ZA113" s="1"/>
      <c r="ZB113" s="1"/>
      <c r="ZC113" s="1"/>
      <c r="ZD113" s="1"/>
      <c r="ZE113" s="1"/>
      <c r="ZF113" s="1"/>
      <c r="ZG113" s="1"/>
      <c r="ZH113" s="1"/>
      <c r="ZI113" s="1"/>
      <c r="ZJ113" s="1"/>
      <c r="ZK113" s="1"/>
      <c r="ZL113" s="1"/>
      <c r="ZM113" s="1"/>
      <c r="ZN113" s="1"/>
      <c r="ZO113" s="1"/>
      <c r="ZP113" s="1"/>
      <c r="ZQ113" s="1"/>
      <c r="ZR113" s="1"/>
      <c r="ZS113" s="1"/>
      <c r="ZT113" s="1"/>
      <c r="ZU113" s="1"/>
      <c r="ZV113" s="1"/>
      <c r="ZW113" s="1"/>
      <c r="ZX113" s="1"/>
      <c r="ZY113" s="1"/>
      <c r="ZZ113" s="1"/>
      <c r="AAA113" s="1"/>
      <c r="AAB113" s="1"/>
      <c r="AAC113" s="1"/>
      <c r="AAD113" s="1"/>
      <c r="AAE113" s="1"/>
      <c r="AAF113" s="1"/>
      <c r="AAG113" s="1"/>
      <c r="AAH113" s="1"/>
      <c r="AAI113" s="1"/>
      <c r="AAJ113" s="1"/>
      <c r="AAK113" s="1"/>
      <c r="AAL113" s="1"/>
      <c r="AAM113" s="1"/>
      <c r="AAN113" s="1"/>
      <c r="AAO113" s="1"/>
      <c r="AAP113" s="1"/>
      <c r="AAQ113" s="1"/>
      <c r="AAR113" s="1"/>
      <c r="AAS113" s="1"/>
      <c r="AAT113" s="1"/>
      <c r="AAU113" s="1"/>
      <c r="AAV113" s="1"/>
      <c r="AAW113" s="1"/>
      <c r="AAX113" s="1"/>
      <c r="AAY113" s="1"/>
      <c r="AAZ113" s="1"/>
      <c r="ABA113" s="1"/>
      <c r="ABB113" s="1"/>
      <c r="ABC113" s="1"/>
      <c r="ABD113" s="1"/>
      <c r="ABE113" s="1"/>
      <c r="ABF113" s="1"/>
      <c r="ABG113" s="1"/>
      <c r="ABH113" s="1"/>
      <c r="ABI113" s="1"/>
      <c r="ABJ113" s="1"/>
      <c r="ABK113" s="1"/>
      <c r="ABL113" s="1"/>
      <c r="ABM113" s="1"/>
      <c r="ABN113" s="1"/>
      <c r="ABO113" s="1"/>
      <c r="ABP113" s="1"/>
      <c r="ABQ113" s="1"/>
      <c r="ABR113" s="1"/>
      <c r="ABS113" s="1"/>
      <c r="ABT113" s="1"/>
      <c r="ABU113" s="1"/>
      <c r="ABV113" s="1"/>
      <c r="ABW113" s="1"/>
      <c r="ABX113" s="1"/>
      <c r="ABY113" s="1"/>
      <c r="ABZ113" s="1"/>
      <c r="ACA113" s="1"/>
      <c r="ACB113" s="1"/>
      <c r="ACC113" s="1"/>
      <c r="ACD113" s="1"/>
      <c r="ACE113" s="1"/>
      <c r="ACF113" s="1"/>
      <c r="ACG113" s="1"/>
      <c r="ACH113" s="1"/>
      <c r="ACI113" s="1"/>
      <c r="ACJ113" s="1"/>
      <c r="ACK113" s="1"/>
      <c r="ACL113" s="1"/>
      <c r="ACM113" s="1"/>
      <c r="ACN113" s="1"/>
      <c r="ACO113" s="1"/>
      <c r="ACP113" s="1"/>
      <c r="ACQ113" s="1"/>
      <c r="ACR113" s="1"/>
      <c r="ACS113" s="1"/>
      <c r="ACT113" s="1"/>
      <c r="ACU113" s="1"/>
      <c r="ACV113" s="1"/>
      <c r="ACW113" s="1"/>
      <c r="ACX113" s="1"/>
      <c r="ACY113" s="1"/>
      <c r="ACZ113" s="1"/>
      <c r="ADA113" s="1"/>
      <c r="ADB113" s="1"/>
      <c r="ADC113" s="1"/>
      <c r="ADD113" s="1"/>
      <c r="ADE113" s="1"/>
      <c r="ADF113" s="1"/>
      <c r="ADG113" s="1"/>
      <c r="ADH113" s="1"/>
      <c r="ADI113" s="1"/>
      <c r="ADJ113" s="1"/>
      <c r="ADK113" s="1"/>
      <c r="ADL113" s="1"/>
      <c r="ADM113" s="1"/>
      <c r="ADN113" s="1"/>
      <c r="ADO113" s="1"/>
      <c r="ADP113" s="1"/>
      <c r="ADQ113" s="1"/>
      <c r="ADR113" s="1"/>
      <c r="ADS113" s="1"/>
      <c r="ADT113" s="1"/>
      <c r="ADU113" s="1"/>
      <c r="ADV113" s="1"/>
      <c r="ADW113" s="1"/>
      <c r="ADX113" s="1"/>
      <c r="ADY113" s="1"/>
      <c r="ADZ113" s="1"/>
      <c r="AEA113" s="1"/>
      <c r="AEB113" s="1"/>
      <c r="AEC113" s="1"/>
      <c r="AED113" s="1"/>
      <c r="AEE113" s="1"/>
      <c r="AEF113" s="1"/>
      <c r="AEG113" s="1"/>
      <c r="AEH113" s="1"/>
      <c r="AEI113" s="1"/>
      <c r="AEJ113" s="1"/>
      <c r="AEK113" s="1"/>
      <c r="AEL113" s="1"/>
      <c r="AEM113" s="1"/>
      <c r="AEN113" s="1"/>
      <c r="AEO113" s="1"/>
      <c r="AEP113" s="1"/>
      <c r="AEQ113" s="1"/>
      <c r="AER113" s="1"/>
      <c r="AES113" s="1"/>
      <c r="AET113" s="1"/>
      <c r="AEU113" s="1"/>
      <c r="AEV113" s="1"/>
      <c r="AEW113" s="1"/>
      <c r="AEX113" s="1"/>
      <c r="AEY113" s="1"/>
      <c r="AEZ113" s="1"/>
      <c r="AFA113" s="1"/>
      <c r="AFB113" s="1"/>
      <c r="AFC113" s="1"/>
      <c r="AFD113" s="1"/>
      <c r="AFE113" s="1"/>
      <c r="AFF113" s="1"/>
      <c r="AFG113" s="1"/>
      <c r="AFH113" s="1"/>
      <c r="AFI113" s="1"/>
      <c r="AFJ113" s="1"/>
      <c r="AFK113" s="1"/>
      <c r="AFL113" s="1"/>
      <c r="AFM113" s="1"/>
      <c r="AFN113" s="1"/>
      <c r="AFO113" s="1"/>
      <c r="AFP113" s="1"/>
      <c r="AFQ113" s="1"/>
      <c r="AFR113" s="1"/>
      <c r="AFS113" s="1"/>
      <c r="AFT113" s="1"/>
      <c r="AFU113" s="1"/>
      <c r="AFV113" s="1"/>
      <c r="AFW113" s="1"/>
      <c r="AFX113" s="1"/>
      <c r="AFY113" s="1"/>
      <c r="AFZ113" s="1"/>
      <c r="AGA113" s="1"/>
      <c r="AGB113" s="1"/>
      <c r="AGC113" s="1"/>
      <c r="AGD113" s="1"/>
      <c r="AGE113" s="1"/>
      <c r="AGF113" s="1"/>
      <c r="AGG113" s="1"/>
      <c r="AGH113" s="1"/>
      <c r="AGI113" s="1"/>
      <c r="AGJ113" s="1"/>
      <c r="AGK113" s="1"/>
      <c r="AGL113" s="1"/>
      <c r="AGM113" s="1"/>
      <c r="AGN113" s="1"/>
      <c r="AGO113" s="1"/>
      <c r="AGP113" s="1"/>
      <c r="AGQ113" s="1"/>
      <c r="AGR113" s="1"/>
      <c r="AGS113" s="1"/>
      <c r="AGT113" s="1"/>
      <c r="AGU113" s="1"/>
      <c r="AGV113" s="1"/>
      <c r="AGW113" s="1"/>
      <c r="AGX113" s="1"/>
      <c r="AGY113" s="1"/>
      <c r="AGZ113" s="1"/>
      <c r="AHA113" s="1"/>
      <c r="AHB113" s="1"/>
      <c r="AHC113" s="1"/>
      <c r="AHD113" s="1"/>
      <c r="AHE113" s="1"/>
      <c r="AHF113" s="1"/>
      <c r="AHG113" s="1"/>
      <c r="AHH113" s="1"/>
      <c r="AHI113" s="1"/>
      <c r="AHJ113" s="1"/>
      <c r="AHK113" s="1"/>
      <c r="AHL113" s="1"/>
      <c r="AHM113" s="1"/>
      <c r="AHN113" s="1"/>
      <c r="AHO113" s="1"/>
      <c r="AHP113" s="1"/>
      <c r="AHQ113" s="1"/>
      <c r="AHR113" s="1"/>
      <c r="AHS113" s="1"/>
      <c r="AHT113" s="1"/>
      <c r="AHU113" s="1"/>
      <c r="AHV113" s="1"/>
      <c r="AHW113" s="1"/>
      <c r="AHX113" s="1"/>
      <c r="AHY113" s="1"/>
      <c r="AHZ113" s="1"/>
      <c r="AIA113" s="1"/>
      <c r="AIB113" s="1"/>
      <c r="AIC113" s="1"/>
      <c r="AID113" s="1"/>
      <c r="AIE113" s="1"/>
      <c r="AIF113" s="1"/>
      <c r="AIG113" s="1"/>
      <c r="AIH113" s="1"/>
      <c r="AII113" s="1"/>
      <c r="AIJ113" s="1"/>
      <c r="AIK113" s="1"/>
      <c r="AIL113" s="1"/>
      <c r="AIM113" s="1"/>
      <c r="AIN113" s="1"/>
      <c r="AIO113" s="1"/>
      <c r="AIP113" s="1"/>
      <c r="AIQ113" s="1"/>
      <c r="AIR113" s="1"/>
      <c r="AIS113" s="1"/>
      <c r="AIT113" s="1"/>
      <c r="AIU113" s="1"/>
      <c r="AIV113" s="1"/>
      <c r="AIW113" s="1"/>
      <c r="AIX113" s="1"/>
      <c r="AIY113" s="1"/>
      <c r="AIZ113" s="1"/>
      <c r="AJA113" s="1"/>
      <c r="AJB113" s="1"/>
      <c r="AJC113" s="1"/>
      <c r="AJD113" s="1"/>
      <c r="AJE113" s="1"/>
      <c r="AJF113" s="1"/>
      <c r="AJG113" s="1"/>
      <c r="AJH113" s="1"/>
      <c r="AJI113" s="1"/>
      <c r="AJJ113" s="1"/>
      <c r="AJK113" s="1"/>
      <c r="AJL113" s="1"/>
      <c r="AJM113" s="1"/>
      <c r="AJN113" s="1"/>
      <c r="AJO113" s="1"/>
      <c r="AJP113" s="1"/>
      <c r="AJQ113" s="1"/>
      <c r="AJR113" s="1"/>
      <c r="AJS113" s="1"/>
      <c r="AJT113" s="1"/>
      <c r="AJU113" s="1"/>
      <c r="AJV113" s="1"/>
      <c r="AJW113" s="1"/>
      <c r="AJX113" s="1"/>
      <c r="AJY113" s="1"/>
      <c r="AJZ113" s="1"/>
      <c r="AKA113" s="1"/>
      <c r="AKB113" s="1"/>
      <c r="AKC113" s="1"/>
      <c r="AKD113" s="1"/>
      <c r="AKE113" s="1"/>
      <c r="AKF113" s="1"/>
      <c r="AKG113" s="1"/>
      <c r="AKH113" s="1"/>
      <c r="AKI113" s="1"/>
      <c r="AKJ113" s="1"/>
      <c r="AKK113" s="1"/>
      <c r="AKL113" s="1"/>
      <c r="AKM113" s="1"/>
      <c r="AKN113" s="1"/>
      <c r="AKO113" s="1"/>
      <c r="AKP113" s="1"/>
      <c r="AKQ113" s="1"/>
      <c r="AKR113" s="1"/>
      <c r="AKS113" s="1"/>
      <c r="AKT113" s="1"/>
      <c r="AKU113" s="1"/>
      <c r="AKV113" s="1"/>
      <c r="AKW113" s="1"/>
      <c r="AKX113" s="1"/>
      <c r="AKY113" s="1"/>
      <c r="AKZ113" s="1"/>
      <c r="ALA113" s="1"/>
      <c r="ALB113" s="1"/>
      <c r="ALC113" s="1"/>
      <c r="ALD113" s="1"/>
      <c r="ALE113" s="1"/>
      <c r="ALF113" s="1"/>
      <c r="ALG113" s="1"/>
      <c r="ALH113" s="1"/>
      <c r="ALI113" s="1"/>
      <c r="ALJ113" s="1"/>
      <c r="ALK113" s="1"/>
      <c r="ALL113" s="1"/>
      <c r="ALM113" s="1"/>
      <c r="ALN113" s="1"/>
      <c r="ALO113" s="1"/>
      <c r="ALP113" s="1"/>
      <c r="ALQ113" s="1"/>
      <c r="ALR113" s="1"/>
      <c r="ALS113" s="1"/>
      <c r="ALT113" s="1"/>
      <c r="ALU113" s="1"/>
      <c r="ALV113" s="1"/>
      <c r="ALW113" s="1"/>
      <c r="ALX113" s="1"/>
      <c r="ALY113" s="1"/>
      <c r="ALZ113" s="1"/>
      <c r="AMA113" s="1"/>
      <c r="AMB113" s="1"/>
      <c r="AMC113" s="1"/>
      <c r="AMD113" s="1"/>
      <c r="AME113" s="1"/>
      <c r="AMF113" s="1"/>
      <c r="AMG113" s="1"/>
      <c r="AMH113" s="1"/>
      <c r="AMI113" s="1"/>
      <c r="AMJ113" s="1"/>
    </row>
    <row r="114" customFormat="false" ht="10.5" hidden="false" customHeight="true" outlineLevel="0" collapsed="false">
      <c r="A114" s="144" t="s">
        <v>242</v>
      </c>
      <c r="B114" s="144"/>
      <c r="C114" s="144"/>
      <c r="D114" s="144"/>
      <c r="E114" s="144"/>
      <c r="F114" s="144"/>
      <c r="G114" s="144"/>
      <c r="H114" s="144"/>
      <c r="I114" s="144"/>
      <c r="J114" s="144"/>
      <c r="K114" s="144"/>
      <c r="L114" s="144"/>
      <c r="M114" s="144"/>
      <c r="N114" s="144"/>
      <c r="O114" s="144"/>
      <c r="P114" s="144"/>
      <c r="Q114" s="144"/>
      <c r="R114" s="144"/>
      <c r="S114" s="144"/>
      <c r="T114" s="144"/>
      <c r="U114" s="144"/>
      <c r="V114" s="144"/>
      <c r="W114" s="145" t="n">
        <f aca="false">SUM(W101:Z113)</f>
        <v>0</v>
      </c>
      <c r="X114" s="145"/>
      <c r="Y114" s="145"/>
      <c r="Z114" s="145"/>
      <c r="AA114" s="145" t="n">
        <f aca="false">SUM(AA101:AD113)</f>
        <v>0</v>
      </c>
      <c r="AB114" s="145"/>
      <c r="AC114" s="145"/>
      <c r="AD114" s="145"/>
      <c r="AE114" s="145" t="n">
        <f aca="false">SUM(AE101:AG113)</f>
        <v>0</v>
      </c>
      <c r="AF114" s="145"/>
      <c r="AG114" s="145"/>
      <c r="AH114" s="145" t="n">
        <f aca="false">SUM(AH101:AK113)</f>
        <v>0</v>
      </c>
      <c r="AI114" s="145"/>
      <c r="AJ114" s="145"/>
      <c r="AK114" s="145"/>
      <c r="AL114" s="146" t="n">
        <f aca="false">SUM(AL101:AO113)</f>
        <v>0</v>
      </c>
      <c r="AM114" s="146"/>
      <c r="AN114" s="146"/>
      <c r="AO114" s="146"/>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c r="OP114" s="1"/>
      <c r="OQ114" s="1"/>
      <c r="OR114" s="1"/>
      <c r="OS114" s="1"/>
      <c r="OT114" s="1"/>
      <c r="OU114" s="1"/>
      <c r="OV114" s="1"/>
      <c r="OW114" s="1"/>
      <c r="OX114" s="1"/>
      <c r="OY114" s="1"/>
      <c r="OZ114" s="1"/>
      <c r="PA114" s="1"/>
      <c r="PB114" s="1"/>
      <c r="PC114" s="1"/>
      <c r="PD114" s="1"/>
      <c r="PE114" s="1"/>
      <c r="PF114" s="1"/>
      <c r="PG114" s="1"/>
      <c r="PH114" s="1"/>
      <c r="PI114" s="1"/>
      <c r="PJ114" s="1"/>
      <c r="PK114" s="1"/>
      <c r="PL114" s="1"/>
      <c r="PM114" s="1"/>
      <c r="PN114" s="1"/>
      <c r="PO114" s="1"/>
      <c r="PP114" s="1"/>
      <c r="PQ114" s="1"/>
      <c r="PR114" s="1"/>
      <c r="PS114" s="1"/>
      <c r="PT114" s="1"/>
      <c r="PU114" s="1"/>
      <c r="PV114" s="1"/>
      <c r="PW114" s="1"/>
      <c r="PX114" s="1"/>
      <c r="PY114" s="1"/>
      <c r="PZ114" s="1"/>
      <c r="QA114" s="1"/>
      <c r="QB114" s="1"/>
      <c r="QC114" s="1"/>
      <c r="QD114" s="1"/>
      <c r="QE114" s="1"/>
      <c r="QF114" s="1"/>
      <c r="QG114" s="1"/>
      <c r="QH114" s="1"/>
      <c r="QI114" s="1"/>
      <c r="QJ114" s="1"/>
      <c r="QK114" s="1"/>
      <c r="QL114" s="1"/>
      <c r="QM114" s="1"/>
      <c r="QN114" s="1"/>
      <c r="QO114" s="1"/>
      <c r="QP114" s="1"/>
      <c r="QQ114" s="1"/>
      <c r="QR114" s="1"/>
      <c r="QS114" s="1"/>
      <c r="QT114" s="1"/>
      <c r="QU114" s="1"/>
      <c r="QV114" s="1"/>
      <c r="QW114" s="1"/>
      <c r="QX114" s="1"/>
      <c r="QY114" s="1"/>
      <c r="QZ114" s="1"/>
      <c r="RA114" s="1"/>
      <c r="RB114" s="1"/>
      <c r="RC114" s="1"/>
      <c r="RD114" s="1"/>
      <c r="RE114" s="1"/>
      <c r="RF114" s="1"/>
      <c r="RG114" s="1"/>
      <c r="RH114" s="1"/>
      <c r="RI114" s="1"/>
      <c r="RJ114" s="1"/>
      <c r="RK114" s="1"/>
      <c r="RL114" s="1"/>
      <c r="RM114" s="1"/>
      <c r="RN114" s="1"/>
      <c r="RO114" s="1"/>
      <c r="RP114" s="1"/>
      <c r="RQ114" s="1"/>
      <c r="RR114" s="1"/>
      <c r="RS114" s="1"/>
      <c r="RT114" s="1"/>
      <c r="RU114" s="1"/>
      <c r="RV114" s="1"/>
      <c r="RW114" s="1"/>
      <c r="RX114" s="1"/>
      <c r="RY114" s="1"/>
      <c r="RZ114" s="1"/>
      <c r="SA114" s="1"/>
      <c r="SB114" s="1"/>
      <c r="SC114" s="1"/>
      <c r="SD114" s="1"/>
      <c r="SE114" s="1"/>
      <c r="SF114" s="1"/>
      <c r="SG114" s="1"/>
      <c r="SH114" s="1"/>
      <c r="SI114" s="1"/>
      <c r="SJ114" s="1"/>
      <c r="SK114" s="1"/>
      <c r="SL114" s="1"/>
      <c r="SM114" s="1"/>
      <c r="SN114" s="1"/>
      <c r="SO114" s="1"/>
      <c r="SP114" s="1"/>
      <c r="SQ114" s="1"/>
      <c r="SR114" s="1"/>
      <c r="SS114" s="1"/>
      <c r="ST114" s="1"/>
      <c r="SU114" s="1"/>
      <c r="SV114" s="1"/>
      <c r="SW114" s="1"/>
      <c r="SX114" s="1"/>
      <c r="SY114" s="1"/>
      <c r="SZ114" s="1"/>
      <c r="TA114" s="1"/>
      <c r="TB114" s="1"/>
      <c r="TC114" s="1"/>
      <c r="TD114" s="1"/>
      <c r="TE114" s="1"/>
      <c r="TF114" s="1"/>
      <c r="TG114" s="1"/>
      <c r="TH114" s="1"/>
      <c r="TI114" s="1"/>
      <c r="TJ114" s="1"/>
      <c r="TK114" s="1"/>
      <c r="TL114" s="1"/>
      <c r="TM114" s="1"/>
      <c r="TN114" s="1"/>
      <c r="TO114" s="1"/>
      <c r="TP114" s="1"/>
      <c r="TQ114" s="1"/>
      <c r="TR114" s="1"/>
      <c r="TS114" s="1"/>
      <c r="TT114" s="1"/>
      <c r="TU114" s="1"/>
      <c r="TV114" s="1"/>
      <c r="TW114" s="1"/>
      <c r="TX114" s="1"/>
      <c r="TY114" s="1"/>
      <c r="TZ114" s="1"/>
      <c r="UA114" s="1"/>
      <c r="UB114" s="1"/>
      <c r="UC114" s="1"/>
      <c r="UD114" s="1"/>
      <c r="UE114" s="1"/>
      <c r="UF114" s="1"/>
      <c r="UG114" s="1"/>
      <c r="UH114" s="1"/>
      <c r="UI114" s="1"/>
      <c r="UJ114" s="1"/>
      <c r="UK114" s="1"/>
      <c r="UL114" s="1"/>
      <c r="UM114" s="1"/>
      <c r="UN114" s="1"/>
      <c r="UO114" s="1"/>
      <c r="UP114" s="1"/>
      <c r="UQ114" s="1"/>
      <c r="UR114" s="1"/>
      <c r="US114" s="1"/>
      <c r="UT114" s="1"/>
      <c r="UU114" s="1"/>
      <c r="UV114" s="1"/>
      <c r="UW114" s="1"/>
      <c r="UX114" s="1"/>
      <c r="UY114" s="1"/>
      <c r="UZ114" s="1"/>
      <c r="VA114" s="1"/>
      <c r="VB114" s="1"/>
      <c r="VC114" s="1"/>
      <c r="VD114" s="1"/>
      <c r="VE114" s="1"/>
      <c r="VF114" s="1"/>
      <c r="VG114" s="1"/>
      <c r="VH114" s="1"/>
      <c r="VI114" s="1"/>
      <c r="VJ114" s="1"/>
      <c r="VK114" s="1"/>
      <c r="VL114" s="1"/>
      <c r="VM114" s="1"/>
      <c r="VN114" s="1"/>
      <c r="VO114" s="1"/>
      <c r="VP114" s="1"/>
      <c r="VQ114" s="1"/>
      <c r="VR114" s="1"/>
      <c r="VS114" s="1"/>
      <c r="VT114" s="1"/>
      <c r="VU114" s="1"/>
      <c r="VV114" s="1"/>
      <c r="VW114" s="1"/>
      <c r="VX114" s="1"/>
      <c r="VY114" s="1"/>
      <c r="VZ114" s="1"/>
      <c r="WA114" s="1"/>
      <c r="WB114" s="1"/>
      <c r="WC114" s="1"/>
      <c r="WD114" s="1"/>
      <c r="WE114" s="1"/>
      <c r="WF114" s="1"/>
      <c r="WG114" s="1"/>
      <c r="WH114" s="1"/>
      <c r="WI114" s="1"/>
      <c r="WJ114" s="1"/>
      <c r="WK114" s="1"/>
      <c r="WL114" s="1"/>
      <c r="WM114" s="1"/>
      <c r="WN114" s="1"/>
      <c r="WO114" s="1"/>
      <c r="WP114" s="1"/>
      <c r="WQ114" s="1"/>
      <c r="WR114" s="1"/>
      <c r="WS114" s="1"/>
      <c r="WT114" s="1"/>
      <c r="WU114" s="1"/>
      <c r="WV114" s="1"/>
      <c r="WW114" s="1"/>
      <c r="WX114" s="1"/>
      <c r="WY114" s="1"/>
      <c r="WZ114" s="1"/>
      <c r="XA114" s="1"/>
      <c r="XB114" s="1"/>
      <c r="XC114" s="1"/>
      <c r="XD114" s="1"/>
      <c r="XE114" s="1"/>
      <c r="XF114" s="1"/>
      <c r="XG114" s="1"/>
      <c r="XH114" s="1"/>
      <c r="XI114" s="1"/>
      <c r="XJ114" s="1"/>
      <c r="XK114" s="1"/>
      <c r="XL114" s="1"/>
      <c r="XM114" s="1"/>
      <c r="XN114" s="1"/>
      <c r="XO114" s="1"/>
      <c r="XP114" s="1"/>
      <c r="XQ114" s="1"/>
      <c r="XR114" s="1"/>
      <c r="XS114" s="1"/>
      <c r="XT114" s="1"/>
      <c r="XU114" s="1"/>
      <c r="XV114" s="1"/>
      <c r="XW114" s="1"/>
      <c r="XX114" s="1"/>
      <c r="XY114" s="1"/>
      <c r="XZ114" s="1"/>
      <c r="YA114" s="1"/>
      <c r="YB114" s="1"/>
      <c r="YC114" s="1"/>
      <c r="YD114" s="1"/>
      <c r="YE114" s="1"/>
      <c r="YF114" s="1"/>
      <c r="YG114" s="1"/>
      <c r="YH114" s="1"/>
      <c r="YI114" s="1"/>
      <c r="YJ114" s="1"/>
      <c r="YK114" s="1"/>
      <c r="YL114" s="1"/>
      <c r="YM114" s="1"/>
      <c r="YN114" s="1"/>
      <c r="YO114" s="1"/>
      <c r="YP114" s="1"/>
      <c r="YQ114" s="1"/>
      <c r="YR114" s="1"/>
      <c r="YS114" s="1"/>
      <c r="YT114" s="1"/>
      <c r="YU114" s="1"/>
      <c r="YV114" s="1"/>
      <c r="YW114" s="1"/>
      <c r="YX114" s="1"/>
      <c r="YY114" s="1"/>
      <c r="YZ114" s="1"/>
      <c r="ZA114" s="1"/>
      <c r="ZB114" s="1"/>
      <c r="ZC114" s="1"/>
      <c r="ZD114" s="1"/>
      <c r="ZE114" s="1"/>
      <c r="ZF114" s="1"/>
      <c r="ZG114" s="1"/>
      <c r="ZH114" s="1"/>
      <c r="ZI114" s="1"/>
      <c r="ZJ114" s="1"/>
      <c r="ZK114" s="1"/>
      <c r="ZL114" s="1"/>
      <c r="ZM114" s="1"/>
      <c r="ZN114" s="1"/>
      <c r="ZO114" s="1"/>
      <c r="ZP114" s="1"/>
      <c r="ZQ114" s="1"/>
      <c r="ZR114" s="1"/>
      <c r="ZS114" s="1"/>
      <c r="ZT114" s="1"/>
      <c r="ZU114" s="1"/>
      <c r="ZV114" s="1"/>
      <c r="ZW114" s="1"/>
      <c r="ZX114" s="1"/>
      <c r="ZY114" s="1"/>
      <c r="ZZ114" s="1"/>
      <c r="AAA114" s="1"/>
      <c r="AAB114" s="1"/>
      <c r="AAC114" s="1"/>
      <c r="AAD114" s="1"/>
      <c r="AAE114" s="1"/>
      <c r="AAF114" s="1"/>
      <c r="AAG114" s="1"/>
      <c r="AAH114" s="1"/>
      <c r="AAI114" s="1"/>
      <c r="AAJ114" s="1"/>
      <c r="AAK114" s="1"/>
      <c r="AAL114" s="1"/>
      <c r="AAM114" s="1"/>
      <c r="AAN114" s="1"/>
      <c r="AAO114" s="1"/>
      <c r="AAP114" s="1"/>
      <c r="AAQ114" s="1"/>
      <c r="AAR114" s="1"/>
      <c r="AAS114" s="1"/>
      <c r="AAT114" s="1"/>
      <c r="AAU114" s="1"/>
      <c r="AAV114" s="1"/>
      <c r="AAW114" s="1"/>
      <c r="AAX114" s="1"/>
      <c r="AAY114" s="1"/>
      <c r="AAZ114" s="1"/>
      <c r="ABA114" s="1"/>
      <c r="ABB114" s="1"/>
      <c r="ABC114" s="1"/>
      <c r="ABD114" s="1"/>
      <c r="ABE114" s="1"/>
      <c r="ABF114" s="1"/>
      <c r="ABG114" s="1"/>
      <c r="ABH114" s="1"/>
      <c r="ABI114" s="1"/>
      <c r="ABJ114" s="1"/>
      <c r="ABK114" s="1"/>
      <c r="ABL114" s="1"/>
      <c r="ABM114" s="1"/>
      <c r="ABN114" s="1"/>
      <c r="ABO114" s="1"/>
      <c r="ABP114" s="1"/>
      <c r="ABQ114" s="1"/>
      <c r="ABR114" s="1"/>
      <c r="ABS114" s="1"/>
      <c r="ABT114" s="1"/>
      <c r="ABU114" s="1"/>
      <c r="ABV114" s="1"/>
      <c r="ABW114" s="1"/>
      <c r="ABX114" s="1"/>
      <c r="ABY114" s="1"/>
      <c r="ABZ114" s="1"/>
      <c r="ACA114" s="1"/>
      <c r="ACB114" s="1"/>
      <c r="ACC114" s="1"/>
      <c r="ACD114" s="1"/>
      <c r="ACE114" s="1"/>
      <c r="ACF114" s="1"/>
      <c r="ACG114" s="1"/>
      <c r="ACH114" s="1"/>
      <c r="ACI114" s="1"/>
      <c r="ACJ114" s="1"/>
      <c r="ACK114" s="1"/>
      <c r="ACL114" s="1"/>
      <c r="ACM114" s="1"/>
      <c r="ACN114" s="1"/>
      <c r="ACO114" s="1"/>
      <c r="ACP114" s="1"/>
      <c r="ACQ114" s="1"/>
      <c r="ACR114" s="1"/>
      <c r="ACS114" s="1"/>
      <c r="ACT114" s="1"/>
      <c r="ACU114" s="1"/>
      <c r="ACV114" s="1"/>
      <c r="ACW114" s="1"/>
      <c r="ACX114" s="1"/>
      <c r="ACY114" s="1"/>
      <c r="ACZ114" s="1"/>
      <c r="ADA114" s="1"/>
      <c r="ADB114" s="1"/>
      <c r="ADC114" s="1"/>
      <c r="ADD114" s="1"/>
      <c r="ADE114" s="1"/>
      <c r="ADF114" s="1"/>
      <c r="ADG114" s="1"/>
      <c r="ADH114" s="1"/>
      <c r="ADI114" s="1"/>
      <c r="ADJ114" s="1"/>
      <c r="ADK114" s="1"/>
      <c r="ADL114" s="1"/>
      <c r="ADM114" s="1"/>
      <c r="ADN114" s="1"/>
      <c r="ADO114" s="1"/>
      <c r="ADP114" s="1"/>
      <c r="ADQ114" s="1"/>
      <c r="ADR114" s="1"/>
      <c r="ADS114" s="1"/>
      <c r="ADT114" s="1"/>
      <c r="ADU114" s="1"/>
      <c r="ADV114" s="1"/>
      <c r="ADW114" s="1"/>
      <c r="ADX114" s="1"/>
      <c r="ADY114" s="1"/>
      <c r="ADZ114" s="1"/>
      <c r="AEA114" s="1"/>
      <c r="AEB114" s="1"/>
      <c r="AEC114" s="1"/>
      <c r="AED114" s="1"/>
      <c r="AEE114" s="1"/>
      <c r="AEF114" s="1"/>
      <c r="AEG114" s="1"/>
      <c r="AEH114" s="1"/>
      <c r="AEI114" s="1"/>
      <c r="AEJ114" s="1"/>
      <c r="AEK114" s="1"/>
      <c r="AEL114" s="1"/>
      <c r="AEM114" s="1"/>
      <c r="AEN114" s="1"/>
      <c r="AEO114" s="1"/>
      <c r="AEP114" s="1"/>
      <c r="AEQ114" s="1"/>
      <c r="AER114" s="1"/>
      <c r="AES114" s="1"/>
      <c r="AET114" s="1"/>
      <c r="AEU114" s="1"/>
      <c r="AEV114" s="1"/>
      <c r="AEW114" s="1"/>
      <c r="AEX114" s="1"/>
      <c r="AEY114" s="1"/>
      <c r="AEZ114" s="1"/>
      <c r="AFA114" s="1"/>
      <c r="AFB114" s="1"/>
      <c r="AFC114" s="1"/>
      <c r="AFD114" s="1"/>
      <c r="AFE114" s="1"/>
      <c r="AFF114" s="1"/>
      <c r="AFG114" s="1"/>
      <c r="AFH114" s="1"/>
      <c r="AFI114" s="1"/>
      <c r="AFJ114" s="1"/>
      <c r="AFK114" s="1"/>
      <c r="AFL114" s="1"/>
      <c r="AFM114" s="1"/>
      <c r="AFN114" s="1"/>
      <c r="AFO114" s="1"/>
      <c r="AFP114" s="1"/>
      <c r="AFQ114" s="1"/>
      <c r="AFR114" s="1"/>
      <c r="AFS114" s="1"/>
      <c r="AFT114" s="1"/>
      <c r="AFU114" s="1"/>
      <c r="AFV114" s="1"/>
      <c r="AFW114" s="1"/>
      <c r="AFX114" s="1"/>
      <c r="AFY114" s="1"/>
      <c r="AFZ114" s="1"/>
      <c r="AGA114" s="1"/>
      <c r="AGB114" s="1"/>
      <c r="AGC114" s="1"/>
      <c r="AGD114" s="1"/>
      <c r="AGE114" s="1"/>
      <c r="AGF114" s="1"/>
      <c r="AGG114" s="1"/>
      <c r="AGH114" s="1"/>
      <c r="AGI114" s="1"/>
      <c r="AGJ114" s="1"/>
      <c r="AGK114" s="1"/>
      <c r="AGL114" s="1"/>
      <c r="AGM114" s="1"/>
      <c r="AGN114" s="1"/>
      <c r="AGO114" s="1"/>
      <c r="AGP114" s="1"/>
      <c r="AGQ114" s="1"/>
      <c r="AGR114" s="1"/>
      <c r="AGS114" s="1"/>
      <c r="AGT114" s="1"/>
      <c r="AGU114" s="1"/>
      <c r="AGV114" s="1"/>
      <c r="AGW114" s="1"/>
      <c r="AGX114" s="1"/>
      <c r="AGY114" s="1"/>
      <c r="AGZ114" s="1"/>
      <c r="AHA114" s="1"/>
      <c r="AHB114" s="1"/>
      <c r="AHC114" s="1"/>
      <c r="AHD114" s="1"/>
      <c r="AHE114" s="1"/>
      <c r="AHF114" s="1"/>
      <c r="AHG114" s="1"/>
      <c r="AHH114" s="1"/>
      <c r="AHI114" s="1"/>
      <c r="AHJ114" s="1"/>
      <c r="AHK114" s="1"/>
      <c r="AHL114" s="1"/>
      <c r="AHM114" s="1"/>
      <c r="AHN114" s="1"/>
      <c r="AHO114" s="1"/>
      <c r="AHP114" s="1"/>
      <c r="AHQ114" s="1"/>
      <c r="AHR114" s="1"/>
      <c r="AHS114" s="1"/>
      <c r="AHT114" s="1"/>
      <c r="AHU114" s="1"/>
      <c r="AHV114" s="1"/>
      <c r="AHW114" s="1"/>
      <c r="AHX114" s="1"/>
      <c r="AHY114" s="1"/>
      <c r="AHZ114" s="1"/>
      <c r="AIA114" s="1"/>
      <c r="AIB114" s="1"/>
      <c r="AIC114" s="1"/>
      <c r="AID114" s="1"/>
      <c r="AIE114" s="1"/>
      <c r="AIF114" s="1"/>
      <c r="AIG114" s="1"/>
      <c r="AIH114" s="1"/>
      <c r="AII114" s="1"/>
      <c r="AIJ114" s="1"/>
      <c r="AIK114" s="1"/>
      <c r="AIL114" s="1"/>
      <c r="AIM114" s="1"/>
      <c r="AIN114" s="1"/>
      <c r="AIO114" s="1"/>
      <c r="AIP114" s="1"/>
      <c r="AIQ114" s="1"/>
      <c r="AIR114" s="1"/>
      <c r="AIS114" s="1"/>
      <c r="AIT114" s="1"/>
      <c r="AIU114" s="1"/>
      <c r="AIV114" s="1"/>
      <c r="AIW114" s="1"/>
      <c r="AIX114" s="1"/>
      <c r="AIY114" s="1"/>
      <c r="AIZ114" s="1"/>
      <c r="AJA114" s="1"/>
      <c r="AJB114" s="1"/>
      <c r="AJC114" s="1"/>
      <c r="AJD114" s="1"/>
      <c r="AJE114" s="1"/>
      <c r="AJF114" s="1"/>
      <c r="AJG114" s="1"/>
      <c r="AJH114" s="1"/>
      <c r="AJI114" s="1"/>
      <c r="AJJ114" s="1"/>
      <c r="AJK114" s="1"/>
      <c r="AJL114" s="1"/>
      <c r="AJM114" s="1"/>
      <c r="AJN114" s="1"/>
      <c r="AJO114" s="1"/>
      <c r="AJP114" s="1"/>
      <c r="AJQ114" s="1"/>
      <c r="AJR114" s="1"/>
      <c r="AJS114" s="1"/>
      <c r="AJT114" s="1"/>
      <c r="AJU114" s="1"/>
      <c r="AJV114" s="1"/>
      <c r="AJW114" s="1"/>
      <c r="AJX114" s="1"/>
      <c r="AJY114" s="1"/>
      <c r="AJZ114" s="1"/>
      <c r="AKA114" s="1"/>
      <c r="AKB114" s="1"/>
      <c r="AKC114" s="1"/>
      <c r="AKD114" s="1"/>
      <c r="AKE114" s="1"/>
      <c r="AKF114" s="1"/>
      <c r="AKG114" s="1"/>
      <c r="AKH114" s="1"/>
      <c r="AKI114" s="1"/>
      <c r="AKJ114" s="1"/>
      <c r="AKK114" s="1"/>
      <c r="AKL114" s="1"/>
      <c r="AKM114" s="1"/>
      <c r="AKN114" s="1"/>
      <c r="AKO114" s="1"/>
      <c r="AKP114" s="1"/>
      <c r="AKQ114" s="1"/>
      <c r="AKR114" s="1"/>
      <c r="AKS114" s="1"/>
      <c r="AKT114" s="1"/>
      <c r="AKU114" s="1"/>
      <c r="AKV114" s="1"/>
      <c r="AKW114" s="1"/>
      <c r="AKX114" s="1"/>
      <c r="AKY114" s="1"/>
      <c r="AKZ114" s="1"/>
      <c r="ALA114" s="1"/>
      <c r="ALB114" s="1"/>
      <c r="ALC114" s="1"/>
      <c r="ALD114" s="1"/>
      <c r="ALE114" s="1"/>
      <c r="ALF114" s="1"/>
      <c r="ALG114" s="1"/>
      <c r="ALH114" s="1"/>
      <c r="ALI114" s="1"/>
      <c r="ALJ114" s="1"/>
      <c r="ALK114" s="1"/>
      <c r="ALL114" s="1"/>
      <c r="ALM114" s="1"/>
      <c r="ALN114" s="1"/>
      <c r="ALO114" s="1"/>
      <c r="ALP114" s="1"/>
      <c r="ALQ114" s="1"/>
      <c r="ALR114" s="1"/>
      <c r="ALS114" s="1"/>
      <c r="ALT114" s="1"/>
      <c r="ALU114" s="1"/>
      <c r="ALV114" s="1"/>
      <c r="ALW114" s="1"/>
      <c r="ALX114" s="1"/>
      <c r="ALY114" s="1"/>
      <c r="ALZ114" s="1"/>
      <c r="AMA114" s="1"/>
      <c r="AMB114" s="1"/>
      <c r="AMC114" s="1"/>
      <c r="AMD114" s="1"/>
      <c r="AME114" s="1"/>
      <c r="AMF114" s="1"/>
      <c r="AMG114" s="1"/>
      <c r="AMH114" s="1"/>
      <c r="AMI114" s="1"/>
      <c r="AMJ114" s="1"/>
    </row>
    <row r="115" customFormat="false" ht="10.5" hidden="false" customHeight="true" outlineLevel="0" collapsed="false">
      <c r="A115" s="147"/>
      <c r="B115" s="128"/>
      <c r="C115" s="26"/>
      <c r="D115" s="26"/>
      <c r="E115" s="26"/>
      <c r="F115" s="26"/>
      <c r="G115" s="26"/>
      <c r="H115" s="26"/>
      <c r="I115" s="26"/>
      <c r="J115" s="26"/>
      <c r="K115" s="26"/>
      <c r="L115" s="26"/>
      <c r="M115" s="26"/>
      <c r="N115" s="26"/>
      <c r="O115" s="26"/>
      <c r="P115" s="26"/>
      <c r="Q115" s="26"/>
      <c r="R115" s="26"/>
      <c r="S115" s="26"/>
      <c r="T115" s="26"/>
      <c r="U115" s="128"/>
      <c r="V115" s="128"/>
      <c r="W115" s="128"/>
      <c r="X115" s="128"/>
      <c r="Y115" s="128"/>
      <c r="Z115" s="128"/>
      <c r="AA115" s="128"/>
      <c r="AB115" s="128"/>
      <c r="AC115" s="128"/>
      <c r="AD115" s="128"/>
      <c r="AE115" s="128"/>
      <c r="AF115" s="128"/>
      <c r="AG115" s="128"/>
      <c r="AH115" s="128"/>
      <c r="AI115" s="148"/>
      <c r="AJ115" s="148"/>
      <c r="AK115" s="148"/>
      <c r="AL115" s="148"/>
      <c r="AM115" s="148"/>
      <c r="AN115" s="148"/>
      <c r="AO115" s="149"/>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c r="OP115" s="1"/>
      <c r="OQ115" s="1"/>
      <c r="OR115" s="1"/>
      <c r="OS115" s="1"/>
      <c r="OT115" s="1"/>
      <c r="OU115" s="1"/>
      <c r="OV115" s="1"/>
      <c r="OW115" s="1"/>
      <c r="OX115" s="1"/>
      <c r="OY115" s="1"/>
      <c r="OZ115" s="1"/>
      <c r="PA115" s="1"/>
      <c r="PB115" s="1"/>
      <c r="PC115" s="1"/>
      <c r="PD115" s="1"/>
      <c r="PE115" s="1"/>
      <c r="PF115" s="1"/>
      <c r="PG115" s="1"/>
      <c r="PH115" s="1"/>
      <c r="PI115" s="1"/>
      <c r="PJ115" s="1"/>
      <c r="PK115" s="1"/>
      <c r="PL115" s="1"/>
      <c r="PM115" s="1"/>
      <c r="PN115" s="1"/>
      <c r="PO115" s="1"/>
      <c r="PP115" s="1"/>
      <c r="PQ115" s="1"/>
      <c r="PR115" s="1"/>
      <c r="PS115" s="1"/>
      <c r="PT115" s="1"/>
      <c r="PU115" s="1"/>
      <c r="PV115" s="1"/>
      <c r="PW115" s="1"/>
      <c r="PX115" s="1"/>
      <c r="PY115" s="1"/>
      <c r="PZ115" s="1"/>
      <c r="QA115" s="1"/>
      <c r="QB115" s="1"/>
      <c r="QC115" s="1"/>
      <c r="QD115" s="1"/>
      <c r="QE115" s="1"/>
      <c r="QF115" s="1"/>
      <c r="QG115" s="1"/>
      <c r="QH115" s="1"/>
      <c r="QI115" s="1"/>
      <c r="QJ115" s="1"/>
      <c r="QK115" s="1"/>
      <c r="QL115" s="1"/>
      <c r="QM115" s="1"/>
      <c r="QN115" s="1"/>
      <c r="QO115" s="1"/>
      <c r="QP115" s="1"/>
      <c r="QQ115" s="1"/>
      <c r="QR115" s="1"/>
      <c r="QS115" s="1"/>
      <c r="QT115" s="1"/>
      <c r="QU115" s="1"/>
      <c r="QV115" s="1"/>
      <c r="QW115" s="1"/>
      <c r="QX115" s="1"/>
      <c r="QY115" s="1"/>
      <c r="QZ115" s="1"/>
      <c r="RA115" s="1"/>
      <c r="RB115" s="1"/>
      <c r="RC115" s="1"/>
      <c r="RD115" s="1"/>
      <c r="RE115" s="1"/>
      <c r="RF115" s="1"/>
      <c r="RG115" s="1"/>
      <c r="RH115" s="1"/>
      <c r="RI115" s="1"/>
      <c r="RJ115" s="1"/>
      <c r="RK115" s="1"/>
      <c r="RL115" s="1"/>
      <c r="RM115" s="1"/>
      <c r="RN115" s="1"/>
      <c r="RO115" s="1"/>
      <c r="RP115" s="1"/>
      <c r="RQ115" s="1"/>
      <c r="RR115" s="1"/>
      <c r="RS115" s="1"/>
      <c r="RT115" s="1"/>
      <c r="RU115" s="1"/>
      <c r="RV115" s="1"/>
      <c r="RW115" s="1"/>
      <c r="RX115" s="1"/>
      <c r="RY115" s="1"/>
      <c r="RZ115" s="1"/>
      <c r="SA115" s="1"/>
      <c r="SB115" s="1"/>
      <c r="SC115" s="1"/>
      <c r="SD115" s="1"/>
      <c r="SE115" s="1"/>
      <c r="SF115" s="1"/>
      <c r="SG115" s="1"/>
      <c r="SH115" s="1"/>
      <c r="SI115" s="1"/>
      <c r="SJ115" s="1"/>
      <c r="SK115" s="1"/>
      <c r="SL115" s="1"/>
      <c r="SM115" s="1"/>
      <c r="SN115" s="1"/>
      <c r="SO115" s="1"/>
      <c r="SP115" s="1"/>
      <c r="SQ115" s="1"/>
      <c r="SR115" s="1"/>
      <c r="SS115" s="1"/>
      <c r="ST115" s="1"/>
      <c r="SU115" s="1"/>
      <c r="SV115" s="1"/>
      <c r="SW115" s="1"/>
      <c r="SX115" s="1"/>
      <c r="SY115" s="1"/>
      <c r="SZ115" s="1"/>
      <c r="TA115" s="1"/>
      <c r="TB115" s="1"/>
      <c r="TC115" s="1"/>
      <c r="TD115" s="1"/>
      <c r="TE115" s="1"/>
      <c r="TF115" s="1"/>
      <c r="TG115" s="1"/>
      <c r="TH115" s="1"/>
      <c r="TI115" s="1"/>
      <c r="TJ115" s="1"/>
      <c r="TK115" s="1"/>
      <c r="TL115" s="1"/>
      <c r="TM115" s="1"/>
      <c r="TN115" s="1"/>
      <c r="TO115" s="1"/>
      <c r="TP115" s="1"/>
      <c r="TQ115" s="1"/>
      <c r="TR115" s="1"/>
      <c r="TS115" s="1"/>
      <c r="TT115" s="1"/>
      <c r="TU115" s="1"/>
      <c r="TV115" s="1"/>
      <c r="TW115" s="1"/>
      <c r="TX115" s="1"/>
      <c r="TY115" s="1"/>
      <c r="TZ115" s="1"/>
      <c r="UA115" s="1"/>
      <c r="UB115" s="1"/>
      <c r="UC115" s="1"/>
      <c r="UD115" s="1"/>
      <c r="UE115" s="1"/>
      <c r="UF115" s="1"/>
      <c r="UG115" s="1"/>
      <c r="UH115" s="1"/>
      <c r="UI115" s="1"/>
      <c r="UJ115" s="1"/>
      <c r="UK115" s="1"/>
      <c r="UL115" s="1"/>
      <c r="UM115" s="1"/>
      <c r="UN115" s="1"/>
      <c r="UO115" s="1"/>
      <c r="UP115" s="1"/>
      <c r="UQ115" s="1"/>
      <c r="UR115" s="1"/>
      <c r="US115" s="1"/>
      <c r="UT115" s="1"/>
      <c r="UU115" s="1"/>
      <c r="UV115" s="1"/>
      <c r="UW115" s="1"/>
      <c r="UX115" s="1"/>
      <c r="UY115" s="1"/>
      <c r="UZ115" s="1"/>
      <c r="VA115" s="1"/>
      <c r="VB115" s="1"/>
      <c r="VC115" s="1"/>
      <c r="VD115" s="1"/>
      <c r="VE115" s="1"/>
      <c r="VF115" s="1"/>
      <c r="VG115" s="1"/>
      <c r="VH115" s="1"/>
      <c r="VI115" s="1"/>
      <c r="VJ115" s="1"/>
      <c r="VK115" s="1"/>
      <c r="VL115" s="1"/>
      <c r="VM115" s="1"/>
      <c r="VN115" s="1"/>
      <c r="VO115" s="1"/>
      <c r="VP115" s="1"/>
      <c r="VQ115" s="1"/>
      <c r="VR115" s="1"/>
      <c r="VS115" s="1"/>
      <c r="VT115" s="1"/>
      <c r="VU115" s="1"/>
      <c r="VV115" s="1"/>
      <c r="VW115" s="1"/>
      <c r="VX115" s="1"/>
      <c r="VY115" s="1"/>
      <c r="VZ115" s="1"/>
      <c r="WA115" s="1"/>
      <c r="WB115" s="1"/>
      <c r="WC115" s="1"/>
      <c r="WD115" s="1"/>
      <c r="WE115" s="1"/>
      <c r="WF115" s="1"/>
      <c r="WG115" s="1"/>
      <c r="WH115" s="1"/>
      <c r="WI115" s="1"/>
      <c r="WJ115" s="1"/>
      <c r="WK115" s="1"/>
      <c r="WL115" s="1"/>
      <c r="WM115" s="1"/>
      <c r="WN115" s="1"/>
      <c r="WO115" s="1"/>
      <c r="WP115" s="1"/>
      <c r="WQ115" s="1"/>
      <c r="WR115" s="1"/>
      <c r="WS115" s="1"/>
      <c r="WT115" s="1"/>
      <c r="WU115" s="1"/>
      <c r="WV115" s="1"/>
      <c r="WW115" s="1"/>
      <c r="WX115" s="1"/>
      <c r="WY115" s="1"/>
      <c r="WZ115" s="1"/>
      <c r="XA115" s="1"/>
      <c r="XB115" s="1"/>
      <c r="XC115" s="1"/>
      <c r="XD115" s="1"/>
      <c r="XE115" s="1"/>
      <c r="XF115" s="1"/>
      <c r="XG115" s="1"/>
      <c r="XH115" s="1"/>
      <c r="XI115" s="1"/>
      <c r="XJ115" s="1"/>
      <c r="XK115" s="1"/>
      <c r="XL115" s="1"/>
      <c r="XM115" s="1"/>
      <c r="XN115" s="1"/>
      <c r="XO115" s="1"/>
      <c r="XP115" s="1"/>
      <c r="XQ115" s="1"/>
      <c r="XR115" s="1"/>
      <c r="XS115" s="1"/>
      <c r="XT115" s="1"/>
      <c r="XU115" s="1"/>
      <c r="XV115" s="1"/>
      <c r="XW115" s="1"/>
      <c r="XX115" s="1"/>
      <c r="XY115" s="1"/>
      <c r="XZ115" s="1"/>
      <c r="YA115" s="1"/>
      <c r="YB115" s="1"/>
      <c r="YC115" s="1"/>
      <c r="YD115" s="1"/>
      <c r="YE115" s="1"/>
      <c r="YF115" s="1"/>
      <c r="YG115" s="1"/>
      <c r="YH115" s="1"/>
      <c r="YI115" s="1"/>
      <c r="YJ115" s="1"/>
      <c r="YK115" s="1"/>
      <c r="YL115" s="1"/>
      <c r="YM115" s="1"/>
      <c r="YN115" s="1"/>
      <c r="YO115" s="1"/>
      <c r="YP115" s="1"/>
      <c r="YQ115" s="1"/>
      <c r="YR115" s="1"/>
      <c r="YS115" s="1"/>
      <c r="YT115" s="1"/>
      <c r="YU115" s="1"/>
      <c r="YV115" s="1"/>
      <c r="YW115" s="1"/>
      <c r="YX115" s="1"/>
      <c r="YY115" s="1"/>
      <c r="YZ115" s="1"/>
      <c r="ZA115" s="1"/>
      <c r="ZB115" s="1"/>
      <c r="ZC115" s="1"/>
      <c r="ZD115" s="1"/>
      <c r="ZE115" s="1"/>
      <c r="ZF115" s="1"/>
      <c r="ZG115" s="1"/>
      <c r="ZH115" s="1"/>
      <c r="ZI115" s="1"/>
      <c r="ZJ115" s="1"/>
      <c r="ZK115" s="1"/>
      <c r="ZL115" s="1"/>
      <c r="ZM115" s="1"/>
      <c r="ZN115" s="1"/>
      <c r="ZO115" s="1"/>
      <c r="ZP115" s="1"/>
      <c r="ZQ115" s="1"/>
      <c r="ZR115" s="1"/>
      <c r="ZS115" s="1"/>
      <c r="ZT115" s="1"/>
      <c r="ZU115" s="1"/>
      <c r="ZV115" s="1"/>
      <c r="ZW115" s="1"/>
      <c r="ZX115" s="1"/>
      <c r="ZY115" s="1"/>
      <c r="ZZ115" s="1"/>
      <c r="AAA115" s="1"/>
      <c r="AAB115" s="1"/>
      <c r="AAC115" s="1"/>
      <c r="AAD115" s="1"/>
      <c r="AAE115" s="1"/>
      <c r="AAF115" s="1"/>
      <c r="AAG115" s="1"/>
      <c r="AAH115" s="1"/>
      <c r="AAI115" s="1"/>
      <c r="AAJ115" s="1"/>
      <c r="AAK115" s="1"/>
      <c r="AAL115" s="1"/>
      <c r="AAM115" s="1"/>
      <c r="AAN115" s="1"/>
      <c r="AAO115" s="1"/>
      <c r="AAP115" s="1"/>
      <c r="AAQ115" s="1"/>
      <c r="AAR115" s="1"/>
      <c r="AAS115" s="1"/>
      <c r="AAT115" s="1"/>
      <c r="AAU115" s="1"/>
      <c r="AAV115" s="1"/>
      <c r="AAW115" s="1"/>
      <c r="AAX115" s="1"/>
      <c r="AAY115" s="1"/>
      <c r="AAZ115" s="1"/>
      <c r="ABA115" s="1"/>
      <c r="ABB115" s="1"/>
      <c r="ABC115" s="1"/>
      <c r="ABD115" s="1"/>
      <c r="ABE115" s="1"/>
      <c r="ABF115" s="1"/>
      <c r="ABG115" s="1"/>
      <c r="ABH115" s="1"/>
      <c r="ABI115" s="1"/>
      <c r="ABJ115" s="1"/>
      <c r="ABK115" s="1"/>
      <c r="ABL115" s="1"/>
      <c r="ABM115" s="1"/>
      <c r="ABN115" s="1"/>
      <c r="ABO115" s="1"/>
      <c r="ABP115" s="1"/>
      <c r="ABQ115" s="1"/>
      <c r="ABR115" s="1"/>
      <c r="ABS115" s="1"/>
      <c r="ABT115" s="1"/>
      <c r="ABU115" s="1"/>
      <c r="ABV115" s="1"/>
      <c r="ABW115" s="1"/>
      <c r="ABX115" s="1"/>
      <c r="ABY115" s="1"/>
      <c r="ABZ115" s="1"/>
      <c r="ACA115" s="1"/>
      <c r="ACB115" s="1"/>
      <c r="ACC115" s="1"/>
      <c r="ACD115" s="1"/>
      <c r="ACE115" s="1"/>
      <c r="ACF115" s="1"/>
      <c r="ACG115" s="1"/>
      <c r="ACH115" s="1"/>
      <c r="ACI115" s="1"/>
      <c r="ACJ115" s="1"/>
      <c r="ACK115" s="1"/>
      <c r="ACL115" s="1"/>
      <c r="ACM115" s="1"/>
      <c r="ACN115" s="1"/>
      <c r="ACO115" s="1"/>
      <c r="ACP115" s="1"/>
      <c r="ACQ115" s="1"/>
      <c r="ACR115" s="1"/>
      <c r="ACS115" s="1"/>
      <c r="ACT115" s="1"/>
      <c r="ACU115" s="1"/>
      <c r="ACV115" s="1"/>
      <c r="ACW115" s="1"/>
      <c r="ACX115" s="1"/>
      <c r="ACY115" s="1"/>
      <c r="ACZ115" s="1"/>
      <c r="ADA115" s="1"/>
      <c r="ADB115" s="1"/>
      <c r="ADC115" s="1"/>
      <c r="ADD115" s="1"/>
      <c r="ADE115" s="1"/>
      <c r="ADF115" s="1"/>
      <c r="ADG115" s="1"/>
      <c r="ADH115" s="1"/>
      <c r="ADI115" s="1"/>
      <c r="ADJ115" s="1"/>
      <c r="ADK115" s="1"/>
      <c r="ADL115" s="1"/>
      <c r="ADM115" s="1"/>
      <c r="ADN115" s="1"/>
      <c r="ADO115" s="1"/>
      <c r="ADP115" s="1"/>
      <c r="ADQ115" s="1"/>
      <c r="ADR115" s="1"/>
      <c r="ADS115" s="1"/>
      <c r="ADT115" s="1"/>
      <c r="ADU115" s="1"/>
      <c r="ADV115" s="1"/>
      <c r="ADW115" s="1"/>
      <c r="ADX115" s="1"/>
      <c r="ADY115" s="1"/>
      <c r="ADZ115" s="1"/>
      <c r="AEA115" s="1"/>
      <c r="AEB115" s="1"/>
      <c r="AEC115" s="1"/>
      <c r="AED115" s="1"/>
      <c r="AEE115" s="1"/>
      <c r="AEF115" s="1"/>
      <c r="AEG115" s="1"/>
      <c r="AEH115" s="1"/>
      <c r="AEI115" s="1"/>
      <c r="AEJ115" s="1"/>
      <c r="AEK115" s="1"/>
      <c r="AEL115" s="1"/>
      <c r="AEM115" s="1"/>
      <c r="AEN115" s="1"/>
      <c r="AEO115" s="1"/>
      <c r="AEP115" s="1"/>
      <c r="AEQ115" s="1"/>
      <c r="AER115" s="1"/>
      <c r="AES115" s="1"/>
      <c r="AET115" s="1"/>
      <c r="AEU115" s="1"/>
      <c r="AEV115" s="1"/>
      <c r="AEW115" s="1"/>
      <c r="AEX115" s="1"/>
      <c r="AEY115" s="1"/>
      <c r="AEZ115" s="1"/>
      <c r="AFA115" s="1"/>
      <c r="AFB115" s="1"/>
      <c r="AFC115" s="1"/>
      <c r="AFD115" s="1"/>
      <c r="AFE115" s="1"/>
      <c r="AFF115" s="1"/>
      <c r="AFG115" s="1"/>
      <c r="AFH115" s="1"/>
      <c r="AFI115" s="1"/>
      <c r="AFJ115" s="1"/>
      <c r="AFK115" s="1"/>
      <c r="AFL115" s="1"/>
      <c r="AFM115" s="1"/>
      <c r="AFN115" s="1"/>
      <c r="AFO115" s="1"/>
      <c r="AFP115" s="1"/>
      <c r="AFQ115" s="1"/>
      <c r="AFR115" s="1"/>
      <c r="AFS115" s="1"/>
      <c r="AFT115" s="1"/>
      <c r="AFU115" s="1"/>
      <c r="AFV115" s="1"/>
      <c r="AFW115" s="1"/>
      <c r="AFX115" s="1"/>
      <c r="AFY115" s="1"/>
      <c r="AFZ115" s="1"/>
      <c r="AGA115" s="1"/>
      <c r="AGB115" s="1"/>
      <c r="AGC115" s="1"/>
      <c r="AGD115" s="1"/>
      <c r="AGE115" s="1"/>
      <c r="AGF115" s="1"/>
      <c r="AGG115" s="1"/>
      <c r="AGH115" s="1"/>
      <c r="AGI115" s="1"/>
      <c r="AGJ115" s="1"/>
      <c r="AGK115" s="1"/>
      <c r="AGL115" s="1"/>
      <c r="AGM115" s="1"/>
      <c r="AGN115" s="1"/>
      <c r="AGO115" s="1"/>
      <c r="AGP115" s="1"/>
      <c r="AGQ115" s="1"/>
      <c r="AGR115" s="1"/>
      <c r="AGS115" s="1"/>
      <c r="AGT115" s="1"/>
      <c r="AGU115" s="1"/>
      <c r="AGV115" s="1"/>
      <c r="AGW115" s="1"/>
      <c r="AGX115" s="1"/>
      <c r="AGY115" s="1"/>
      <c r="AGZ115" s="1"/>
      <c r="AHA115" s="1"/>
      <c r="AHB115" s="1"/>
      <c r="AHC115" s="1"/>
      <c r="AHD115" s="1"/>
      <c r="AHE115" s="1"/>
      <c r="AHF115" s="1"/>
      <c r="AHG115" s="1"/>
      <c r="AHH115" s="1"/>
      <c r="AHI115" s="1"/>
      <c r="AHJ115" s="1"/>
      <c r="AHK115" s="1"/>
      <c r="AHL115" s="1"/>
      <c r="AHM115" s="1"/>
      <c r="AHN115" s="1"/>
      <c r="AHO115" s="1"/>
      <c r="AHP115" s="1"/>
      <c r="AHQ115" s="1"/>
      <c r="AHR115" s="1"/>
      <c r="AHS115" s="1"/>
      <c r="AHT115" s="1"/>
      <c r="AHU115" s="1"/>
      <c r="AHV115" s="1"/>
      <c r="AHW115" s="1"/>
      <c r="AHX115" s="1"/>
      <c r="AHY115" s="1"/>
      <c r="AHZ115" s="1"/>
      <c r="AIA115" s="1"/>
      <c r="AIB115" s="1"/>
      <c r="AIC115" s="1"/>
      <c r="AID115" s="1"/>
      <c r="AIE115" s="1"/>
      <c r="AIF115" s="1"/>
      <c r="AIG115" s="1"/>
      <c r="AIH115" s="1"/>
      <c r="AII115" s="1"/>
      <c r="AIJ115" s="1"/>
      <c r="AIK115" s="1"/>
      <c r="AIL115" s="1"/>
      <c r="AIM115" s="1"/>
      <c r="AIN115" s="1"/>
      <c r="AIO115" s="1"/>
      <c r="AIP115" s="1"/>
      <c r="AIQ115" s="1"/>
      <c r="AIR115" s="1"/>
      <c r="AIS115" s="1"/>
      <c r="AIT115" s="1"/>
      <c r="AIU115" s="1"/>
      <c r="AIV115" s="1"/>
      <c r="AIW115" s="1"/>
      <c r="AIX115" s="1"/>
      <c r="AIY115" s="1"/>
      <c r="AIZ115" s="1"/>
      <c r="AJA115" s="1"/>
      <c r="AJB115" s="1"/>
      <c r="AJC115" s="1"/>
      <c r="AJD115" s="1"/>
      <c r="AJE115" s="1"/>
      <c r="AJF115" s="1"/>
      <c r="AJG115" s="1"/>
      <c r="AJH115" s="1"/>
      <c r="AJI115" s="1"/>
      <c r="AJJ115" s="1"/>
      <c r="AJK115" s="1"/>
      <c r="AJL115" s="1"/>
      <c r="AJM115" s="1"/>
      <c r="AJN115" s="1"/>
      <c r="AJO115" s="1"/>
      <c r="AJP115" s="1"/>
      <c r="AJQ115" s="1"/>
      <c r="AJR115" s="1"/>
      <c r="AJS115" s="1"/>
      <c r="AJT115" s="1"/>
      <c r="AJU115" s="1"/>
      <c r="AJV115" s="1"/>
      <c r="AJW115" s="1"/>
      <c r="AJX115" s="1"/>
      <c r="AJY115" s="1"/>
      <c r="AJZ115" s="1"/>
      <c r="AKA115" s="1"/>
      <c r="AKB115" s="1"/>
      <c r="AKC115" s="1"/>
      <c r="AKD115" s="1"/>
      <c r="AKE115" s="1"/>
      <c r="AKF115" s="1"/>
      <c r="AKG115" s="1"/>
      <c r="AKH115" s="1"/>
      <c r="AKI115" s="1"/>
      <c r="AKJ115" s="1"/>
      <c r="AKK115" s="1"/>
      <c r="AKL115" s="1"/>
      <c r="AKM115" s="1"/>
      <c r="AKN115" s="1"/>
      <c r="AKO115" s="1"/>
      <c r="AKP115" s="1"/>
      <c r="AKQ115" s="1"/>
      <c r="AKR115" s="1"/>
      <c r="AKS115" s="1"/>
      <c r="AKT115" s="1"/>
      <c r="AKU115" s="1"/>
      <c r="AKV115" s="1"/>
      <c r="AKW115" s="1"/>
      <c r="AKX115" s="1"/>
      <c r="AKY115" s="1"/>
      <c r="AKZ115" s="1"/>
      <c r="ALA115" s="1"/>
      <c r="ALB115" s="1"/>
      <c r="ALC115" s="1"/>
      <c r="ALD115" s="1"/>
      <c r="ALE115" s="1"/>
      <c r="ALF115" s="1"/>
      <c r="ALG115" s="1"/>
      <c r="ALH115" s="1"/>
      <c r="ALI115" s="1"/>
      <c r="ALJ115" s="1"/>
      <c r="ALK115" s="1"/>
      <c r="ALL115" s="1"/>
      <c r="ALM115" s="1"/>
      <c r="ALN115" s="1"/>
      <c r="ALO115" s="1"/>
      <c r="ALP115" s="1"/>
      <c r="ALQ115" s="1"/>
      <c r="ALR115" s="1"/>
      <c r="ALS115" s="1"/>
      <c r="ALT115" s="1"/>
      <c r="ALU115" s="1"/>
      <c r="ALV115" s="1"/>
      <c r="ALW115" s="1"/>
      <c r="ALX115" s="1"/>
      <c r="ALY115" s="1"/>
      <c r="ALZ115" s="1"/>
      <c r="AMA115" s="1"/>
      <c r="AMB115" s="1"/>
      <c r="AMC115" s="1"/>
      <c r="AMD115" s="1"/>
      <c r="AME115" s="1"/>
      <c r="AMF115" s="1"/>
      <c r="AMG115" s="1"/>
      <c r="AMH115" s="1"/>
      <c r="AMI115" s="1"/>
      <c r="AMJ115" s="1"/>
    </row>
    <row r="116" customFormat="false" ht="10.5" hidden="false" customHeight="true" outlineLevel="0" collapsed="false">
      <c r="A116" s="48" t="s">
        <v>243</v>
      </c>
      <c r="B116" s="48"/>
      <c r="C116" s="48"/>
      <c r="D116" s="48"/>
      <c r="E116" s="48"/>
      <c r="F116" s="48"/>
      <c r="G116" s="48"/>
      <c r="H116" s="48"/>
      <c r="I116" s="48"/>
      <c r="J116" s="48"/>
      <c r="K116" s="48"/>
      <c r="L116" s="48"/>
      <c r="M116" s="48"/>
      <c r="N116" s="48"/>
      <c r="O116" s="48"/>
      <c r="P116" s="48"/>
      <c r="Q116" s="48"/>
      <c r="R116" s="48"/>
      <c r="S116" s="48"/>
      <c r="T116" s="48"/>
      <c r="U116" s="48"/>
      <c r="V116" s="48"/>
      <c r="W116" s="48"/>
      <c r="X116" s="48"/>
      <c r="Y116" s="48"/>
      <c r="Z116" s="48"/>
      <c r="AA116" s="48"/>
      <c r="AB116" s="48"/>
      <c r="AC116" s="48"/>
      <c r="AD116" s="48"/>
      <c r="AE116" s="48"/>
      <c r="AF116" s="48"/>
      <c r="AG116" s="48"/>
      <c r="AH116" s="48"/>
      <c r="AI116" s="48"/>
      <c r="AJ116" s="48"/>
      <c r="AK116" s="48"/>
      <c r="AL116" s="48"/>
      <c r="AM116" s="48"/>
      <c r="AN116" s="48"/>
      <c r="AO116" s="48"/>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c r="IX116" s="1"/>
      <c r="IY116" s="1"/>
      <c r="IZ116" s="1"/>
      <c r="JA116" s="1"/>
      <c r="JB116" s="1"/>
      <c r="JC116" s="1"/>
      <c r="JD116" s="1"/>
      <c r="JE116" s="1"/>
      <c r="JF116" s="1"/>
      <c r="JG116" s="1"/>
      <c r="JH116" s="1"/>
      <c r="JI116" s="1"/>
      <c r="JJ116" s="1"/>
      <c r="JK116" s="1"/>
      <c r="JL116" s="1"/>
      <c r="JM116" s="1"/>
      <c r="JN116" s="1"/>
      <c r="JO116" s="1"/>
      <c r="JP116" s="1"/>
      <c r="JQ116" s="1"/>
      <c r="JR116" s="1"/>
      <c r="JS116" s="1"/>
      <c r="JT116" s="1"/>
      <c r="JU116" s="1"/>
      <c r="JV116" s="1"/>
      <c r="JW116" s="1"/>
      <c r="JX116" s="1"/>
      <c r="JY116" s="1"/>
      <c r="JZ116" s="1"/>
      <c r="KA116" s="1"/>
      <c r="KB116" s="1"/>
      <c r="KC116" s="1"/>
      <c r="KD116" s="1"/>
      <c r="KE116" s="1"/>
      <c r="KF116" s="1"/>
      <c r="KG116" s="1"/>
      <c r="KH116" s="1"/>
      <c r="KI116" s="1"/>
      <c r="KJ116" s="1"/>
      <c r="KK116" s="1"/>
      <c r="KL116" s="1"/>
      <c r="KM116" s="1"/>
      <c r="KN116" s="1"/>
      <c r="KO116" s="1"/>
      <c r="KP116" s="1"/>
      <c r="KQ116" s="1"/>
      <c r="KR116" s="1"/>
      <c r="KS116" s="1"/>
      <c r="KT116" s="1"/>
      <c r="KU116" s="1"/>
      <c r="KV116" s="1"/>
      <c r="KW116" s="1"/>
      <c r="KX116" s="1"/>
      <c r="KY116" s="1"/>
      <c r="KZ116" s="1"/>
      <c r="LA116" s="1"/>
      <c r="LB116" s="1"/>
      <c r="LC116" s="1"/>
      <c r="LD116" s="1"/>
      <c r="LE116" s="1"/>
      <c r="LF116" s="1"/>
      <c r="LG116" s="1"/>
      <c r="LH116" s="1"/>
      <c r="LI116" s="1"/>
      <c r="LJ116" s="1"/>
      <c r="LK116" s="1"/>
      <c r="LL116" s="1"/>
      <c r="LM116" s="1"/>
      <c r="LN116" s="1"/>
      <c r="LO116" s="1"/>
      <c r="LP116" s="1"/>
      <c r="LQ116" s="1"/>
      <c r="LR116" s="1"/>
      <c r="LS116" s="1"/>
      <c r="LT116" s="1"/>
      <c r="LU116" s="1"/>
      <c r="LV116" s="1"/>
      <c r="LW116" s="1"/>
      <c r="LX116" s="1"/>
      <c r="LY116" s="1"/>
      <c r="LZ116" s="1"/>
      <c r="MA116" s="1"/>
      <c r="MB116" s="1"/>
      <c r="MC116" s="1"/>
      <c r="MD116" s="1"/>
      <c r="ME116" s="1"/>
      <c r="MF116" s="1"/>
      <c r="MG116" s="1"/>
      <c r="MH116" s="1"/>
      <c r="MI116" s="1"/>
      <c r="MJ116" s="1"/>
      <c r="MK116" s="1"/>
      <c r="ML116" s="1"/>
      <c r="MM116" s="1"/>
      <c r="MN116" s="1"/>
      <c r="MO116" s="1"/>
      <c r="MP116" s="1"/>
      <c r="MQ116" s="1"/>
      <c r="MR116" s="1"/>
      <c r="MS116" s="1"/>
      <c r="MT116" s="1"/>
      <c r="MU116" s="1"/>
      <c r="MV116" s="1"/>
      <c r="MW116" s="1"/>
      <c r="MX116" s="1"/>
      <c r="MY116" s="1"/>
      <c r="MZ116" s="1"/>
      <c r="NA116" s="1"/>
      <c r="NB116" s="1"/>
      <c r="NC116" s="1"/>
      <c r="ND116" s="1"/>
      <c r="NE116" s="1"/>
      <c r="NF116" s="1"/>
      <c r="NG116" s="1"/>
      <c r="NH116" s="1"/>
      <c r="NI116" s="1"/>
      <c r="NJ116" s="1"/>
      <c r="NK116" s="1"/>
      <c r="NL116" s="1"/>
      <c r="NM116" s="1"/>
      <c r="NN116" s="1"/>
      <c r="NO116" s="1"/>
      <c r="NP116" s="1"/>
      <c r="NQ116" s="1"/>
      <c r="NR116" s="1"/>
      <c r="NS116" s="1"/>
      <c r="NT116" s="1"/>
      <c r="NU116" s="1"/>
      <c r="NV116" s="1"/>
      <c r="NW116" s="1"/>
      <c r="NX116" s="1"/>
      <c r="NY116" s="1"/>
      <c r="NZ116" s="1"/>
      <c r="OA116" s="1"/>
      <c r="OB116" s="1"/>
      <c r="OC116" s="1"/>
      <c r="OD116" s="1"/>
      <c r="OE116" s="1"/>
      <c r="OF116" s="1"/>
      <c r="OG116" s="1"/>
      <c r="OH116" s="1"/>
      <c r="OI116" s="1"/>
      <c r="OJ116" s="1"/>
      <c r="OK116" s="1"/>
      <c r="OL116" s="1"/>
      <c r="OM116" s="1"/>
      <c r="ON116" s="1"/>
      <c r="OO116" s="1"/>
      <c r="OP116" s="1"/>
      <c r="OQ116" s="1"/>
      <c r="OR116" s="1"/>
      <c r="OS116" s="1"/>
      <c r="OT116" s="1"/>
      <c r="OU116" s="1"/>
      <c r="OV116" s="1"/>
      <c r="OW116" s="1"/>
      <c r="OX116" s="1"/>
      <c r="OY116" s="1"/>
      <c r="OZ116" s="1"/>
      <c r="PA116" s="1"/>
      <c r="PB116" s="1"/>
      <c r="PC116" s="1"/>
      <c r="PD116" s="1"/>
      <c r="PE116" s="1"/>
      <c r="PF116" s="1"/>
      <c r="PG116" s="1"/>
      <c r="PH116" s="1"/>
      <c r="PI116" s="1"/>
      <c r="PJ116" s="1"/>
      <c r="PK116" s="1"/>
      <c r="PL116" s="1"/>
      <c r="PM116" s="1"/>
      <c r="PN116" s="1"/>
      <c r="PO116" s="1"/>
      <c r="PP116" s="1"/>
      <c r="PQ116" s="1"/>
      <c r="PR116" s="1"/>
      <c r="PS116" s="1"/>
      <c r="PT116" s="1"/>
      <c r="PU116" s="1"/>
      <c r="PV116" s="1"/>
      <c r="PW116" s="1"/>
      <c r="PX116" s="1"/>
      <c r="PY116" s="1"/>
      <c r="PZ116" s="1"/>
      <c r="QA116" s="1"/>
      <c r="QB116" s="1"/>
      <c r="QC116" s="1"/>
      <c r="QD116" s="1"/>
      <c r="QE116" s="1"/>
      <c r="QF116" s="1"/>
      <c r="QG116" s="1"/>
      <c r="QH116" s="1"/>
      <c r="QI116" s="1"/>
      <c r="QJ116" s="1"/>
      <c r="QK116" s="1"/>
      <c r="QL116" s="1"/>
      <c r="QM116" s="1"/>
      <c r="QN116" s="1"/>
      <c r="QO116" s="1"/>
      <c r="QP116" s="1"/>
      <c r="QQ116" s="1"/>
      <c r="QR116" s="1"/>
      <c r="QS116" s="1"/>
      <c r="QT116" s="1"/>
      <c r="QU116" s="1"/>
      <c r="QV116" s="1"/>
      <c r="QW116" s="1"/>
      <c r="QX116" s="1"/>
      <c r="QY116" s="1"/>
      <c r="QZ116" s="1"/>
      <c r="RA116" s="1"/>
      <c r="RB116" s="1"/>
      <c r="RC116" s="1"/>
      <c r="RD116" s="1"/>
      <c r="RE116" s="1"/>
      <c r="RF116" s="1"/>
      <c r="RG116" s="1"/>
      <c r="RH116" s="1"/>
      <c r="RI116" s="1"/>
      <c r="RJ116" s="1"/>
      <c r="RK116" s="1"/>
      <c r="RL116" s="1"/>
      <c r="RM116" s="1"/>
      <c r="RN116" s="1"/>
      <c r="RO116" s="1"/>
      <c r="RP116" s="1"/>
      <c r="RQ116" s="1"/>
      <c r="RR116" s="1"/>
      <c r="RS116" s="1"/>
      <c r="RT116" s="1"/>
      <c r="RU116" s="1"/>
      <c r="RV116" s="1"/>
      <c r="RW116" s="1"/>
      <c r="RX116" s="1"/>
      <c r="RY116" s="1"/>
      <c r="RZ116" s="1"/>
      <c r="SA116" s="1"/>
      <c r="SB116" s="1"/>
      <c r="SC116" s="1"/>
      <c r="SD116" s="1"/>
      <c r="SE116" s="1"/>
      <c r="SF116" s="1"/>
      <c r="SG116" s="1"/>
      <c r="SH116" s="1"/>
      <c r="SI116" s="1"/>
      <c r="SJ116" s="1"/>
      <c r="SK116" s="1"/>
      <c r="SL116" s="1"/>
      <c r="SM116" s="1"/>
      <c r="SN116" s="1"/>
      <c r="SO116" s="1"/>
      <c r="SP116" s="1"/>
      <c r="SQ116" s="1"/>
      <c r="SR116" s="1"/>
      <c r="SS116" s="1"/>
      <c r="ST116" s="1"/>
      <c r="SU116" s="1"/>
      <c r="SV116" s="1"/>
      <c r="SW116" s="1"/>
      <c r="SX116" s="1"/>
      <c r="SY116" s="1"/>
      <c r="SZ116" s="1"/>
      <c r="TA116" s="1"/>
      <c r="TB116" s="1"/>
      <c r="TC116" s="1"/>
      <c r="TD116" s="1"/>
      <c r="TE116" s="1"/>
      <c r="TF116" s="1"/>
      <c r="TG116" s="1"/>
      <c r="TH116" s="1"/>
      <c r="TI116" s="1"/>
      <c r="TJ116" s="1"/>
      <c r="TK116" s="1"/>
      <c r="TL116" s="1"/>
      <c r="TM116" s="1"/>
      <c r="TN116" s="1"/>
      <c r="TO116" s="1"/>
      <c r="TP116" s="1"/>
      <c r="TQ116" s="1"/>
      <c r="TR116" s="1"/>
      <c r="TS116" s="1"/>
      <c r="TT116" s="1"/>
      <c r="TU116" s="1"/>
      <c r="TV116" s="1"/>
      <c r="TW116" s="1"/>
      <c r="TX116" s="1"/>
      <c r="TY116" s="1"/>
      <c r="TZ116" s="1"/>
      <c r="UA116" s="1"/>
      <c r="UB116" s="1"/>
      <c r="UC116" s="1"/>
      <c r="UD116" s="1"/>
      <c r="UE116" s="1"/>
      <c r="UF116" s="1"/>
      <c r="UG116" s="1"/>
      <c r="UH116" s="1"/>
      <c r="UI116" s="1"/>
      <c r="UJ116" s="1"/>
      <c r="UK116" s="1"/>
      <c r="UL116" s="1"/>
      <c r="UM116" s="1"/>
      <c r="UN116" s="1"/>
      <c r="UO116" s="1"/>
      <c r="UP116" s="1"/>
      <c r="UQ116" s="1"/>
      <c r="UR116" s="1"/>
      <c r="US116" s="1"/>
      <c r="UT116" s="1"/>
      <c r="UU116" s="1"/>
      <c r="UV116" s="1"/>
      <c r="UW116" s="1"/>
      <c r="UX116" s="1"/>
      <c r="UY116" s="1"/>
      <c r="UZ116" s="1"/>
      <c r="VA116" s="1"/>
      <c r="VB116" s="1"/>
      <c r="VC116" s="1"/>
      <c r="VD116" s="1"/>
      <c r="VE116" s="1"/>
      <c r="VF116" s="1"/>
      <c r="VG116" s="1"/>
      <c r="VH116" s="1"/>
      <c r="VI116" s="1"/>
      <c r="VJ116" s="1"/>
      <c r="VK116" s="1"/>
      <c r="VL116" s="1"/>
      <c r="VM116" s="1"/>
      <c r="VN116" s="1"/>
      <c r="VO116" s="1"/>
      <c r="VP116" s="1"/>
      <c r="VQ116" s="1"/>
      <c r="VR116" s="1"/>
      <c r="VS116" s="1"/>
      <c r="VT116" s="1"/>
      <c r="VU116" s="1"/>
      <c r="VV116" s="1"/>
      <c r="VW116" s="1"/>
      <c r="VX116" s="1"/>
      <c r="VY116" s="1"/>
      <c r="VZ116" s="1"/>
      <c r="WA116" s="1"/>
      <c r="WB116" s="1"/>
      <c r="WC116" s="1"/>
      <c r="WD116" s="1"/>
      <c r="WE116" s="1"/>
      <c r="WF116" s="1"/>
      <c r="WG116" s="1"/>
      <c r="WH116" s="1"/>
      <c r="WI116" s="1"/>
      <c r="WJ116" s="1"/>
      <c r="WK116" s="1"/>
      <c r="WL116" s="1"/>
      <c r="WM116" s="1"/>
      <c r="WN116" s="1"/>
      <c r="WO116" s="1"/>
      <c r="WP116" s="1"/>
      <c r="WQ116" s="1"/>
      <c r="WR116" s="1"/>
      <c r="WS116" s="1"/>
      <c r="WT116" s="1"/>
      <c r="WU116" s="1"/>
      <c r="WV116" s="1"/>
      <c r="WW116" s="1"/>
      <c r="WX116" s="1"/>
      <c r="WY116" s="1"/>
      <c r="WZ116" s="1"/>
      <c r="XA116" s="1"/>
      <c r="XB116" s="1"/>
      <c r="XC116" s="1"/>
      <c r="XD116" s="1"/>
      <c r="XE116" s="1"/>
      <c r="XF116" s="1"/>
      <c r="XG116" s="1"/>
      <c r="XH116" s="1"/>
      <c r="XI116" s="1"/>
      <c r="XJ116" s="1"/>
      <c r="XK116" s="1"/>
      <c r="XL116" s="1"/>
      <c r="XM116" s="1"/>
      <c r="XN116" s="1"/>
      <c r="XO116" s="1"/>
      <c r="XP116" s="1"/>
      <c r="XQ116" s="1"/>
      <c r="XR116" s="1"/>
      <c r="XS116" s="1"/>
      <c r="XT116" s="1"/>
      <c r="XU116" s="1"/>
      <c r="XV116" s="1"/>
      <c r="XW116" s="1"/>
      <c r="XX116" s="1"/>
      <c r="XY116" s="1"/>
      <c r="XZ116" s="1"/>
      <c r="YA116" s="1"/>
      <c r="YB116" s="1"/>
      <c r="YC116" s="1"/>
      <c r="YD116" s="1"/>
      <c r="YE116" s="1"/>
      <c r="YF116" s="1"/>
      <c r="YG116" s="1"/>
      <c r="YH116" s="1"/>
      <c r="YI116" s="1"/>
      <c r="YJ116" s="1"/>
      <c r="YK116" s="1"/>
      <c r="YL116" s="1"/>
      <c r="YM116" s="1"/>
      <c r="YN116" s="1"/>
      <c r="YO116" s="1"/>
      <c r="YP116" s="1"/>
      <c r="YQ116" s="1"/>
      <c r="YR116" s="1"/>
      <c r="YS116" s="1"/>
      <c r="YT116" s="1"/>
      <c r="YU116" s="1"/>
      <c r="YV116" s="1"/>
      <c r="YW116" s="1"/>
      <c r="YX116" s="1"/>
      <c r="YY116" s="1"/>
      <c r="YZ116" s="1"/>
      <c r="ZA116" s="1"/>
      <c r="ZB116" s="1"/>
      <c r="ZC116" s="1"/>
      <c r="ZD116" s="1"/>
      <c r="ZE116" s="1"/>
      <c r="ZF116" s="1"/>
      <c r="ZG116" s="1"/>
      <c r="ZH116" s="1"/>
      <c r="ZI116" s="1"/>
      <c r="ZJ116" s="1"/>
      <c r="ZK116" s="1"/>
      <c r="ZL116" s="1"/>
      <c r="ZM116" s="1"/>
      <c r="ZN116" s="1"/>
      <c r="ZO116" s="1"/>
      <c r="ZP116" s="1"/>
      <c r="ZQ116" s="1"/>
      <c r="ZR116" s="1"/>
      <c r="ZS116" s="1"/>
      <c r="ZT116" s="1"/>
      <c r="ZU116" s="1"/>
      <c r="ZV116" s="1"/>
      <c r="ZW116" s="1"/>
      <c r="ZX116" s="1"/>
      <c r="ZY116" s="1"/>
      <c r="ZZ116" s="1"/>
      <c r="AAA116" s="1"/>
      <c r="AAB116" s="1"/>
      <c r="AAC116" s="1"/>
      <c r="AAD116" s="1"/>
      <c r="AAE116" s="1"/>
      <c r="AAF116" s="1"/>
      <c r="AAG116" s="1"/>
      <c r="AAH116" s="1"/>
      <c r="AAI116" s="1"/>
      <c r="AAJ116" s="1"/>
      <c r="AAK116" s="1"/>
      <c r="AAL116" s="1"/>
      <c r="AAM116" s="1"/>
      <c r="AAN116" s="1"/>
      <c r="AAO116" s="1"/>
      <c r="AAP116" s="1"/>
      <c r="AAQ116" s="1"/>
      <c r="AAR116" s="1"/>
      <c r="AAS116" s="1"/>
      <c r="AAT116" s="1"/>
      <c r="AAU116" s="1"/>
      <c r="AAV116" s="1"/>
      <c r="AAW116" s="1"/>
      <c r="AAX116" s="1"/>
      <c r="AAY116" s="1"/>
      <c r="AAZ116" s="1"/>
      <c r="ABA116" s="1"/>
      <c r="ABB116" s="1"/>
      <c r="ABC116" s="1"/>
      <c r="ABD116" s="1"/>
      <c r="ABE116" s="1"/>
      <c r="ABF116" s="1"/>
      <c r="ABG116" s="1"/>
      <c r="ABH116" s="1"/>
      <c r="ABI116" s="1"/>
      <c r="ABJ116" s="1"/>
      <c r="ABK116" s="1"/>
      <c r="ABL116" s="1"/>
      <c r="ABM116" s="1"/>
      <c r="ABN116" s="1"/>
      <c r="ABO116" s="1"/>
      <c r="ABP116" s="1"/>
      <c r="ABQ116" s="1"/>
      <c r="ABR116" s="1"/>
      <c r="ABS116" s="1"/>
      <c r="ABT116" s="1"/>
      <c r="ABU116" s="1"/>
      <c r="ABV116" s="1"/>
      <c r="ABW116" s="1"/>
      <c r="ABX116" s="1"/>
      <c r="ABY116" s="1"/>
      <c r="ABZ116" s="1"/>
      <c r="ACA116" s="1"/>
      <c r="ACB116" s="1"/>
      <c r="ACC116" s="1"/>
      <c r="ACD116" s="1"/>
      <c r="ACE116" s="1"/>
      <c r="ACF116" s="1"/>
      <c r="ACG116" s="1"/>
      <c r="ACH116" s="1"/>
      <c r="ACI116" s="1"/>
      <c r="ACJ116" s="1"/>
      <c r="ACK116" s="1"/>
      <c r="ACL116" s="1"/>
      <c r="ACM116" s="1"/>
      <c r="ACN116" s="1"/>
      <c r="ACO116" s="1"/>
      <c r="ACP116" s="1"/>
      <c r="ACQ116" s="1"/>
      <c r="ACR116" s="1"/>
      <c r="ACS116" s="1"/>
      <c r="ACT116" s="1"/>
      <c r="ACU116" s="1"/>
      <c r="ACV116" s="1"/>
      <c r="ACW116" s="1"/>
      <c r="ACX116" s="1"/>
      <c r="ACY116" s="1"/>
      <c r="ACZ116" s="1"/>
      <c r="ADA116" s="1"/>
      <c r="ADB116" s="1"/>
      <c r="ADC116" s="1"/>
      <c r="ADD116" s="1"/>
      <c r="ADE116" s="1"/>
      <c r="ADF116" s="1"/>
      <c r="ADG116" s="1"/>
      <c r="ADH116" s="1"/>
      <c r="ADI116" s="1"/>
      <c r="ADJ116" s="1"/>
      <c r="ADK116" s="1"/>
      <c r="ADL116" s="1"/>
      <c r="ADM116" s="1"/>
      <c r="ADN116" s="1"/>
      <c r="ADO116" s="1"/>
      <c r="ADP116" s="1"/>
      <c r="ADQ116" s="1"/>
      <c r="ADR116" s="1"/>
      <c r="ADS116" s="1"/>
      <c r="ADT116" s="1"/>
      <c r="ADU116" s="1"/>
      <c r="ADV116" s="1"/>
      <c r="ADW116" s="1"/>
      <c r="ADX116" s="1"/>
      <c r="ADY116" s="1"/>
      <c r="ADZ116" s="1"/>
      <c r="AEA116" s="1"/>
      <c r="AEB116" s="1"/>
      <c r="AEC116" s="1"/>
      <c r="AED116" s="1"/>
      <c r="AEE116" s="1"/>
      <c r="AEF116" s="1"/>
      <c r="AEG116" s="1"/>
      <c r="AEH116" s="1"/>
      <c r="AEI116" s="1"/>
      <c r="AEJ116" s="1"/>
      <c r="AEK116" s="1"/>
      <c r="AEL116" s="1"/>
      <c r="AEM116" s="1"/>
      <c r="AEN116" s="1"/>
      <c r="AEO116" s="1"/>
      <c r="AEP116" s="1"/>
      <c r="AEQ116" s="1"/>
      <c r="AER116" s="1"/>
      <c r="AES116" s="1"/>
      <c r="AET116" s="1"/>
      <c r="AEU116" s="1"/>
      <c r="AEV116" s="1"/>
      <c r="AEW116" s="1"/>
      <c r="AEX116" s="1"/>
      <c r="AEY116" s="1"/>
      <c r="AEZ116" s="1"/>
      <c r="AFA116" s="1"/>
      <c r="AFB116" s="1"/>
      <c r="AFC116" s="1"/>
      <c r="AFD116" s="1"/>
      <c r="AFE116" s="1"/>
      <c r="AFF116" s="1"/>
      <c r="AFG116" s="1"/>
      <c r="AFH116" s="1"/>
      <c r="AFI116" s="1"/>
      <c r="AFJ116" s="1"/>
      <c r="AFK116" s="1"/>
      <c r="AFL116" s="1"/>
      <c r="AFM116" s="1"/>
      <c r="AFN116" s="1"/>
      <c r="AFO116" s="1"/>
      <c r="AFP116" s="1"/>
      <c r="AFQ116" s="1"/>
      <c r="AFR116" s="1"/>
      <c r="AFS116" s="1"/>
      <c r="AFT116" s="1"/>
      <c r="AFU116" s="1"/>
      <c r="AFV116" s="1"/>
      <c r="AFW116" s="1"/>
      <c r="AFX116" s="1"/>
      <c r="AFY116" s="1"/>
      <c r="AFZ116" s="1"/>
      <c r="AGA116" s="1"/>
      <c r="AGB116" s="1"/>
      <c r="AGC116" s="1"/>
      <c r="AGD116" s="1"/>
      <c r="AGE116" s="1"/>
      <c r="AGF116" s="1"/>
      <c r="AGG116" s="1"/>
      <c r="AGH116" s="1"/>
      <c r="AGI116" s="1"/>
      <c r="AGJ116" s="1"/>
      <c r="AGK116" s="1"/>
      <c r="AGL116" s="1"/>
      <c r="AGM116" s="1"/>
      <c r="AGN116" s="1"/>
      <c r="AGO116" s="1"/>
      <c r="AGP116" s="1"/>
      <c r="AGQ116" s="1"/>
      <c r="AGR116" s="1"/>
      <c r="AGS116" s="1"/>
      <c r="AGT116" s="1"/>
      <c r="AGU116" s="1"/>
      <c r="AGV116" s="1"/>
      <c r="AGW116" s="1"/>
      <c r="AGX116" s="1"/>
      <c r="AGY116" s="1"/>
      <c r="AGZ116" s="1"/>
      <c r="AHA116" s="1"/>
      <c r="AHB116" s="1"/>
      <c r="AHC116" s="1"/>
      <c r="AHD116" s="1"/>
      <c r="AHE116" s="1"/>
      <c r="AHF116" s="1"/>
      <c r="AHG116" s="1"/>
      <c r="AHH116" s="1"/>
      <c r="AHI116" s="1"/>
      <c r="AHJ116" s="1"/>
      <c r="AHK116" s="1"/>
      <c r="AHL116" s="1"/>
      <c r="AHM116" s="1"/>
      <c r="AHN116" s="1"/>
      <c r="AHO116" s="1"/>
      <c r="AHP116" s="1"/>
      <c r="AHQ116" s="1"/>
      <c r="AHR116" s="1"/>
      <c r="AHS116" s="1"/>
      <c r="AHT116" s="1"/>
      <c r="AHU116" s="1"/>
      <c r="AHV116" s="1"/>
      <c r="AHW116" s="1"/>
      <c r="AHX116" s="1"/>
      <c r="AHY116" s="1"/>
      <c r="AHZ116" s="1"/>
      <c r="AIA116" s="1"/>
      <c r="AIB116" s="1"/>
      <c r="AIC116" s="1"/>
      <c r="AID116" s="1"/>
      <c r="AIE116" s="1"/>
      <c r="AIF116" s="1"/>
      <c r="AIG116" s="1"/>
      <c r="AIH116" s="1"/>
      <c r="AII116" s="1"/>
      <c r="AIJ116" s="1"/>
      <c r="AIK116" s="1"/>
      <c r="AIL116" s="1"/>
      <c r="AIM116" s="1"/>
      <c r="AIN116" s="1"/>
      <c r="AIO116" s="1"/>
      <c r="AIP116" s="1"/>
      <c r="AIQ116" s="1"/>
      <c r="AIR116" s="1"/>
      <c r="AIS116" s="1"/>
      <c r="AIT116" s="1"/>
      <c r="AIU116" s="1"/>
      <c r="AIV116" s="1"/>
      <c r="AIW116" s="1"/>
      <c r="AIX116" s="1"/>
      <c r="AIY116" s="1"/>
      <c r="AIZ116" s="1"/>
      <c r="AJA116" s="1"/>
      <c r="AJB116" s="1"/>
      <c r="AJC116" s="1"/>
      <c r="AJD116" s="1"/>
      <c r="AJE116" s="1"/>
      <c r="AJF116" s="1"/>
      <c r="AJG116" s="1"/>
      <c r="AJH116" s="1"/>
      <c r="AJI116" s="1"/>
      <c r="AJJ116" s="1"/>
      <c r="AJK116" s="1"/>
      <c r="AJL116" s="1"/>
      <c r="AJM116" s="1"/>
      <c r="AJN116" s="1"/>
      <c r="AJO116" s="1"/>
      <c r="AJP116" s="1"/>
      <c r="AJQ116" s="1"/>
      <c r="AJR116" s="1"/>
      <c r="AJS116" s="1"/>
      <c r="AJT116" s="1"/>
      <c r="AJU116" s="1"/>
      <c r="AJV116" s="1"/>
      <c r="AJW116" s="1"/>
      <c r="AJX116" s="1"/>
      <c r="AJY116" s="1"/>
      <c r="AJZ116" s="1"/>
      <c r="AKA116" s="1"/>
      <c r="AKB116" s="1"/>
      <c r="AKC116" s="1"/>
      <c r="AKD116" s="1"/>
      <c r="AKE116" s="1"/>
      <c r="AKF116" s="1"/>
      <c r="AKG116" s="1"/>
      <c r="AKH116" s="1"/>
      <c r="AKI116" s="1"/>
      <c r="AKJ116" s="1"/>
      <c r="AKK116" s="1"/>
      <c r="AKL116" s="1"/>
      <c r="AKM116" s="1"/>
      <c r="AKN116" s="1"/>
      <c r="AKO116" s="1"/>
      <c r="AKP116" s="1"/>
      <c r="AKQ116" s="1"/>
      <c r="AKR116" s="1"/>
      <c r="AKS116" s="1"/>
      <c r="AKT116" s="1"/>
      <c r="AKU116" s="1"/>
      <c r="AKV116" s="1"/>
      <c r="AKW116" s="1"/>
      <c r="AKX116" s="1"/>
      <c r="AKY116" s="1"/>
      <c r="AKZ116" s="1"/>
      <c r="ALA116" s="1"/>
      <c r="ALB116" s="1"/>
      <c r="ALC116" s="1"/>
      <c r="ALD116" s="1"/>
      <c r="ALE116" s="1"/>
      <c r="ALF116" s="1"/>
      <c r="ALG116" s="1"/>
      <c r="ALH116" s="1"/>
      <c r="ALI116" s="1"/>
      <c r="ALJ116" s="1"/>
      <c r="ALK116" s="1"/>
      <c r="ALL116" s="1"/>
      <c r="ALM116" s="1"/>
      <c r="ALN116" s="1"/>
      <c r="ALO116" s="1"/>
      <c r="ALP116" s="1"/>
      <c r="ALQ116" s="1"/>
      <c r="ALR116" s="1"/>
      <c r="ALS116" s="1"/>
      <c r="ALT116" s="1"/>
      <c r="ALU116" s="1"/>
      <c r="ALV116" s="1"/>
      <c r="ALW116" s="1"/>
      <c r="ALX116" s="1"/>
      <c r="ALY116" s="1"/>
      <c r="ALZ116" s="1"/>
      <c r="AMA116" s="1"/>
      <c r="AMB116" s="1"/>
      <c r="AMC116" s="1"/>
      <c r="AMD116" s="1"/>
      <c r="AME116" s="1"/>
      <c r="AMF116" s="1"/>
      <c r="AMG116" s="1"/>
      <c r="AMH116" s="1"/>
      <c r="AMI116" s="1"/>
      <c r="AMJ116" s="1"/>
    </row>
    <row r="117" s="89" customFormat="true" ht="10.5" hidden="false" customHeight="true" outlineLevel="0" collapsed="false">
      <c r="A117" s="150" t="s">
        <v>244</v>
      </c>
      <c r="B117" s="150"/>
      <c r="C117" s="150"/>
      <c r="D117" s="150"/>
      <c r="E117" s="150"/>
      <c r="F117" s="150"/>
      <c r="G117" s="150"/>
      <c r="H117" s="150"/>
      <c r="I117" s="150"/>
      <c r="J117" s="150"/>
      <c r="K117" s="150"/>
      <c r="L117" s="150"/>
      <c r="M117" s="150"/>
      <c r="N117" s="150"/>
      <c r="O117" s="150"/>
      <c r="P117" s="150"/>
      <c r="Q117" s="150"/>
      <c r="R117" s="150"/>
      <c r="S117" s="151"/>
      <c r="T117" s="151"/>
      <c r="U117" s="152" t="s">
        <v>245</v>
      </c>
      <c r="V117" s="152"/>
      <c r="W117" s="152"/>
      <c r="X117" s="152"/>
      <c r="Y117" s="152"/>
      <c r="Z117" s="152"/>
      <c r="AA117" s="152"/>
      <c r="AB117" s="152"/>
      <c r="AC117" s="152"/>
      <c r="AD117" s="152"/>
      <c r="AE117" s="152"/>
      <c r="AF117" s="152"/>
      <c r="AG117" s="152"/>
      <c r="AH117" s="152"/>
      <c r="AI117" s="152"/>
      <c r="AJ117" s="152"/>
      <c r="AK117" s="152"/>
      <c r="AL117" s="152"/>
      <c r="AM117" s="152"/>
      <c r="AN117" s="152"/>
      <c r="AO117" s="152"/>
      <c r="AP117" s="7"/>
      <c r="AQ117" s="7"/>
      <c r="AR117" s="7"/>
      <c r="AS117" s="7"/>
      <c r="AT117" s="7"/>
      <c r="AU117" s="7"/>
      <c r="AV117" s="7"/>
      <c r="AW117" s="7"/>
      <c r="AX117" s="7"/>
      <c r="AY117" s="7"/>
      <c r="AZ117" s="7"/>
      <c r="BA117" s="7"/>
      <c r="BB117" s="7"/>
      <c r="BC117" s="7"/>
    </row>
    <row r="118" s="89" customFormat="true" ht="10.5" hidden="false" customHeight="true" outlineLevel="0" collapsed="false">
      <c r="A118" s="150" t="s">
        <v>246</v>
      </c>
      <c r="B118" s="150"/>
      <c r="C118" s="150"/>
      <c r="D118" s="150"/>
      <c r="E118" s="150"/>
      <c r="F118" s="150"/>
      <c r="G118" s="150"/>
      <c r="H118" s="150"/>
      <c r="I118" s="150"/>
      <c r="J118" s="153" t="s">
        <v>247</v>
      </c>
      <c r="K118" s="153"/>
      <c r="L118" s="153"/>
      <c r="M118" s="153" t="s">
        <v>248</v>
      </c>
      <c r="N118" s="153"/>
      <c r="O118" s="153"/>
      <c r="P118" s="152" t="s">
        <v>249</v>
      </c>
      <c r="Q118" s="152"/>
      <c r="R118" s="152"/>
      <c r="S118" s="151"/>
      <c r="T118" s="151"/>
      <c r="U118" s="150" t="s">
        <v>250</v>
      </c>
      <c r="V118" s="150"/>
      <c r="W118" s="150"/>
      <c r="X118" s="150"/>
      <c r="Y118" s="150"/>
      <c r="Z118" s="150"/>
      <c r="AA118" s="150"/>
      <c r="AB118" s="150"/>
      <c r="AC118" s="150"/>
      <c r="AD118" s="150"/>
      <c r="AE118" s="150"/>
      <c r="AF118" s="150"/>
      <c r="AG118" s="153" t="s">
        <v>247</v>
      </c>
      <c r="AH118" s="153"/>
      <c r="AI118" s="153"/>
      <c r="AJ118" s="153" t="s">
        <v>248</v>
      </c>
      <c r="AK118" s="153"/>
      <c r="AL118" s="153"/>
      <c r="AM118" s="152" t="s">
        <v>249</v>
      </c>
      <c r="AN118" s="152"/>
      <c r="AO118" s="152"/>
      <c r="AP118" s="7"/>
      <c r="AQ118" s="7"/>
      <c r="AR118" s="7"/>
      <c r="AS118" s="7"/>
      <c r="AT118" s="7"/>
      <c r="AU118" s="7"/>
      <c r="AV118" s="7"/>
      <c r="AW118" s="7"/>
      <c r="AX118" s="7"/>
      <c r="AY118" s="7"/>
      <c r="AZ118" s="7"/>
      <c r="BA118" s="7"/>
      <c r="BB118" s="7"/>
      <c r="BC118" s="7"/>
    </row>
    <row r="119" customFormat="false" ht="10.5" hidden="false" customHeight="true" outlineLevel="0" collapsed="false">
      <c r="A119" s="154"/>
      <c r="B119" s="154"/>
      <c r="C119" s="154"/>
      <c r="D119" s="154"/>
      <c r="E119" s="154"/>
      <c r="F119" s="154"/>
      <c r="G119" s="154"/>
      <c r="H119" s="154"/>
      <c r="I119" s="154"/>
      <c r="J119" s="155"/>
      <c r="K119" s="155"/>
      <c r="L119" s="155"/>
      <c r="M119" s="156"/>
      <c r="N119" s="156"/>
      <c r="O119" s="156"/>
      <c r="P119" s="157" t="n">
        <f aca="false">J119*M119</f>
        <v>0</v>
      </c>
      <c r="Q119" s="157"/>
      <c r="R119" s="157"/>
      <c r="S119" s="151"/>
      <c r="T119" s="151"/>
      <c r="U119" s="158"/>
      <c r="V119" s="158"/>
      <c r="W119" s="158"/>
      <c r="X119" s="158"/>
      <c r="Y119" s="158"/>
      <c r="Z119" s="158"/>
      <c r="AA119" s="158"/>
      <c r="AB119" s="158"/>
      <c r="AC119" s="158"/>
      <c r="AD119" s="158"/>
      <c r="AE119" s="158"/>
      <c r="AF119" s="158"/>
      <c r="AG119" s="159"/>
      <c r="AH119" s="159"/>
      <c r="AI119" s="159"/>
      <c r="AJ119" s="160"/>
      <c r="AK119" s="160"/>
      <c r="AL119" s="160"/>
      <c r="AM119" s="161" t="n">
        <f aca="false">AG119*AJ119</f>
        <v>0</v>
      </c>
      <c r="AN119" s="161"/>
      <c r="AO119" s="16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c r="IY119" s="1"/>
      <c r="IZ119" s="1"/>
      <c r="JA119" s="1"/>
      <c r="JB119" s="1"/>
      <c r="JC119" s="1"/>
      <c r="JD119" s="1"/>
      <c r="JE119" s="1"/>
      <c r="JF119" s="1"/>
      <c r="JG119" s="1"/>
      <c r="JH119" s="1"/>
      <c r="JI119" s="1"/>
      <c r="JJ119" s="1"/>
      <c r="JK119" s="1"/>
      <c r="JL119" s="1"/>
      <c r="JM119" s="1"/>
      <c r="JN119" s="1"/>
      <c r="JO119" s="1"/>
      <c r="JP119" s="1"/>
      <c r="JQ119" s="1"/>
      <c r="JR119" s="1"/>
      <c r="JS119" s="1"/>
      <c r="JT119" s="1"/>
      <c r="JU119" s="1"/>
      <c r="JV119" s="1"/>
      <c r="JW119" s="1"/>
      <c r="JX119" s="1"/>
      <c r="JY119" s="1"/>
      <c r="JZ119" s="1"/>
      <c r="KA119" s="1"/>
      <c r="KB119" s="1"/>
      <c r="KC119" s="1"/>
      <c r="KD119" s="1"/>
      <c r="KE119" s="1"/>
      <c r="KF119" s="1"/>
      <c r="KG119" s="1"/>
      <c r="KH119" s="1"/>
      <c r="KI119" s="1"/>
      <c r="KJ119" s="1"/>
      <c r="KK119" s="1"/>
      <c r="KL119" s="1"/>
      <c r="KM119" s="1"/>
      <c r="KN119" s="1"/>
      <c r="KO119" s="1"/>
      <c r="KP119" s="1"/>
      <c r="KQ119" s="1"/>
      <c r="KR119" s="1"/>
      <c r="KS119" s="1"/>
      <c r="KT119" s="1"/>
      <c r="KU119" s="1"/>
      <c r="KV119" s="1"/>
      <c r="KW119" s="1"/>
      <c r="KX119" s="1"/>
      <c r="KY119" s="1"/>
      <c r="KZ119" s="1"/>
      <c r="LA119" s="1"/>
      <c r="LB119" s="1"/>
      <c r="LC119" s="1"/>
      <c r="LD119" s="1"/>
      <c r="LE119" s="1"/>
      <c r="LF119" s="1"/>
      <c r="LG119" s="1"/>
      <c r="LH119" s="1"/>
      <c r="LI119" s="1"/>
      <c r="LJ119" s="1"/>
      <c r="LK119" s="1"/>
      <c r="LL119" s="1"/>
      <c r="LM119" s="1"/>
      <c r="LN119" s="1"/>
      <c r="LO119" s="1"/>
      <c r="LP119" s="1"/>
      <c r="LQ119" s="1"/>
      <c r="LR119" s="1"/>
      <c r="LS119" s="1"/>
      <c r="LT119" s="1"/>
      <c r="LU119" s="1"/>
      <c r="LV119" s="1"/>
      <c r="LW119" s="1"/>
      <c r="LX119" s="1"/>
      <c r="LY119" s="1"/>
      <c r="LZ119" s="1"/>
      <c r="MA119" s="1"/>
      <c r="MB119" s="1"/>
      <c r="MC119" s="1"/>
      <c r="MD119" s="1"/>
      <c r="ME119" s="1"/>
      <c r="MF119" s="1"/>
      <c r="MG119" s="1"/>
      <c r="MH119" s="1"/>
      <c r="MI119" s="1"/>
      <c r="MJ119" s="1"/>
      <c r="MK119" s="1"/>
      <c r="ML119" s="1"/>
      <c r="MM119" s="1"/>
      <c r="MN119" s="1"/>
      <c r="MO119" s="1"/>
      <c r="MP119" s="1"/>
      <c r="MQ119" s="1"/>
      <c r="MR119" s="1"/>
      <c r="MS119" s="1"/>
      <c r="MT119" s="1"/>
      <c r="MU119" s="1"/>
      <c r="MV119" s="1"/>
      <c r="MW119" s="1"/>
      <c r="MX119" s="1"/>
      <c r="MY119" s="1"/>
      <c r="MZ119" s="1"/>
      <c r="NA119" s="1"/>
      <c r="NB119" s="1"/>
      <c r="NC119" s="1"/>
      <c r="ND119" s="1"/>
      <c r="NE119" s="1"/>
      <c r="NF119" s="1"/>
      <c r="NG119" s="1"/>
      <c r="NH119" s="1"/>
      <c r="NI119" s="1"/>
      <c r="NJ119" s="1"/>
      <c r="NK119" s="1"/>
      <c r="NL119" s="1"/>
      <c r="NM119" s="1"/>
      <c r="NN119" s="1"/>
      <c r="NO119" s="1"/>
      <c r="NP119" s="1"/>
      <c r="NQ119" s="1"/>
      <c r="NR119" s="1"/>
      <c r="NS119" s="1"/>
      <c r="NT119" s="1"/>
      <c r="NU119" s="1"/>
      <c r="NV119" s="1"/>
      <c r="NW119" s="1"/>
      <c r="NX119" s="1"/>
      <c r="NY119" s="1"/>
      <c r="NZ119" s="1"/>
      <c r="OA119" s="1"/>
      <c r="OB119" s="1"/>
      <c r="OC119" s="1"/>
      <c r="OD119" s="1"/>
      <c r="OE119" s="1"/>
      <c r="OF119" s="1"/>
      <c r="OG119" s="1"/>
      <c r="OH119" s="1"/>
      <c r="OI119" s="1"/>
      <c r="OJ119" s="1"/>
      <c r="OK119" s="1"/>
      <c r="OL119" s="1"/>
      <c r="OM119" s="1"/>
      <c r="ON119" s="1"/>
      <c r="OO119" s="1"/>
      <c r="OP119" s="1"/>
      <c r="OQ119" s="1"/>
      <c r="OR119" s="1"/>
      <c r="OS119" s="1"/>
      <c r="OT119" s="1"/>
      <c r="OU119" s="1"/>
      <c r="OV119" s="1"/>
      <c r="OW119" s="1"/>
      <c r="OX119" s="1"/>
      <c r="OY119" s="1"/>
      <c r="OZ119" s="1"/>
      <c r="PA119" s="1"/>
      <c r="PB119" s="1"/>
      <c r="PC119" s="1"/>
      <c r="PD119" s="1"/>
      <c r="PE119" s="1"/>
      <c r="PF119" s="1"/>
      <c r="PG119" s="1"/>
      <c r="PH119" s="1"/>
      <c r="PI119" s="1"/>
      <c r="PJ119" s="1"/>
      <c r="PK119" s="1"/>
      <c r="PL119" s="1"/>
      <c r="PM119" s="1"/>
      <c r="PN119" s="1"/>
      <c r="PO119" s="1"/>
      <c r="PP119" s="1"/>
      <c r="PQ119" s="1"/>
      <c r="PR119" s="1"/>
      <c r="PS119" s="1"/>
      <c r="PT119" s="1"/>
      <c r="PU119" s="1"/>
      <c r="PV119" s="1"/>
      <c r="PW119" s="1"/>
      <c r="PX119" s="1"/>
      <c r="PY119" s="1"/>
      <c r="PZ119" s="1"/>
      <c r="QA119" s="1"/>
      <c r="QB119" s="1"/>
      <c r="QC119" s="1"/>
      <c r="QD119" s="1"/>
      <c r="QE119" s="1"/>
      <c r="QF119" s="1"/>
      <c r="QG119" s="1"/>
      <c r="QH119" s="1"/>
      <c r="QI119" s="1"/>
      <c r="QJ119" s="1"/>
      <c r="QK119" s="1"/>
      <c r="QL119" s="1"/>
      <c r="QM119" s="1"/>
      <c r="QN119" s="1"/>
      <c r="QO119" s="1"/>
      <c r="QP119" s="1"/>
      <c r="QQ119" s="1"/>
      <c r="QR119" s="1"/>
      <c r="QS119" s="1"/>
      <c r="QT119" s="1"/>
      <c r="QU119" s="1"/>
      <c r="QV119" s="1"/>
      <c r="QW119" s="1"/>
      <c r="QX119" s="1"/>
      <c r="QY119" s="1"/>
      <c r="QZ119" s="1"/>
      <c r="RA119" s="1"/>
      <c r="RB119" s="1"/>
      <c r="RC119" s="1"/>
      <c r="RD119" s="1"/>
      <c r="RE119" s="1"/>
      <c r="RF119" s="1"/>
      <c r="RG119" s="1"/>
      <c r="RH119" s="1"/>
      <c r="RI119" s="1"/>
      <c r="RJ119" s="1"/>
      <c r="RK119" s="1"/>
      <c r="RL119" s="1"/>
      <c r="RM119" s="1"/>
      <c r="RN119" s="1"/>
      <c r="RO119" s="1"/>
      <c r="RP119" s="1"/>
      <c r="RQ119" s="1"/>
      <c r="RR119" s="1"/>
      <c r="RS119" s="1"/>
      <c r="RT119" s="1"/>
      <c r="RU119" s="1"/>
      <c r="RV119" s="1"/>
      <c r="RW119" s="1"/>
      <c r="RX119" s="1"/>
      <c r="RY119" s="1"/>
      <c r="RZ119" s="1"/>
      <c r="SA119" s="1"/>
      <c r="SB119" s="1"/>
      <c r="SC119" s="1"/>
      <c r="SD119" s="1"/>
      <c r="SE119" s="1"/>
      <c r="SF119" s="1"/>
      <c r="SG119" s="1"/>
      <c r="SH119" s="1"/>
      <c r="SI119" s="1"/>
      <c r="SJ119" s="1"/>
      <c r="SK119" s="1"/>
      <c r="SL119" s="1"/>
      <c r="SM119" s="1"/>
      <c r="SN119" s="1"/>
      <c r="SO119" s="1"/>
      <c r="SP119" s="1"/>
      <c r="SQ119" s="1"/>
      <c r="SR119" s="1"/>
      <c r="SS119" s="1"/>
      <c r="ST119" s="1"/>
      <c r="SU119" s="1"/>
      <c r="SV119" s="1"/>
      <c r="SW119" s="1"/>
      <c r="SX119" s="1"/>
      <c r="SY119" s="1"/>
      <c r="SZ119" s="1"/>
      <c r="TA119" s="1"/>
      <c r="TB119" s="1"/>
      <c r="TC119" s="1"/>
      <c r="TD119" s="1"/>
      <c r="TE119" s="1"/>
      <c r="TF119" s="1"/>
      <c r="TG119" s="1"/>
      <c r="TH119" s="1"/>
      <c r="TI119" s="1"/>
      <c r="TJ119" s="1"/>
      <c r="TK119" s="1"/>
      <c r="TL119" s="1"/>
      <c r="TM119" s="1"/>
      <c r="TN119" s="1"/>
      <c r="TO119" s="1"/>
      <c r="TP119" s="1"/>
      <c r="TQ119" s="1"/>
      <c r="TR119" s="1"/>
      <c r="TS119" s="1"/>
      <c r="TT119" s="1"/>
      <c r="TU119" s="1"/>
      <c r="TV119" s="1"/>
      <c r="TW119" s="1"/>
      <c r="TX119" s="1"/>
      <c r="TY119" s="1"/>
      <c r="TZ119" s="1"/>
      <c r="UA119" s="1"/>
      <c r="UB119" s="1"/>
      <c r="UC119" s="1"/>
      <c r="UD119" s="1"/>
      <c r="UE119" s="1"/>
      <c r="UF119" s="1"/>
      <c r="UG119" s="1"/>
      <c r="UH119" s="1"/>
      <c r="UI119" s="1"/>
      <c r="UJ119" s="1"/>
      <c r="UK119" s="1"/>
      <c r="UL119" s="1"/>
      <c r="UM119" s="1"/>
      <c r="UN119" s="1"/>
      <c r="UO119" s="1"/>
      <c r="UP119" s="1"/>
      <c r="UQ119" s="1"/>
      <c r="UR119" s="1"/>
      <c r="US119" s="1"/>
      <c r="UT119" s="1"/>
      <c r="UU119" s="1"/>
      <c r="UV119" s="1"/>
      <c r="UW119" s="1"/>
      <c r="UX119" s="1"/>
      <c r="UY119" s="1"/>
      <c r="UZ119" s="1"/>
      <c r="VA119" s="1"/>
      <c r="VB119" s="1"/>
      <c r="VC119" s="1"/>
      <c r="VD119" s="1"/>
      <c r="VE119" s="1"/>
      <c r="VF119" s="1"/>
      <c r="VG119" s="1"/>
      <c r="VH119" s="1"/>
      <c r="VI119" s="1"/>
      <c r="VJ119" s="1"/>
      <c r="VK119" s="1"/>
      <c r="VL119" s="1"/>
      <c r="VM119" s="1"/>
      <c r="VN119" s="1"/>
      <c r="VO119" s="1"/>
      <c r="VP119" s="1"/>
      <c r="VQ119" s="1"/>
      <c r="VR119" s="1"/>
      <c r="VS119" s="1"/>
      <c r="VT119" s="1"/>
      <c r="VU119" s="1"/>
      <c r="VV119" s="1"/>
      <c r="VW119" s="1"/>
      <c r="VX119" s="1"/>
      <c r="VY119" s="1"/>
      <c r="VZ119" s="1"/>
      <c r="WA119" s="1"/>
      <c r="WB119" s="1"/>
      <c r="WC119" s="1"/>
      <c r="WD119" s="1"/>
      <c r="WE119" s="1"/>
      <c r="WF119" s="1"/>
      <c r="WG119" s="1"/>
      <c r="WH119" s="1"/>
      <c r="WI119" s="1"/>
      <c r="WJ119" s="1"/>
      <c r="WK119" s="1"/>
      <c r="WL119" s="1"/>
      <c r="WM119" s="1"/>
      <c r="WN119" s="1"/>
      <c r="WO119" s="1"/>
      <c r="WP119" s="1"/>
      <c r="WQ119" s="1"/>
      <c r="WR119" s="1"/>
      <c r="WS119" s="1"/>
      <c r="WT119" s="1"/>
      <c r="WU119" s="1"/>
      <c r="WV119" s="1"/>
      <c r="WW119" s="1"/>
      <c r="WX119" s="1"/>
      <c r="WY119" s="1"/>
      <c r="WZ119" s="1"/>
      <c r="XA119" s="1"/>
      <c r="XB119" s="1"/>
      <c r="XC119" s="1"/>
      <c r="XD119" s="1"/>
      <c r="XE119" s="1"/>
      <c r="XF119" s="1"/>
      <c r="XG119" s="1"/>
      <c r="XH119" s="1"/>
      <c r="XI119" s="1"/>
      <c r="XJ119" s="1"/>
      <c r="XK119" s="1"/>
      <c r="XL119" s="1"/>
      <c r="XM119" s="1"/>
      <c r="XN119" s="1"/>
      <c r="XO119" s="1"/>
      <c r="XP119" s="1"/>
      <c r="XQ119" s="1"/>
      <c r="XR119" s="1"/>
      <c r="XS119" s="1"/>
      <c r="XT119" s="1"/>
      <c r="XU119" s="1"/>
      <c r="XV119" s="1"/>
      <c r="XW119" s="1"/>
      <c r="XX119" s="1"/>
      <c r="XY119" s="1"/>
      <c r="XZ119" s="1"/>
      <c r="YA119" s="1"/>
      <c r="YB119" s="1"/>
      <c r="YC119" s="1"/>
      <c r="YD119" s="1"/>
      <c r="YE119" s="1"/>
      <c r="YF119" s="1"/>
      <c r="YG119" s="1"/>
      <c r="YH119" s="1"/>
      <c r="YI119" s="1"/>
      <c r="YJ119" s="1"/>
      <c r="YK119" s="1"/>
      <c r="YL119" s="1"/>
      <c r="YM119" s="1"/>
      <c r="YN119" s="1"/>
      <c r="YO119" s="1"/>
      <c r="YP119" s="1"/>
      <c r="YQ119" s="1"/>
      <c r="YR119" s="1"/>
      <c r="YS119" s="1"/>
      <c r="YT119" s="1"/>
      <c r="YU119" s="1"/>
      <c r="YV119" s="1"/>
      <c r="YW119" s="1"/>
      <c r="YX119" s="1"/>
      <c r="YY119" s="1"/>
      <c r="YZ119" s="1"/>
      <c r="ZA119" s="1"/>
      <c r="ZB119" s="1"/>
      <c r="ZC119" s="1"/>
      <c r="ZD119" s="1"/>
      <c r="ZE119" s="1"/>
      <c r="ZF119" s="1"/>
      <c r="ZG119" s="1"/>
      <c r="ZH119" s="1"/>
      <c r="ZI119" s="1"/>
      <c r="ZJ119" s="1"/>
      <c r="ZK119" s="1"/>
      <c r="ZL119" s="1"/>
      <c r="ZM119" s="1"/>
      <c r="ZN119" s="1"/>
      <c r="ZO119" s="1"/>
      <c r="ZP119" s="1"/>
      <c r="ZQ119" s="1"/>
      <c r="ZR119" s="1"/>
      <c r="ZS119" s="1"/>
      <c r="ZT119" s="1"/>
      <c r="ZU119" s="1"/>
      <c r="ZV119" s="1"/>
      <c r="ZW119" s="1"/>
      <c r="ZX119" s="1"/>
      <c r="ZY119" s="1"/>
      <c r="ZZ119" s="1"/>
      <c r="AAA119" s="1"/>
      <c r="AAB119" s="1"/>
      <c r="AAC119" s="1"/>
      <c r="AAD119" s="1"/>
      <c r="AAE119" s="1"/>
      <c r="AAF119" s="1"/>
      <c r="AAG119" s="1"/>
      <c r="AAH119" s="1"/>
      <c r="AAI119" s="1"/>
      <c r="AAJ119" s="1"/>
      <c r="AAK119" s="1"/>
      <c r="AAL119" s="1"/>
      <c r="AAM119" s="1"/>
      <c r="AAN119" s="1"/>
      <c r="AAO119" s="1"/>
      <c r="AAP119" s="1"/>
      <c r="AAQ119" s="1"/>
      <c r="AAR119" s="1"/>
      <c r="AAS119" s="1"/>
      <c r="AAT119" s="1"/>
      <c r="AAU119" s="1"/>
      <c r="AAV119" s="1"/>
      <c r="AAW119" s="1"/>
      <c r="AAX119" s="1"/>
      <c r="AAY119" s="1"/>
      <c r="AAZ119" s="1"/>
      <c r="ABA119" s="1"/>
      <c r="ABB119" s="1"/>
      <c r="ABC119" s="1"/>
      <c r="ABD119" s="1"/>
      <c r="ABE119" s="1"/>
      <c r="ABF119" s="1"/>
      <c r="ABG119" s="1"/>
      <c r="ABH119" s="1"/>
      <c r="ABI119" s="1"/>
      <c r="ABJ119" s="1"/>
      <c r="ABK119" s="1"/>
      <c r="ABL119" s="1"/>
      <c r="ABM119" s="1"/>
      <c r="ABN119" s="1"/>
      <c r="ABO119" s="1"/>
      <c r="ABP119" s="1"/>
      <c r="ABQ119" s="1"/>
      <c r="ABR119" s="1"/>
      <c r="ABS119" s="1"/>
      <c r="ABT119" s="1"/>
      <c r="ABU119" s="1"/>
      <c r="ABV119" s="1"/>
      <c r="ABW119" s="1"/>
      <c r="ABX119" s="1"/>
      <c r="ABY119" s="1"/>
      <c r="ABZ119" s="1"/>
      <c r="ACA119" s="1"/>
      <c r="ACB119" s="1"/>
      <c r="ACC119" s="1"/>
      <c r="ACD119" s="1"/>
      <c r="ACE119" s="1"/>
      <c r="ACF119" s="1"/>
      <c r="ACG119" s="1"/>
      <c r="ACH119" s="1"/>
      <c r="ACI119" s="1"/>
      <c r="ACJ119" s="1"/>
      <c r="ACK119" s="1"/>
      <c r="ACL119" s="1"/>
      <c r="ACM119" s="1"/>
      <c r="ACN119" s="1"/>
      <c r="ACO119" s="1"/>
      <c r="ACP119" s="1"/>
      <c r="ACQ119" s="1"/>
      <c r="ACR119" s="1"/>
      <c r="ACS119" s="1"/>
      <c r="ACT119" s="1"/>
      <c r="ACU119" s="1"/>
      <c r="ACV119" s="1"/>
      <c r="ACW119" s="1"/>
      <c r="ACX119" s="1"/>
      <c r="ACY119" s="1"/>
      <c r="ACZ119" s="1"/>
      <c r="ADA119" s="1"/>
      <c r="ADB119" s="1"/>
      <c r="ADC119" s="1"/>
      <c r="ADD119" s="1"/>
      <c r="ADE119" s="1"/>
      <c r="ADF119" s="1"/>
      <c r="ADG119" s="1"/>
      <c r="ADH119" s="1"/>
      <c r="ADI119" s="1"/>
      <c r="ADJ119" s="1"/>
      <c r="ADK119" s="1"/>
      <c r="ADL119" s="1"/>
      <c r="ADM119" s="1"/>
      <c r="ADN119" s="1"/>
      <c r="ADO119" s="1"/>
      <c r="ADP119" s="1"/>
      <c r="ADQ119" s="1"/>
      <c r="ADR119" s="1"/>
      <c r="ADS119" s="1"/>
      <c r="ADT119" s="1"/>
      <c r="ADU119" s="1"/>
      <c r="ADV119" s="1"/>
      <c r="ADW119" s="1"/>
      <c r="ADX119" s="1"/>
      <c r="ADY119" s="1"/>
      <c r="ADZ119" s="1"/>
      <c r="AEA119" s="1"/>
      <c r="AEB119" s="1"/>
      <c r="AEC119" s="1"/>
      <c r="AED119" s="1"/>
      <c r="AEE119" s="1"/>
      <c r="AEF119" s="1"/>
      <c r="AEG119" s="1"/>
      <c r="AEH119" s="1"/>
      <c r="AEI119" s="1"/>
      <c r="AEJ119" s="1"/>
      <c r="AEK119" s="1"/>
      <c r="AEL119" s="1"/>
      <c r="AEM119" s="1"/>
      <c r="AEN119" s="1"/>
      <c r="AEO119" s="1"/>
      <c r="AEP119" s="1"/>
      <c r="AEQ119" s="1"/>
      <c r="AER119" s="1"/>
      <c r="AES119" s="1"/>
      <c r="AET119" s="1"/>
      <c r="AEU119" s="1"/>
      <c r="AEV119" s="1"/>
      <c r="AEW119" s="1"/>
      <c r="AEX119" s="1"/>
      <c r="AEY119" s="1"/>
      <c r="AEZ119" s="1"/>
      <c r="AFA119" s="1"/>
      <c r="AFB119" s="1"/>
      <c r="AFC119" s="1"/>
      <c r="AFD119" s="1"/>
      <c r="AFE119" s="1"/>
      <c r="AFF119" s="1"/>
      <c r="AFG119" s="1"/>
      <c r="AFH119" s="1"/>
      <c r="AFI119" s="1"/>
      <c r="AFJ119" s="1"/>
      <c r="AFK119" s="1"/>
      <c r="AFL119" s="1"/>
      <c r="AFM119" s="1"/>
      <c r="AFN119" s="1"/>
      <c r="AFO119" s="1"/>
      <c r="AFP119" s="1"/>
      <c r="AFQ119" s="1"/>
      <c r="AFR119" s="1"/>
      <c r="AFS119" s="1"/>
      <c r="AFT119" s="1"/>
      <c r="AFU119" s="1"/>
      <c r="AFV119" s="1"/>
      <c r="AFW119" s="1"/>
      <c r="AFX119" s="1"/>
      <c r="AFY119" s="1"/>
      <c r="AFZ119" s="1"/>
      <c r="AGA119" s="1"/>
      <c r="AGB119" s="1"/>
      <c r="AGC119" s="1"/>
      <c r="AGD119" s="1"/>
      <c r="AGE119" s="1"/>
      <c r="AGF119" s="1"/>
      <c r="AGG119" s="1"/>
      <c r="AGH119" s="1"/>
      <c r="AGI119" s="1"/>
      <c r="AGJ119" s="1"/>
      <c r="AGK119" s="1"/>
      <c r="AGL119" s="1"/>
      <c r="AGM119" s="1"/>
      <c r="AGN119" s="1"/>
      <c r="AGO119" s="1"/>
      <c r="AGP119" s="1"/>
      <c r="AGQ119" s="1"/>
      <c r="AGR119" s="1"/>
      <c r="AGS119" s="1"/>
      <c r="AGT119" s="1"/>
      <c r="AGU119" s="1"/>
      <c r="AGV119" s="1"/>
      <c r="AGW119" s="1"/>
      <c r="AGX119" s="1"/>
      <c r="AGY119" s="1"/>
      <c r="AGZ119" s="1"/>
      <c r="AHA119" s="1"/>
      <c r="AHB119" s="1"/>
      <c r="AHC119" s="1"/>
      <c r="AHD119" s="1"/>
      <c r="AHE119" s="1"/>
      <c r="AHF119" s="1"/>
      <c r="AHG119" s="1"/>
      <c r="AHH119" s="1"/>
      <c r="AHI119" s="1"/>
      <c r="AHJ119" s="1"/>
      <c r="AHK119" s="1"/>
      <c r="AHL119" s="1"/>
      <c r="AHM119" s="1"/>
      <c r="AHN119" s="1"/>
      <c r="AHO119" s="1"/>
      <c r="AHP119" s="1"/>
      <c r="AHQ119" s="1"/>
      <c r="AHR119" s="1"/>
      <c r="AHS119" s="1"/>
      <c r="AHT119" s="1"/>
      <c r="AHU119" s="1"/>
      <c r="AHV119" s="1"/>
      <c r="AHW119" s="1"/>
      <c r="AHX119" s="1"/>
      <c r="AHY119" s="1"/>
      <c r="AHZ119" s="1"/>
      <c r="AIA119" s="1"/>
      <c r="AIB119" s="1"/>
      <c r="AIC119" s="1"/>
      <c r="AID119" s="1"/>
      <c r="AIE119" s="1"/>
      <c r="AIF119" s="1"/>
      <c r="AIG119" s="1"/>
      <c r="AIH119" s="1"/>
      <c r="AII119" s="1"/>
      <c r="AIJ119" s="1"/>
      <c r="AIK119" s="1"/>
      <c r="AIL119" s="1"/>
      <c r="AIM119" s="1"/>
      <c r="AIN119" s="1"/>
      <c r="AIO119" s="1"/>
      <c r="AIP119" s="1"/>
      <c r="AIQ119" s="1"/>
      <c r="AIR119" s="1"/>
      <c r="AIS119" s="1"/>
      <c r="AIT119" s="1"/>
      <c r="AIU119" s="1"/>
      <c r="AIV119" s="1"/>
      <c r="AIW119" s="1"/>
      <c r="AIX119" s="1"/>
      <c r="AIY119" s="1"/>
      <c r="AIZ119" s="1"/>
      <c r="AJA119" s="1"/>
      <c r="AJB119" s="1"/>
      <c r="AJC119" s="1"/>
      <c r="AJD119" s="1"/>
      <c r="AJE119" s="1"/>
      <c r="AJF119" s="1"/>
      <c r="AJG119" s="1"/>
      <c r="AJH119" s="1"/>
      <c r="AJI119" s="1"/>
      <c r="AJJ119" s="1"/>
      <c r="AJK119" s="1"/>
      <c r="AJL119" s="1"/>
      <c r="AJM119" s="1"/>
      <c r="AJN119" s="1"/>
      <c r="AJO119" s="1"/>
      <c r="AJP119" s="1"/>
      <c r="AJQ119" s="1"/>
      <c r="AJR119" s="1"/>
      <c r="AJS119" s="1"/>
      <c r="AJT119" s="1"/>
      <c r="AJU119" s="1"/>
      <c r="AJV119" s="1"/>
      <c r="AJW119" s="1"/>
      <c r="AJX119" s="1"/>
      <c r="AJY119" s="1"/>
      <c r="AJZ119" s="1"/>
      <c r="AKA119" s="1"/>
      <c r="AKB119" s="1"/>
      <c r="AKC119" s="1"/>
      <c r="AKD119" s="1"/>
      <c r="AKE119" s="1"/>
      <c r="AKF119" s="1"/>
      <c r="AKG119" s="1"/>
      <c r="AKH119" s="1"/>
      <c r="AKI119" s="1"/>
      <c r="AKJ119" s="1"/>
      <c r="AKK119" s="1"/>
      <c r="AKL119" s="1"/>
      <c r="AKM119" s="1"/>
      <c r="AKN119" s="1"/>
      <c r="AKO119" s="1"/>
      <c r="AKP119" s="1"/>
      <c r="AKQ119" s="1"/>
      <c r="AKR119" s="1"/>
      <c r="AKS119" s="1"/>
      <c r="AKT119" s="1"/>
      <c r="AKU119" s="1"/>
      <c r="AKV119" s="1"/>
      <c r="AKW119" s="1"/>
      <c r="AKX119" s="1"/>
      <c r="AKY119" s="1"/>
      <c r="AKZ119" s="1"/>
      <c r="ALA119" s="1"/>
      <c r="ALB119" s="1"/>
      <c r="ALC119" s="1"/>
      <c r="ALD119" s="1"/>
      <c r="ALE119" s="1"/>
      <c r="ALF119" s="1"/>
      <c r="ALG119" s="1"/>
      <c r="ALH119" s="1"/>
      <c r="ALI119" s="1"/>
      <c r="ALJ119" s="1"/>
      <c r="ALK119" s="1"/>
      <c r="ALL119" s="1"/>
      <c r="ALM119" s="1"/>
      <c r="ALN119" s="1"/>
      <c r="ALO119" s="1"/>
      <c r="ALP119" s="1"/>
      <c r="ALQ119" s="1"/>
      <c r="ALR119" s="1"/>
      <c r="ALS119" s="1"/>
      <c r="ALT119" s="1"/>
      <c r="ALU119" s="1"/>
      <c r="ALV119" s="1"/>
      <c r="ALW119" s="1"/>
      <c r="ALX119" s="1"/>
      <c r="ALY119" s="1"/>
      <c r="ALZ119" s="1"/>
      <c r="AMA119" s="1"/>
      <c r="AMB119" s="1"/>
      <c r="AMC119" s="1"/>
      <c r="AMD119" s="1"/>
      <c r="AME119" s="1"/>
      <c r="AMF119" s="1"/>
      <c r="AMG119" s="1"/>
      <c r="AMH119" s="1"/>
      <c r="AMI119" s="1"/>
      <c r="AMJ119" s="1"/>
    </row>
    <row r="120" customFormat="false" ht="10.5" hidden="false" customHeight="true" outlineLevel="0" collapsed="false">
      <c r="A120" s="162"/>
      <c r="B120" s="162"/>
      <c r="C120" s="162"/>
      <c r="D120" s="162"/>
      <c r="E120" s="162"/>
      <c r="F120" s="162"/>
      <c r="G120" s="162"/>
      <c r="H120" s="162"/>
      <c r="I120" s="162"/>
      <c r="J120" s="163"/>
      <c r="K120" s="163"/>
      <c r="L120" s="163"/>
      <c r="M120" s="164"/>
      <c r="N120" s="164"/>
      <c r="O120" s="164"/>
      <c r="P120" s="165" t="n">
        <f aca="false">J120*M120</f>
        <v>0</v>
      </c>
      <c r="Q120" s="165"/>
      <c r="R120" s="165"/>
      <c r="S120" s="151"/>
      <c r="T120" s="151"/>
      <c r="U120" s="166"/>
      <c r="V120" s="166"/>
      <c r="W120" s="166"/>
      <c r="X120" s="166"/>
      <c r="Y120" s="166"/>
      <c r="Z120" s="166"/>
      <c r="AA120" s="166"/>
      <c r="AB120" s="166"/>
      <c r="AC120" s="166"/>
      <c r="AD120" s="166"/>
      <c r="AE120" s="166"/>
      <c r="AF120" s="166"/>
      <c r="AG120" s="167"/>
      <c r="AH120" s="167"/>
      <c r="AI120" s="167"/>
      <c r="AJ120" s="168"/>
      <c r="AK120" s="168"/>
      <c r="AL120" s="168"/>
      <c r="AM120" s="140" t="n">
        <f aca="false">AG120*AJ120</f>
        <v>0</v>
      </c>
      <c r="AN120" s="140"/>
      <c r="AO120" s="140"/>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c r="IY120" s="1"/>
      <c r="IZ120" s="1"/>
      <c r="JA120" s="1"/>
      <c r="JB120" s="1"/>
      <c r="JC120" s="1"/>
      <c r="JD120" s="1"/>
      <c r="JE120" s="1"/>
      <c r="JF120" s="1"/>
      <c r="JG120" s="1"/>
      <c r="JH120" s="1"/>
      <c r="JI120" s="1"/>
      <c r="JJ120" s="1"/>
      <c r="JK120" s="1"/>
      <c r="JL120" s="1"/>
      <c r="JM120" s="1"/>
      <c r="JN120" s="1"/>
      <c r="JO120" s="1"/>
      <c r="JP120" s="1"/>
      <c r="JQ120" s="1"/>
      <c r="JR120" s="1"/>
      <c r="JS120" s="1"/>
      <c r="JT120" s="1"/>
      <c r="JU120" s="1"/>
      <c r="JV120" s="1"/>
      <c r="JW120" s="1"/>
      <c r="JX120" s="1"/>
      <c r="JY120" s="1"/>
      <c r="JZ120" s="1"/>
      <c r="KA120" s="1"/>
      <c r="KB120" s="1"/>
      <c r="KC120" s="1"/>
      <c r="KD120" s="1"/>
      <c r="KE120" s="1"/>
      <c r="KF120" s="1"/>
      <c r="KG120" s="1"/>
      <c r="KH120" s="1"/>
      <c r="KI120" s="1"/>
      <c r="KJ120" s="1"/>
      <c r="KK120" s="1"/>
      <c r="KL120" s="1"/>
      <c r="KM120" s="1"/>
      <c r="KN120" s="1"/>
      <c r="KO120" s="1"/>
      <c r="KP120" s="1"/>
      <c r="KQ120" s="1"/>
      <c r="KR120" s="1"/>
      <c r="KS120" s="1"/>
      <c r="KT120" s="1"/>
      <c r="KU120" s="1"/>
      <c r="KV120" s="1"/>
      <c r="KW120" s="1"/>
      <c r="KX120" s="1"/>
      <c r="KY120" s="1"/>
      <c r="KZ120" s="1"/>
      <c r="LA120" s="1"/>
      <c r="LB120" s="1"/>
      <c r="LC120" s="1"/>
      <c r="LD120" s="1"/>
      <c r="LE120" s="1"/>
      <c r="LF120" s="1"/>
      <c r="LG120" s="1"/>
      <c r="LH120" s="1"/>
      <c r="LI120" s="1"/>
      <c r="LJ120" s="1"/>
      <c r="LK120" s="1"/>
      <c r="LL120" s="1"/>
      <c r="LM120" s="1"/>
      <c r="LN120" s="1"/>
      <c r="LO120" s="1"/>
      <c r="LP120" s="1"/>
      <c r="LQ120" s="1"/>
      <c r="LR120" s="1"/>
      <c r="LS120" s="1"/>
      <c r="LT120" s="1"/>
      <c r="LU120" s="1"/>
      <c r="LV120" s="1"/>
      <c r="LW120" s="1"/>
      <c r="LX120" s="1"/>
      <c r="LY120" s="1"/>
      <c r="LZ120" s="1"/>
      <c r="MA120" s="1"/>
      <c r="MB120" s="1"/>
      <c r="MC120" s="1"/>
      <c r="MD120" s="1"/>
      <c r="ME120" s="1"/>
      <c r="MF120" s="1"/>
      <c r="MG120" s="1"/>
      <c r="MH120" s="1"/>
      <c r="MI120" s="1"/>
      <c r="MJ120" s="1"/>
      <c r="MK120" s="1"/>
      <c r="ML120" s="1"/>
      <c r="MM120" s="1"/>
      <c r="MN120" s="1"/>
      <c r="MO120" s="1"/>
      <c r="MP120" s="1"/>
      <c r="MQ120" s="1"/>
      <c r="MR120" s="1"/>
      <c r="MS120" s="1"/>
      <c r="MT120" s="1"/>
      <c r="MU120" s="1"/>
      <c r="MV120" s="1"/>
      <c r="MW120" s="1"/>
      <c r="MX120" s="1"/>
      <c r="MY120" s="1"/>
      <c r="MZ120" s="1"/>
      <c r="NA120" s="1"/>
      <c r="NB120" s="1"/>
      <c r="NC120" s="1"/>
      <c r="ND120" s="1"/>
      <c r="NE120" s="1"/>
      <c r="NF120" s="1"/>
      <c r="NG120" s="1"/>
      <c r="NH120" s="1"/>
      <c r="NI120" s="1"/>
      <c r="NJ120" s="1"/>
      <c r="NK120" s="1"/>
      <c r="NL120" s="1"/>
      <c r="NM120" s="1"/>
      <c r="NN120" s="1"/>
      <c r="NO120" s="1"/>
      <c r="NP120" s="1"/>
      <c r="NQ120" s="1"/>
      <c r="NR120" s="1"/>
      <c r="NS120" s="1"/>
      <c r="NT120" s="1"/>
      <c r="NU120" s="1"/>
      <c r="NV120" s="1"/>
      <c r="NW120" s="1"/>
      <c r="NX120" s="1"/>
      <c r="NY120" s="1"/>
      <c r="NZ120" s="1"/>
      <c r="OA120" s="1"/>
      <c r="OB120" s="1"/>
      <c r="OC120" s="1"/>
      <c r="OD120" s="1"/>
      <c r="OE120" s="1"/>
      <c r="OF120" s="1"/>
      <c r="OG120" s="1"/>
      <c r="OH120" s="1"/>
      <c r="OI120" s="1"/>
      <c r="OJ120" s="1"/>
      <c r="OK120" s="1"/>
      <c r="OL120" s="1"/>
      <c r="OM120" s="1"/>
      <c r="ON120" s="1"/>
      <c r="OO120" s="1"/>
      <c r="OP120" s="1"/>
      <c r="OQ120" s="1"/>
      <c r="OR120" s="1"/>
      <c r="OS120" s="1"/>
      <c r="OT120" s="1"/>
      <c r="OU120" s="1"/>
      <c r="OV120" s="1"/>
      <c r="OW120" s="1"/>
      <c r="OX120" s="1"/>
      <c r="OY120" s="1"/>
      <c r="OZ120" s="1"/>
      <c r="PA120" s="1"/>
      <c r="PB120" s="1"/>
      <c r="PC120" s="1"/>
      <c r="PD120" s="1"/>
      <c r="PE120" s="1"/>
      <c r="PF120" s="1"/>
      <c r="PG120" s="1"/>
      <c r="PH120" s="1"/>
      <c r="PI120" s="1"/>
      <c r="PJ120" s="1"/>
      <c r="PK120" s="1"/>
      <c r="PL120" s="1"/>
      <c r="PM120" s="1"/>
      <c r="PN120" s="1"/>
      <c r="PO120" s="1"/>
      <c r="PP120" s="1"/>
      <c r="PQ120" s="1"/>
      <c r="PR120" s="1"/>
      <c r="PS120" s="1"/>
      <c r="PT120" s="1"/>
      <c r="PU120" s="1"/>
      <c r="PV120" s="1"/>
      <c r="PW120" s="1"/>
      <c r="PX120" s="1"/>
      <c r="PY120" s="1"/>
      <c r="PZ120" s="1"/>
      <c r="QA120" s="1"/>
      <c r="QB120" s="1"/>
      <c r="QC120" s="1"/>
      <c r="QD120" s="1"/>
      <c r="QE120" s="1"/>
      <c r="QF120" s="1"/>
      <c r="QG120" s="1"/>
      <c r="QH120" s="1"/>
      <c r="QI120" s="1"/>
      <c r="QJ120" s="1"/>
      <c r="QK120" s="1"/>
      <c r="QL120" s="1"/>
      <c r="QM120" s="1"/>
      <c r="QN120" s="1"/>
      <c r="QO120" s="1"/>
      <c r="QP120" s="1"/>
      <c r="QQ120" s="1"/>
      <c r="QR120" s="1"/>
      <c r="QS120" s="1"/>
      <c r="QT120" s="1"/>
      <c r="QU120" s="1"/>
      <c r="QV120" s="1"/>
      <c r="QW120" s="1"/>
      <c r="QX120" s="1"/>
      <c r="QY120" s="1"/>
      <c r="QZ120" s="1"/>
      <c r="RA120" s="1"/>
      <c r="RB120" s="1"/>
      <c r="RC120" s="1"/>
      <c r="RD120" s="1"/>
      <c r="RE120" s="1"/>
      <c r="RF120" s="1"/>
      <c r="RG120" s="1"/>
      <c r="RH120" s="1"/>
      <c r="RI120" s="1"/>
      <c r="RJ120" s="1"/>
      <c r="RK120" s="1"/>
      <c r="RL120" s="1"/>
      <c r="RM120" s="1"/>
      <c r="RN120" s="1"/>
      <c r="RO120" s="1"/>
      <c r="RP120" s="1"/>
      <c r="RQ120" s="1"/>
      <c r="RR120" s="1"/>
      <c r="RS120" s="1"/>
      <c r="RT120" s="1"/>
      <c r="RU120" s="1"/>
      <c r="RV120" s="1"/>
      <c r="RW120" s="1"/>
      <c r="RX120" s="1"/>
      <c r="RY120" s="1"/>
      <c r="RZ120" s="1"/>
      <c r="SA120" s="1"/>
      <c r="SB120" s="1"/>
      <c r="SC120" s="1"/>
      <c r="SD120" s="1"/>
      <c r="SE120" s="1"/>
      <c r="SF120" s="1"/>
      <c r="SG120" s="1"/>
      <c r="SH120" s="1"/>
      <c r="SI120" s="1"/>
      <c r="SJ120" s="1"/>
      <c r="SK120" s="1"/>
      <c r="SL120" s="1"/>
      <c r="SM120" s="1"/>
      <c r="SN120" s="1"/>
      <c r="SO120" s="1"/>
      <c r="SP120" s="1"/>
      <c r="SQ120" s="1"/>
      <c r="SR120" s="1"/>
      <c r="SS120" s="1"/>
      <c r="ST120" s="1"/>
      <c r="SU120" s="1"/>
      <c r="SV120" s="1"/>
      <c r="SW120" s="1"/>
      <c r="SX120" s="1"/>
      <c r="SY120" s="1"/>
      <c r="SZ120" s="1"/>
      <c r="TA120" s="1"/>
      <c r="TB120" s="1"/>
      <c r="TC120" s="1"/>
      <c r="TD120" s="1"/>
      <c r="TE120" s="1"/>
      <c r="TF120" s="1"/>
      <c r="TG120" s="1"/>
      <c r="TH120" s="1"/>
      <c r="TI120" s="1"/>
      <c r="TJ120" s="1"/>
      <c r="TK120" s="1"/>
      <c r="TL120" s="1"/>
      <c r="TM120" s="1"/>
      <c r="TN120" s="1"/>
      <c r="TO120" s="1"/>
      <c r="TP120" s="1"/>
      <c r="TQ120" s="1"/>
      <c r="TR120" s="1"/>
      <c r="TS120" s="1"/>
      <c r="TT120" s="1"/>
      <c r="TU120" s="1"/>
      <c r="TV120" s="1"/>
      <c r="TW120" s="1"/>
      <c r="TX120" s="1"/>
      <c r="TY120" s="1"/>
      <c r="TZ120" s="1"/>
      <c r="UA120" s="1"/>
      <c r="UB120" s="1"/>
      <c r="UC120" s="1"/>
      <c r="UD120" s="1"/>
      <c r="UE120" s="1"/>
      <c r="UF120" s="1"/>
      <c r="UG120" s="1"/>
      <c r="UH120" s="1"/>
      <c r="UI120" s="1"/>
      <c r="UJ120" s="1"/>
      <c r="UK120" s="1"/>
      <c r="UL120" s="1"/>
      <c r="UM120" s="1"/>
      <c r="UN120" s="1"/>
      <c r="UO120" s="1"/>
      <c r="UP120" s="1"/>
      <c r="UQ120" s="1"/>
      <c r="UR120" s="1"/>
      <c r="US120" s="1"/>
      <c r="UT120" s="1"/>
      <c r="UU120" s="1"/>
      <c r="UV120" s="1"/>
      <c r="UW120" s="1"/>
      <c r="UX120" s="1"/>
      <c r="UY120" s="1"/>
      <c r="UZ120" s="1"/>
      <c r="VA120" s="1"/>
      <c r="VB120" s="1"/>
      <c r="VC120" s="1"/>
      <c r="VD120" s="1"/>
      <c r="VE120" s="1"/>
      <c r="VF120" s="1"/>
      <c r="VG120" s="1"/>
      <c r="VH120" s="1"/>
      <c r="VI120" s="1"/>
      <c r="VJ120" s="1"/>
      <c r="VK120" s="1"/>
      <c r="VL120" s="1"/>
      <c r="VM120" s="1"/>
      <c r="VN120" s="1"/>
      <c r="VO120" s="1"/>
      <c r="VP120" s="1"/>
      <c r="VQ120" s="1"/>
      <c r="VR120" s="1"/>
      <c r="VS120" s="1"/>
      <c r="VT120" s="1"/>
      <c r="VU120" s="1"/>
      <c r="VV120" s="1"/>
      <c r="VW120" s="1"/>
      <c r="VX120" s="1"/>
      <c r="VY120" s="1"/>
      <c r="VZ120" s="1"/>
      <c r="WA120" s="1"/>
      <c r="WB120" s="1"/>
      <c r="WC120" s="1"/>
      <c r="WD120" s="1"/>
      <c r="WE120" s="1"/>
      <c r="WF120" s="1"/>
      <c r="WG120" s="1"/>
      <c r="WH120" s="1"/>
      <c r="WI120" s="1"/>
      <c r="WJ120" s="1"/>
      <c r="WK120" s="1"/>
      <c r="WL120" s="1"/>
      <c r="WM120" s="1"/>
      <c r="WN120" s="1"/>
      <c r="WO120" s="1"/>
      <c r="WP120" s="1"/>
      <c r="WQ120" s="1"/>
      <c r="WR120" s="1"/>
      <c r="WS120" s="1"/>
      <c r="WT120" s="1"/>
      <c r="WU120" s="1"/>
      <c r="WV120" s="1"/>
      <c r="WW120" s="1"/>
      <c r="WX120" s="1"/>
      <c r="WY120" s="1"/>
      <c r="WZ120" s="1"/>
      <c r="XA120" s="1"/>
      <c r="XB120" s="1"/>
      <c r="XC120" s="1"/>
      <c r="XD120" s="1"/>
      <c r="XE120" s="1"/>
      <c r="XF120" s="1"/>
      <c r="XG120" s="1"/>
      <c r="XH120" s="1"/>
      <c r="XI120" s="1"/>
      <c r="XJ120" s="1"/>
      <c r="XK120" s="1"/>
      <c r="XL120" s="1"/>
      <c r="XM120" s="1"/>
      <c r="XN120" s="1"/>
      <c r="XO120" s="1"/>
      <c r="XP120" s="1"/>
      <c r="XQ120" s="1"/>
      <c r="XR120" s="1"/>
      <c r="XS120" s="1"/>
      <c r="XT120" s="1"/>
      <c r="XU120" s="1"/>
      <c r="XV120" s="1"/>
      <c r="XW120" s="1"/>
      <c r="XX120" s="1"/>
      <c r="XY120" s="1"/>
      <c r="XZ120" s="1"/>
      <c r="YA120" s="1"/>
      <c r="YB120" s="1"/>
      <c r="YC120" s="1"/>
      <c r="YD120" s="1"/>
      <c r="YE120" s="1"/>
      <c r="YF120" s="1"/>
      <c r="YG120" s="1"/>
      <c r="YH120" s="1"/>
      <c r="YI120" s="1"/>
      <c r="YJ120" s="1"/>
      <c r="YK120" s="1"/>
      <c r="YL120" s="1"/>
      <c r="YM120" s="1"/>
      <c r="YN120" s="1"/>
      <c r="YO120" s="1"/>
      <c r="YP120" s="1"/>
      <c r="YQ120" s="1"/>
      <c r="YR120" s="1"/>
      <c r="YS120" s="1"/>
      <c r="YT120" s="1"/>
      <c r="YU120" s="1"/>
      <c r="YV120" s="1"/>
      <c r="YW120" s="1"/>
      <c r="YX120" s="1"/>
      <c r="YY120" s="1"/>
      <c r="YZ120" s="1"/>
      <c r="ZA120" s="1"/>
      <c r="ZB120" s="1"/>
      <c r="ZC120" s="1"/>
      <c r="ZD120" s="1"/>
      <c r="ZE120" s="1"/>
      <c r="ZF120" s="1"/>
      <c r="ZG120" s="1"/>
      <c r="ZH120" s="1"/>
      <c r="ZI120" s="1"/>
      <c r="ZJ120" s="1"/>
      <c r="ZK120" s="1"/>
      <c r="ZL120" s="1"/>
      <c r="ZM120" s="1"/>
      <c r="ZN120" s="1"/>
      <c r="ZO120" s="1"/>
      <c r="ZP120" s="1"/>
      <c r="ZQ120" s="1"/>
      <c r="ZR120" s="1"/>
      <c r="ZS120" s="1"/>
      <c r="ZT120" s="1"/>
      <c r="ZU120" s="1"/>
      <c r="ZV120" s="1"/>
      <c r="ZW120" s="1"/>
      <c r="ZX120" s="1"/>
      <c r="ZY120" s="1"/>
      <c r="ZZ120" s="1"/>
      <c r="AAA120" s="1"/>
      <c r="AAB120" s="1"/>
      <c r="AAC120" s="1"/>
      <c r="AAD120" s="1"/>
      <c r="AAE120" s="1"/>
      <c r="AAF120" s="1"/>
      <c r="AAG120" s="1"/>
      <c r="AAH120" s="1"/>
      <c r="AAI120" s="1"/>
      <c r="AAJ120" s="1"/>
      <c r="AAK120" s="1"/>
      <c r="AAL120" s="1"/>
      <c r="AAM120" s="1"/>
      <c r="AAN120" s="1"/>
      <c r="AAO120" s="1"/>
      <c r="AAP120" s="1"/>
      <c r="AAQ120" s="1"/>
      <c r="AAR120" s="1"/>
      <c r="AAS120" s="1"/>
      <c r="AAT120" s="1"/>
      <c r="AAU120" s="1"/>
      <c r="AAV120" s="1"/>
      <c r="AAW120" s="1"/>
      <c r="AAX120" s="1"/>
      <c r="AAY120" s="1"/>
      <c r="AAZ120" s="1"/>
      <c r="ABA120" s="1"/>
      <c r="ABB120" s="1"/>
      <c r="ABC120" s="1"/>
      <c r="ABD120" s="1"/>
      <c r="ABE120" s="1"/>
      <c r="ABF120" s="1"/>
      <c r="ABG120" s="1"/>
      <c r="ABH120" s="1"/>
      <c r="ABI120" s="1"/>
      <c r="ABJ120" s="1"/>
      <c r="ABK120" s="1"/>
      <c r="ABL120" s="1"/>
      <c r="ABM120" s="1"/>
      <c r="ABN120" s="1"/>
      <c r="ABO120" s="1"/>
      <c r="ABP120" s="1"/>
      <c r="ABQ120" s="1"/>
      <c r="ABR120" s="1"/>
      <c r="ABS120" s="1"/>
      <c r="ABT120" s="1"/>
      <c r="ABU120" s="1"/>
      <c r="ABV120" s="1"/>
      <c r="ABW120" s="1"/>
      <c r="ABX120" s="1"/>
      <c r="ABY120" s="1"/>
      <c r="ABZ120" s="1"/>
      <c r="ACA120" s="1"/>
      <c r="ACB120" s="1"/>
      <c r="ACC120" s="1"/>
      <c r="ACD120" s="1"/>
      <c r="ACE120" s="1"/>
      <c r="ACF120" s="1"/>
      <c r="ACG120" s="1"/>
      <c r="ACH120" s="1"/>
      <c r="ACI120" s="1"/>
      <c r="ACJ120" s="1"/>
      <c r="ACK120" s="1"/>
      <c r="ACL120" s="1"/>
      <c r="ACM120" s="1"/>
      <c r="ACN120" s="1"/>
      <c r="ACO120" s="1"/>
      <c r="ACP120" s="1"/>
      <c r="ACQ120" s="1"/>
      <c r="ACR120" s="1"/>
      <c r="ACS120" s="1"/>
      <c r="ACT120" s="1"/>
      <c r="ACU120" s="1"/>
      <c r="ACV120" s="1"/>
      <c r="ACW120" s="1"/>
      <c r="ACX120" s="1"/>
      <c r="ACY120" s="1"/>
      <c r="ACZ120" s="1"/>
      <c r="ADA120" s="1"/>
      <c r="ADB120" s="1"/>
      <c r="ADC120" s="1"/>
      <c r="ADD120" s="1"/>
      <c r="ADE120" s="1"/>
      <c r="ADF120" s="1"/>
      <c r="ADG120" s="1"/>
      <c r="ADH120" s="1"/>
      <c r="ADI120" s="1"/>
      <c r="ADJ120" s="1"/>
      <c r="ADK120" s="1"/>
      <c r="ADL120" s="1"/>
      <c r="ADM120" s="1"/>
      <c r="ADN120" s="1"/>
      <c r="ADO120" s="1"/>
      <c r="ADP120" s="1"/>
      <c r="ADQ120" s="1"/>
      <c r="ADR120" s="1"/>
      <c r="ADS120" s="1"/>
      <c r="ADT120" s="1"/>
      <c r="ADU120" s="1"/>
      <c r="ADV120" s="1"/>
      <c r="ADW120" s="1"/>
      <c r="ADX120" s="1"/>
      <c r="ADY120" s="1"/>
      <c r="ADZ120" s="1"/>
      <c r="AEA120" s="1"/>
      <c r="AEB120" s="1"/>
      <c r="AEC120" s="1"/>
      <c r="AED120" s="1"/>
      <c r="AEE120" s="1"/>
      <c r="AEF120" s="1"/>
      <c r="AEG120" s="1"/>
      <c r="AEH120" s="1"/>
      <c r="AEI120" s="1"/>
      <c r="AEJ120" s="1"/>
      <c r="AEK120" s="1"/>
      <c r="AEL120" s="1"/>
      <c r="AEM120" s="1"/>
      <c r="AEN120" s="1"/>
      <c r="AEO120" s="1"/>
      <c r="AEP120" s="1"/>
      <c r="AEQ120" s="1"/>
      <c r="AER120" s="1"/>
      <c r="AES120" s="1"/>
      <c r="AET120" s="1"/>
      <c r="AEU120" s="1"/>
      <c r="AEV120" s="1"/>
      <c r="AEW120" s="1"/>
      <c r="AEX120" s="1"/>
      <c r="AEY120" s="1"/>
      <c r="AEZ120" s="1"/>
      <c r="AFA120" s="1"/>
      <c r="AFB120" s="1"/>
      <c r="AFC120" s="1"/>
      <c r="AFD120" s="1"/>
      <c r="AFE120" s="1"/>
      <c r="AFF120" s="1"/>
      <c r="AFG120" s="1"/>
      <c r="AFH120" s="1"/>
      <c r="AFI120" s="1"/>
      <c r="AFJ120" s="1"/>
      <c r="AFK120" s="1"/>
      <c r="AFL120" s="1"/>
      <c r="AFM120" s="1"/>
      <c r="AFN120" s="1"/>
      <c r="AFO120" s="1"/>
      <c r="AFP120" s="1"/>
      <c r="AFQ120" s="1"/>
      <c r="AFR120" s="1"/>
      <c r="AFS120" s="1"/>
      <c r="AFT120" s="1"/>
      <c r="AFU120" s="1"/>
      <c r="AFV120" s="1"/>
      <c r="AFW120" s="1"/>
      <c r="AFX120" s="1"/>
      <c r="AFY120" s="1"/>
      <c r="AFZ120" s="1"/>
      <c r="AGA120" s="1"/>
      <c r="AGB120" s="1"/>
      <c r="AGC120" s="1"/>
      <c r="AGD120" s="1"/>
      <c r="AGE120" s="1"/>
      <c r="AGF120" s="1"/>
      <c r="AGG120" s="1"/>
      <c r="AGH120" s="1"/>
      <c r="AGI120" s="1"/>
      <c r="AGJ120" s="1"/>
      <c r="AGK120" s="1"/>
      <c r="AGL120" s="1"/>
      <c r="AGM120" s="1"/>
      <c r="AGN120" s="1"/>
      <c r="AGO120" s="1"/>
      <c r="AGP120" s="1"/>
      <c r="AGQ120" s="1"/>
      <c r="AGR120" s="1"/>
      <c r="AGS120" s="1"/>
      <c r="AGT120" s="1"/>
      <c r="AGU120" s="1"/>
      <c r="AGV120" s="1"/>
      <c r="AGW120" s="1"/>
      <c r="AGX120" s="1"/>
      <c r="AGY120" s="1"/>
      <c r="AGZ120" s="1"/>
      <c r="AHA120" s="1"/>
      <c r="AHB120" s="1"/>
      <c r="AHC120" s="1"/>
      <c r="AHD120" s="1"/>
      <c r="AHE120" s="1"/>
      <c r="AHF120" s="1"/>
      <c r="AHG120" s="1"/>
      <c r="AHH120" s="1"/>
      <c r="AHI120" s="1"/>
      <c r="AHJ120" s="1"/>
      <c r="AHK120" s="1"/>
      <c r="AHL120" s="1"/>
      <c r="AHM120" s="1"/>
      <c r="AHN120" s="1"/>
      <c r="AHO120" s="1"/>
      <c r="AHP120" s="1"/>
      <c r="AHQ120" s="1"/>
      <c r="AHR120" s="1"/>
      <c r="AHS120" s="1"/>
      <c r="AHT120" s="1"/>
      <c r="AHU120" s="1"/>
      <c r="AHV120" s="1"/>
      <c r="AHW120" s="1"/>
      <c r="AHX120" s="1"/>
      <c r="AHY120" s="1"/>
      <c r="AHZ120" s="1"/>
      <c r="AIA120" s="1"/>
      <c r="AIB120" s="1"/>
      <c r="AIC120" s="1"/>
      <c r="AID120" s="1"/>
      <c r="AIE120" s="1"/>
      <c r="AIF120" s="1"/>
      <c r="AIG120" s="1"/>
      <c r="AIH120" s="1"/>
      <c r="AII120" s="1"/>
      <c r="AIJ120" s="1"/>
      <c r="AIK120" s="1"/>
      <c r="AIL120" s="1"/>
      <c r="AIM120" s="1"/>
      <c r="AIN120" s="1"/>
      <c r="AIO120" s="1"/>
      <c r="AIP120" s="1"/>
      <c r="AIQ120" s="1"/>
      <c r="AIR120" s="1"/>
      <c r="AIS120" s="1"/>
      <c r="AIT120" s="1"/>
      <c r="AIU120" s="1"/>
      <c r="AIV120" s="1"/>
      <c r="AIW120" s="1"/>
      <c r="AIX120" s="1"/>
      <c r="AIY120" s="1"/>
      <c r="AIZ120" s="1"/>
      <c r="AJA120" s="1"/>
      <c r="AJB120" s="1"/>
      <c r="AJC120" s="1"/>
      <c r="AJD120" s="1"/>
      <c r="AJE120" s="1"/>
      <c r="AJF120" s="1"/>
      <c r="AJG120" s="1"/>
      <c r="AJH120" s="1"/>
      <c r="AJI120" s="1"/>
      <c r="AJJ120" s="1"/>
      <c r="AJK120" s="1"/>
      <c r="AJL120" s="1"/>
      <c r="AJM120" s="1"/>
      <c r="AJN120" s="1"/>
      <c r="AJO120" s="1"/>
      <c r="AJP120" s="1"/>
      <c r="AJQ120" s="1"/>
      <c r="AJR120" s="1"/>
      <c r="AJS120" s="1"/>
      <c r="AJT120" s="1"/>
      <c r="AJU120" s="1"/>
      <c r="AJV120" s="1"/>
      <c r="AJW120" s="1"/>
      <c r="AJX120" s="1"/>
      <c r="AJY120" s="1"/>
      <c r="AJZ120" s="1"/>
      <c r="AKA120" s="1"/>
      <c r="AKB120" s="1"/>
      <c r="AKC120" s="1"/>
      <c r="AKD120" s="1"/>
      <c r="AKE120" s="1"/>
      <c r="AKF120" s="1"/>
      <c r="AKG120" s="1"/>
      <c r="AKH120" s="1"/>
      <c r="AKI120" s="1"/>
      <c r="AKJ120" s="1"/>
      <c r="AKK120" s="1"/>
      <c r="AKL120" s="1"/>
      <c r="AKM120" s="1"/>
      <c r="AKN120" s="1"/>
      <c r="AKO120" s="1"/>
      <c r="AKP120" s="1"/>
      <c r="AKQ120" s="1"/>
      <c r="AKR120" s="1"/>
      <c r="AKS120" s="1"/>
      <c r="AKT120" s="1"/>
      <c r="AKU120" s="1"/>
      <c r="AKV120" s="1"/>
      <c r="AKW120" s="1"/>
      <c r="AKX120" s="1"/>
      <c r="AKY120" s="1"/>
      <c r="AKZ120" s="1"/>
      <c r="ALA120" s="1"/>
      <c r="ALB120" s="1"/>
      <c r="ALC120" s="1"/>
      <c r="ALD120" s="1"/>
      <c r="ALE120" s="1"/>
      <c r="ALF120" s="1"/>
      <c r="ALG120" s="1"/>
      <c r="ALH120" s="1"/>
      <c r="ALI120" s="1"/>
      <c r="ALJ120" s="1"/>
      <c r="ALK120" s="1"/>
      <c r="ALL120" s="1"/>
      <c r="ALM120" s="1"/>
      <c r="ALN120" s="1"/>
      <c r="ALO120" s="1"/>
      <c r="ALP120" s="1"/>
      <c r="ALQ120" s="1"/>
      <c r="ALR120" s="1"/>
      <c r="ALS120" s="1"/>
      <c r="ALT120" s="1"/>
      <c r="ALU120" s="1"/>
      <c r="ALV120" s="1"/>
      <c r="ALW120" s="1"/>
      <c r="ALX120" s="1"/>
      <c r="ALY120" s="1"/>
      <c r="ALZ120" s="1"/>
      <c r="AMA120" s="1"/>
      <c r="AMB120" s="1"/>
      <c r="AMC120" s="1"/>
      <c r="AMD120" s="1"/>
      <c r="AME120" s="1"/>
      <c r="AMF120" s="1"/>
      <c r="AMG120" s="1"/>
      <c r="AMH120" s="1"/>
      <c r="AMI120" s="1"/>
      <c r="AMJ120" s="1"/>
    </row>
    <row r="121" customFormat="false" ht="10.5" hidden="false" customHeight="true" outlineLevel="0" collapsed="false">
      <c r="A121" s="162"/>
      <c r="B121" s="162"/>
      <c r="C121" s="162"/>
      <c r="D121" s="162"/>
      <c r="E121" s="162"/>
      <c r="F121" s="162"/>
      <c r="G121" s="162"/>
      <c r="H121" s="162"/>
      <c r="I121" s="162"/>
      <c r="J121" s="163"/>
      <c r="K121" s="163"/>
      <c r="L121" s="163"/>
      <c r="M121" s="164"/>
      <c r="N121" s="164"/>
      <c r="O121" s="164"/>
      <c r="P121" s="165" t="n">
        <f aca="false">J121*M121</f>
        <v>0</v>
      </c>
      <c r="Q121" s="165"/>
      <c r="R121" s="165"/>
      <c r="S121" s="151"/>
      <c r="T121" s="151"/>
      <c r="U121" s="166"/>
      <c r="V121" s="166"/>
      <c r="W121" s="166"/>
      <c r="X121" s="166"/>
      <c r="Y121" s="166"/>
      <c r="Z121" s="166"/>
      <c r="AA121" s="166"/>
      <c r="AB121" s="166"/>
      <c r="AC121" s="166"/>
      <c r="AD121" s="166"/>
      <c r="AE121" s="166"/>
      <c r="AF121" s="166"/>
      <c r="AG121" s="167"/>
      <c r="AH121" s="167"/>
      <c r="AI121" s="167"/>
      <c r="AJ121" s="168"/>
      <c r="AK121" s="168"/>
      <c r="AL121" s="168"/>
      <c r="AM121" s="140" t="n">
        <f aca="false">AG121*AJ121</f>
        <v>0</v>
      </c>
      <c r="AN121" s="140"/>
      <c r="AO121" s="140"/>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c r="IY121" s="1"/>
      <c r="IZ121" s="1"/>
      <c r="JA121" s="1"/>
      <c r="JB121" s="1"/>
      <c r="JC121" s="1"/>
      <c r="JD121" s="1"/>
      <c r="JE121" s="1"/>
      <c r="JF121" s="1"/>
      <c r="JG121" s="1"/>
      <c r="JH121" s="1"/>
      <c r="JI121" s="1"/>
      <c r="JJ121" s="1"/>
      <c r="JK121" s="1"/>
      <c r="JL121" s="1"/>
      <c r="JM121" s="1"/>
      <c r="JN121" s="1"/>
      <c r="JO121" s="1"/>
      <c r="JP121" s="1"/>
      <c r="JQ121" s="1"/>
      <c r="JR121" s="1"/>
      <c r="JS121" s="1"/>
      <c r="JT121" s="1"/>
      <c r="JU121" s="1"/>
      <c r="JV121" s="1"/>
      <c r="JW121" s="1"/>
      <c r="JX121" s="1"/>
      <c r="JY121" s="1"/>
      <c r="JZ121" s="1"/>
      <c r="KA121" s="1"/>
      <c r="KB121" s="1"/>
      <c r="KC121" s="1"/>
      <c r="KD121" s="1"/>
      <c r="KE121" s="1"/>
      <c r="KF121" s="1"/>
      <c r="KG121" s="1"/>
      <c r="KH121" s="1"/>
      <c r="KI121" s="1"/>
      <c r="KJ121" s="1"/>
      <c r="KK121" s="1"/>
      <c r="KL121" s="1"/>
      <c r="KM121" s="1"/>
      <c r="KN121" s="1"/>
      <c r="KO121" s="1"/>
      <c r="KP121" s="1"/>
      <c r="KQ121" s="1"/>
      <c r="KR121" s="1"/>
      <c r="KS121" s="1"/>
      <c r="KT121" s="1"/>
      <c r="KU121" s="1"/>
      <c r="KV121" s="1"/>
      <c r="KW121" s="1"/>
      <c r="KX121" s="1"/>
      <c r="KY121" s="1"/>
      <c r="KZ121" s="1"/>
      <c r="LA121" s="1"/>
      <c r="LB121" s="1"/>
      <c r="LC121" s="1"/>
      <c r="LD121" s="1"/>
      <c r="LE121" s="1"/>
      <c r="LF121" s="1"/>
      <c r="LG121" s="1"/>
      <c r="LH121" s="1"/>
      <c r="LI121" s="1"/>
      <c r="LJ121" s="1"/>
      <c r="LK121" s="1"/>
      <c r="LL121" s="1"/>
      <c r="LM121" s="1"/>
      <c r="LN121" s="1"/>
      <c r="LO121" s="1"/>
      <c r="LP121" s="1"/>
      <c r="LQ121" s="1"/>
      <c r="LR121" s="1"/>
      <c r="LS121" s="1"/>
      <c r="LT121" s="1"/>
      <c r="LU121" s="1"/>
      <c r="LV121" s="1"/>
      <c r="LW121" s="1"/>
      <c r="LX121" s="1"/>
      <c r="LY121" s="1"/>
      <c r="LZ121" s="1"/>
      <c r="MA121" s="1"/>
      <c r="MB121" s="1"/>
      <c r="MC121" s="1"/>
      <c r="MD121" s="1"/>
      <c r="ME121" s="1"/>
      <c r="MF121" s="1"/>
      <c r="MG121" s="1"/>
      <c r="MH121" s="1"/>
      <c r="MI121" s="1"/>
      <c r="MJ121" s="1"/>
      <c r="MK121" s="1"/>
      <c r="ML121" s="1"/>
      <c r="MM121" s="1"/>
      <c r="MN121" s="1"/>
      <c r="MO121" s="1"/>
      <c r="MP121" s="1"/>
      <c r="MQ121" s="1"/>
      <c r="MR121" s="1"/>
      <c r="MS121" s="1"/>
      <c r="MT121" s="1"/>
      <c r="MU121" s="1"/>
      <c r="MV121" s="1"/>
      <c r="MW121" s="1"/>
      <c r="MX121" s="1"/>
      <c r="MY121" s="1"/>
      <c r="MZ121" s="1"/>
      <c r="NA121" s="1"/>
      <c r="NB121" s="1"/>
      <c r="NC121" s="1"/>
      <c r="ND121" s="1"/>
      <c r="NE121" s="1"/>
      <c r="NF121" s="1"/>
      <c r="NG121" s="1"/>
      <c r="NH121" s="1"/>
      <c r="NI121" s="1"/>
      <c r="NJ121" s="1"/>
      <c r="NK121" s="1"/>
      <c r="NL121" s="1"/>
      <c r="NM121" s="1"/>
      <c r="NN121" s="1"/>
      <c r="NO121" s="1"/>
      <c r="NP121" s="1"/>
      <c r="NQ121" s="1"/>
      <c r="NR121" s="1"/>
      <c r="NS121" s="1"/>
      <c r="NT121" s="1"/>
      <c r="NU121" s="1"/>
      <c r="NV121" s="1"/>
      <c r="NW121" s="1"/>
      <c r="NX121" s="1"/>
      <c r="NY121" s="1"/>
      <c r="NZ121" s="1"/>
      <c r="OA121" s="1"/>
      <c r="OB121" s="1"/>
      <c r="OC121" s="1"/>
      <c r="OD121" s="1"/>
      <c r="OE121" s="1"/>
      <c r="OF121" s="1"/>
      <c r="OG121" s="1"/>
      <c r="OH121" s="1"/>
      <c r="OI121" s="1"/>
      <c r="OJ121" s="1"/>
      <c r="OK121" s="1"/>
      <c r="OL121" s="1"/>
      <c r="OM121" s="1"/>
      <c r="ON121" s="1"/>
      <c r="OO121" s="1"/>
      <c r="OP121" s="1"/>
      <c r="OQ121" s="1"/>
      <c r="OR121" s="1"/>
      <c r="OS121" s="1"/>
      <c r="OT121" s="1"/>
      <c r="OU121" s="1"/>
      <c r="OV121" s="1"/>
      <c r="OW121" s="1"/>
      <c r="OX121" s="1"/>
      <c r="OY121" s="1"/>
      <c r="OZ121" s="1"/>
      <c r="PA121" s="1"/>
      <c r="PB121" s="1"/>
      <c r="PC121" s="1"/>
      <c r="PD121" s="1"/>
      <c r="PE121" s="1"/>
      <c r="PF121" s="1"/>
      <c r="PG121" s="1"/>
      <c r="PH121" s="1"/>
      <c r="PI121" s="1"/>
      <c r="PJ121" s="1"/>
      <c r="PK121" s="1"/>
      <c r="PL121" s="1"/>
      <c r="PM121" s="1"/>
      <c r="PN121" s="1"/>
      <c r="PO121" s="1"/>
      <c r="PP121" s="1"/>
      <c r="PQ121" s="1"/>
      <c r="PR121" s="1"/>
      <c r="PS121" s="1"/>
      <c r="PT121" s="1"/>
      <c r="PU121" s="1"/>
      <c r="PV121" s="1"/>
      <c r="PW121" s="1"/>
      <c r="PX121" s="1"/>
      <c r="PY121" s="1"/>
      <c r="PZ121" s="1"/>
      <c r="QA121" s="1"/>
      <c r="QB121" s="1"/>
      <c r="QC121" s="1"/>
      <c r="QD121" s="1"/>
      <c r="QE121" s="1"/>
      <c r="QF121" s="1"/>
      <c r="QG121" s="1"/>
      <c r="QH121" s="1"/>
      <c r="QI121" s="1"/>
      <c r="QJ121" s="1"/>
      <c r="QK121" s="1"/>
      <c r="QL121" s="1"/>
      <c r="QM121" s="1"/>
      <c r="QN121" s="1"/>
      <c r="QO121" s="1"/>
      <c r="QP121" s="1"/>
      <c r="QQ121" s="1"/>
      <c r="QR121" s="1"/>
      <c r="QS121" s="1"/>
      <c r="QT121" s="1"/>
      <c r="QU121" s="1"/>
      <c r="QV121" s="1"/>
      <c r="QW121" s="1"/>
      <c r="QX121" s="1"/>
      <c r="QY121" s="1"/>
      <c r="QZ121" s="1"/>
      <c r="RA121" s="1"/>
      <c r="RB121" s="1"/>
      <c r="RC121" s="1"/>
      <c r="RD121" s="1"/>
      <c r="RE121" s="1"/>
      <c r="RF121" s="1"/>
      <c r="RG121" s="1"/>
      <c r="RH121" s="1"/>
      <c r="RI121" s="1"/>
      <c r="RJ121" s="1"/>
      <c r="RK121" s="1"/>
      <c r="RL121" s="1"/>
      <c r="RM121" s="1"/>
      <c r="RN121" s="1"/>
      <c r="RO121" s="1"/>
      <c r="RP121" s="1"/>
      <c r="RQ121" s="1"/>
      <c r="RR121" s="1"/>
      <c r="RS121" s="1"/>
      <c r="RT121" s="1"/>
      <c r="RU121" s="1"/>
      <c r="RV121" s="1"/>
      <c r="RW121" s="1"/>
      <c r="RX121" s="1"/>
      <c r="RY121" s="1"/>
      <c r="RZ121" s="1"/>
      <c r="SA121" s="1"/>
      <c r="SB121" s="1"/>
      <c r="SC121" s="1"/>
      <c r="SD121" s="1"/>
      <c r="SE121" s="1"/>
      <c r="SF121" s="1"/>
      <c r="SG121" s="1"/>
      <c r="SH121" s="1"/>
      <c r="SI121" s="1"/>
      <c r="SJ121" s="1"/>
      <c r="SK121" s="1"/>
      <c r="SL121" s="1"/>
      <c r="SM121" s="1"/>
      <c r="SN121" s="1"/>
      <c r="SO121" s="1"/>
      <c r="SP121" s="1"/>
      <c r="SQ121" s="1"/>
      <c r="SR121" s="1"/>
      <c r="SS121" s="1"/>
      <c r="ST121" s="1"/>
      <c r="SU121" s="1"/>
      <c r="SV121" s="1"/>
      <c r="SW121" s="1"/>
      <c r="SX121" s="1"/>
      <c r="SY121" s="1"/>
      <c r="SZ121" s="1"/>
      <c r="TA121" s="1"/>
      <c r="TB121" s="1"/>
      <c r="TC121" s="1"/>
      <c r="TD121" s="1"/>
      <c r="TE121" s="1"/>
      <c r="TF121" s="1"/>
      <c r="TG121" s="1"/>
      <c r="TH121" s="1"/>
      <c r="TI121" s="1"/>
      <c r="TJ121" s="1"/>
      <c r="TK121" s="1"/>
      <c r="TL121" s="1"/>
      <c r="TM121" s="1"/>
      <c r="TN121" s="1"/>
      <c r="TO121" s="1"/>
      <c r="TP121" s="1"/>
      <c r="TQ121" s="1"/>
      <c r="TR121" s="1"/>
      <c r="TS121" s="1"/>
      <c r="TT121" s="1"/>
      <c r="TU121" s="1"/>
      <c r="TV121" s="1"/>
      <c r="TW121" s="1"/>
      <c r="TX121" s="1"/>
      <c r="TY121" s="1"/>
      <c r="TZ121" s="1"/>
      <c r="UA121" s="1"/>
      <c r="UB121" s="1"/>
      <c r="UC121" s="1"/>
      <c r="UD121" s="1"/>
      <c r="UE121" s="1"/>
      <c r="UF121" s="1"/>
      <c r="UG121" s="1"/>
      <c r="UH121" s="1"/>
      <c r="UI121" s="1"/>
      <c r="UJ121" s="1"/>
      <c r="UK121" s="1"/>
      <c r="UL121" s="1"/>
      <c r="UM121" s="1"/>
      <c r="UN121" s="1"/>
      <c r="UO121" s="1"/>
      <c r="UP121" s="1"/>
      <c r="UQ121" s="1"/>
      <c r="UR121" s="1"/>
      <c r="US121" s="1"/>
      <c r="UT121" s="1"/>
      <c r="UU121" s="1"/>
      <c r="UV121" s="1"/>
      <c r="UW121" s="1"/>
      <c r="UX121" s="1"/>
      <c r="UY121" s="1"/>
      <c r="UZ121" s="1"/>
      <c r="VA121" s="1"/>
      <c r="VB121" s="1"/>
      <c r="VC121" s="1"/>
      <c r="VD121" s="1"/>
      <c r="VE121" s="1"/>
      <c r="VF121" s="1"/>
      <c r="VG121" s="1"/>
      <c r="VH121" s="1"/>
      <c r="VI121" s="1"/>
      <c r="VJ121" s="1"/>
      <c r="VK121" s="1"/>
      <c r="VL121" s="1"/>
      <c r="VM121" s="1"/>
      <c r="VN121" s="1"/>
      <c r="VO121" s="1"/>
      <c r="VP121" s="1"/>
      <c r="VQ121" s="1"/>
      <c r="VR121" s="1"/>
      <c r="VS121" s="1"/>
      <c r="VT121" s="1"/>
      <c r="VU121" s="1"/>
      <c r="VV121" s="1"/>
      <c r="VW121" s="1"/>
      <c r="VX121" s="1"/>
      <c r="VY121" s="1"/>
      <c r="VZ121" s="1"/>
      <c r="WA121" s="1"/>
      <c r="WB121" s="1"/>
      <c r="WC121" s="1"/>
      <c r="WD121" s="1"/>
      <c r="WE121" s="1"/>
      <c r="WF121" s="1"/>
      <c r="WG121" s="1"/>
      <c r="WH121" s="1"/>
      <c r="WI121" s="1"/>
      <c r="WJ121" s="1"/>
      <c r="WK121" s="1"/>
      <c r="WL121" s="1"/>
      <c r="WM121" s="1"/>
      <c r="WN121" s="1"/>
      <c r="WO121" s="1"/>
      <c r="WP121" s="1"/>
      <c r="WQ121" s="1"/>
      <c r="WR121" s="1"/>
      <c r="WS121" s="1"/>
      <c r="WT121" s="1"/>
      <c r="WU121" s="1"/>
      <c r="WV121" s="1"/>
      <c r="WW121" s="1"/>
      <c r="WX121" s="1"/>
      <c r="WY121" s="1"/>
      <c r="WZ121" s="1"/>
      <c r="XA121" s="1"/>
      <c r="XB121" s="1"/>
      <c r="XC121" s="1"/>
      <c r="XD121" s="1"/>
      <c r="XE121" s="1"/>
      <c r="XF121" s="1"/>
      <c r="XG121" s="1"/>
      <c r="XH121" s="1"/>
      <c r="XI121" s="1"/>
      <c r="XJ121" s="1"/>
      <c r="XK121" s="1"/>
      <c r="XL121" s="1"/>
      <c r="XM121" s="1"/>
      <c r="XN121" s="1"/>
      <c r="XO121" s="1"/>
      <c r="XP121" s="1"/>
      <c r="XQ121" s="1"/>
      <c r="XR121" s="1"/>
      <c r="XS121" s="1"/>
      <c r="XT121" s="1"/>
      <c r="XU121" s="1"/>
      <c r="XV121" s="1"/>
      <c r="XW121" s="1"/>
      <c r="XX121" s="1"/>
      <c r="XY121" s="1"/>
      <c r="XZ121" s="1"/>
      <c r="YA121" s="1"/>
      <c r="YB121" s="1"/>
      <c r="YC121" s="1"/>
      <c r="YD121" s="1"/>
      <c r="YE121" s="1"/>
      <c r="YF121" s="1"/>
      <c r="YG121" s="1"/>
      <c r="YH121" s="1"/>
      <c r="YI121" s="1"/>
      <c r="YJ121" s="1"/>
      <c r="YK121" s="1"/>
      <c r="YL121" s="1"/>
      <c r="YM121" s="1"/>
      <c r="YN121" s="1"/>
      <c r="YO121" s="1"/>
      <c r="YP121" s="1"/>
      <c r="YQ121" s="1"/>
      <c r="YR121" s="1"/>
      <c r="YS121" s="1"/>
      <c r="YT121" s="1"/>
      <c r="YU121" s="1"/>
      <c r="YV121" s="1"/>
      <c r="YW121" s="1"/>
      <c r="YX121" s="1"/>
      <c r="YY121" s="1"/>
      <c r="YZ121" s="1"/>
      <c r="ZA121" s="1"/>
      <c r="ZB121" s="1"/>
      <c r="ZC121" s="1"/>
      <c r="ZD121" s="1"/>
      <c r="ZE121" s="1"/>
      <c r="ZF121" s="1"/>
      <c r="ZG121" s="1"/>
      <c r="ZH121" s="1"/>
      <c r="ZI121" s="1"/>
      <c r="ZJ121" s="1"/>
      <c r="ZK121" s="1"/>
      <c r="ZL121" s="1"/>
      <c r="ZM121" s="1"/>
      <c r="ZN121" s="1"/>
      <c r="ZO121" s="1"/>
      <c r="ZP121" s="1"/>
      <c r="ZQ121" s="1"/>
      <c r="ZR121" s="1"/>
      <c r="ZS121" s="1"/>
      <c r="ZT121" s="1"/>
      <c r="ZU121" s="1"/>
      <c r="ZV121" s="1"/>
      <c r="ZW121" s="1"/>
      <c r="ZX121" s="1"/>
      <c r="ZY121" s="1"/>
      <c r="ZZ121" s="1"/>
      <c r="AAA121" s="1"/>
      <c r="AAB121" s="1"/>
      <c r="AAC121" s="1"/>
      <c r="AAD121" s="1"/>
      <c r="AAE121" s="1"/>
      <c r="AAF121" s="1"/>
      <c r="AAG121" s="1"/>
      <c r="AAH121" s="1"/>
      <c r="AAI121" s="1"/>
      <c r="AAJ121" s="1"/>
      <c r="AAK121" s="1"/>
      <c r="AAL121" s="1"/>
      <c r="AAM121" s="1"/>
      <c r="AAN121" s="1"/>
      <c r="AAO121" s="1"/>
      <c r="AAP121" s="1"/>
      <c r="AAQ121" s="1"/>
      <c r="AAR121" s="1"/>
      <c r="AAS121" s="1"/>
      <c r="AAT121" s="1"/>
      <c r="AAU121" s="1"/>
      <c r="AAV121" s="1"/>
      <c r="AAW121" s="1"/>
      <c r="AAX121" s="1"/>
      <c r="AAY121" s="1"/>
      <c r="AAZ121" s="1"/>
      <c r="ABA121" s="1"/>
      <c r="ABB121" s="1"/>
      <c r="ABC121" s="1"/>
      <c r="ABD121" s="1"/>
      <c r="ABE121" s="1"/>
      <c r="ABF121" s="1"/>
      <c r="ABG121" s="1"/>
      <c r="ABH121" s="1"/>
      <c r="ABI121" s="1"/>
      <c r="ABJ121" s="1"/>
      <c r="ABK121" s="1"/>
      <c r="ABL121" s="1"/>
      <c r="ABM121" s="1"/>
      <c r="ABN121" s="1"/>
      <c r="ABO121" s="1"/>
      <c r="ABP121" s="1"/>
      <c r="ABQ121" s="1"/>
      <c r="ABR121" s="1"/>
      <c r="ABS121" s="1"/>
      <c r="ABT121" s="1"/>
      <c r="ABU121" s="1"/>
      <c r="ABV121" s="1"/>
      <c r="ABW121" s="1"/>
      <c r="ABX121" s="1"/>
      <c r="ABY121" s="1"/>
      <c r="ABZ121" s="1"/>
      <c r="ACA121" s="1"/>
      <c r="ACB121" s="1"/>
      <c r="ACC121" s="1"/>
      <c r="ACD121" s="1"/>
      <c r="ACE121" s="1"/>
      <c r="ACF121" s="1"/>
      <c r="ACG121" s="1"/>
      <c r="ACH121" s="1"/>
      <c r="ACI121" s="1"/>
      <c r="ACJ121" s="1"/>
      <c r="ACK121" s="1"/>
      <c r="ACL121" s="1"/>
      <c r="ACM121" s="1"/>
      <c r="ACN121" s="1"/>
      <c r="ACO121" s="1"/>
      <c r="ACP121" s="1"/>
      <c r="ACQ121" s="1"/>
      <c r="ACR121" s="1"/>
      <c r="ACS121" s="1"/>
      <c r="ACT121" s="1"/>
      <c r="ACU121" s="1"/>
      <c r="ACV121" s="1"/>
      <c r="ACW121" s="1"/>
      <c r="ACX121" s="1"/>
      <c r="ACY121" s="1"/>
      <c r="ACZ121" s="1"/>
      <c r="ADA121" s="1"/>
      <c r="ADB121" s="1"/>
      <c r="ADC121" s="1"/>
      <c r="ADD121" s="1"/>
      <c r="ADE121" s="1"/>
      <c r="ADF121" s="1"/>
      <c r="ADG121" s="1"/>
      <c r="ADH121" s="1"/>
      <c r="ADI121" s="1"/>
      <c r="ADJ121" s="1"/>
      <c r="ADK121" s="1"/>
      <c r="ADL121" s="1"/>
      <c r="ADM121" s="1"/>
      <c r="ADN121" s="1"/>
      <c r="ADO121" s="1"/>
      <c r="ADP121" s="1"/>
      <c r="ADQ121" s="1"/>
      <c r="ADR121" s="1"/>
      <c r="ADS121" s="1"/>
      <c r="ADT121" s="1"/>
      <c r="ADU121" s="1"/>
      <c r="ADV121" s="1"/>
      <c r="ADW121" s="1"/>
      <c r="ADX121" s="1"/>
      <c r="ADY121" s="1"/>
      <c r="ADZ121" s="1"/>
      <c r="AEA121" s="1"/>
      <c r="AEB121" s="1"/>
      <c r="AEC121" s="1"/>
      <c r="AED121" s="1"/>
      <c r="AEE121" s="1"/>
      <c r="AEF121" s="1"/>
      <c r="AEG121" s="1"/>
      <c r="AEH121" s="1"/>
      <c r="AEI121" s="1"/>
      <c r="AEJ121" s="1"/>
      <c r="AEK121" s="1"/>
      <c r="AEL121" s="1"/>
      <c r="AEM121" s="1"/>
      <c r="AEN121" s="1"/>
      <c r="AEO121" s="1"/>
      <c r="AEP121" s="1"/>
      <c r="AEQ121" s="1"/>
      <c r="AER121" s="1"/>
      <c r="AES121" s="1"/>
      <c r="AET121" s="1"/>
      <c r="AEU121" s="1"/>
      <c r="AEV121" s="1"/>
      <c r="AEW121" s="1"/>
      <c r="AEX121" s="1"/>
      <c r="AEY121" s="1"/>
      <c r="AEZ121" s="1"/>
      <c r="AFA121" s="1"/>
      <c r="AFB121" s="1"/>
      <c r="AFC121" s="1"/>
      <c r="AFD121" s="1"/>
      <c r="AFE121" s="1"/>
      <c r="AFF121" s="1"/>
      <c r="AFG121" s="1"/>
      <c r="AFH121" s="1"/>
      <c r="AFI121" s="1"/>
      <c r="AFJ121" s="1"/>
      <c r="AFK121" s="1"/>
      <c r="AFL121" s="1"/>
      <c r="AFM121" s="1"/>
      <c r="AFN121" s="1"/>
      <c r="AFO121" s="1"/>
      <c r="AFP121" s="1"/>
      <c r="AFQ121" s="1"/>
      <c r="AFR121" s="1"/>
      <c r="AFS121" s="1"/>
      <c r="AFT121" s="1"/>
      <c r="AFU121" s="1"/>
      <c r="AFV121" s="1"/>
      <c r="AFW121" s="1"/>
      <c r="AFX121" s="1"/>
      <c r="AFY121" s="1"/>
      <c r="AFZ121" s="1"/>
      <c r="AGA121" s="1"/>
      <c r="AGB121" s="1"/>
      <c r="AGC121" s="1"/>
      <c r="AGD121" s="1"/>
      <c r="AGE121" s="1"/>
      <c r="AGF121" s="1"/>
      <c r="AGG121" s="1"/>
      <c r="AGH121" s="1"/>
      <c r="AGI121" s="1"/>
      <c r="AGJ121" s="1"/>
      <c r="AGK121" s="1"/>
      <c r="AGL121" s="1"/>
      <c r="AGM121" s="1"/>
      <c r="AGN121" s="1"/>
      <c r="AGO121" s="1"/>
      <c r="AGP121" s="1"/>
      <c r="AGQ121" s="1"/>
      <c r="AGR121" s="1"/>
      <c r="AGS121" s="1"/>
      <c r="AGT121" s="1"/>
      <c r="AGU121" s="1"/>
      <c r="AGV121" s="1"/>
      <c r="AGW121" s="1"/>
      <c r="AGX121" s="1"/>
      <c r="AGY121" s="1"/>
      <c r="AGZ121" s="1"/>
      <c r="AHA121" s="1"/>
      <c r="AHB121" s="1"/>
      <c r="AHC121" s="1"/>
      <c r="AHD121" s="1"/>
      <c r="AHE121" s="1"/>
      <c r="AHF121" s="1"/>
      <c r="AHG121" s="1"/>
      <c r="AHH121" s="1"/>
      <c r="AHI121" s="1"/>
      <c r="AHJ121" s="1"/>
      <c r="AHK121" s="1"/>
      <c r="AHL121" s="1"/>
      <c r="AHM121" s="1"/>
      <c r="AHN121" s="1"/>
      <c r="AHO121" s="1"/>
      <c r="AHP121" s="1"/>
      <c r="AHQ121" s="1"/>
      <c r="AHR121" s="1"/>
      <c r="AHS121" s="1"/>
      <c r="AHT121" s="1"/>
      <c r="AHU121" s="1"/>
      <c r="AHV121" s="1"/>
      <c r="AHW121" s="1"/>
      <c r="AHX121" s="1"/>
      <c r="AHY121" s="1"/>
      <c r="AHZ121" s="1"/>
      <c r="AIA121" s="1"/>
      <c r="AIB121" s="1"/>
      <c r="AIC121" s="1"/>
      <c r="AID121" s="1"/>
      <c r="AIE121" s="1"/>
      <c r="AIF121" s="1"/>
      <c r="AIG121" s="1"/>
      <c r="AIH121" s="1"/>
      <c r="AII121" s="1"/>
      <c r="AIJ121" s="1"/>
      <c r="AIK121" s="1"/>
      <c r="AIL121" s="1"/>
      <c r="AIM121" s="1"/>
      <c r="AIN121" s="1"/>
      <c r="AIO121" s="1"/>
      <c r="AIP121" s="1"/>
      <c r="AIQ121" s="1"/>
      <c r="AIR121" s="1"/>
      <c r="AIS121" s="1"/>
      <c r="AIT121" s="1"/>
      <c r="AIU121" s="1"/>
      <c r="AIV121" s="1"/>
      <c r="AIW121" s="1"/>
      <c r="AIX121" s="1"/>
      <c r="AIY121" s="1"/>
      <c r="AIZ121" s="1"/>
      <c r="AJA121" s="1"/>
      <c r="AJB121" s="1"/>
      <c r="AJC121" s="1"/>
      <c r="AJD121" s="1"/>
      <c r="AJE121" s="1"/>
      <c r="AJF121" s="1"/>
      <c r="AJG121" s="1"/>
      <c r="AJH121" s="1"/>
      <c r="AJI121" s="1"/>
      <c r="AJJ121" s="1"/>
      <c r="AJK121" s="1"/>
      <c r="AJL121" s="1"/>
      <c r="AJM121" s="1"/>
      <c r="AJN121" s="1"/>
      <c r="AJO121" s="1"/>
      <c r="AJP121" s="1"/>
      <c r="AJQ121" s="1"/>
      <c r="AJR121" s="1"/>
      <c r="AJS121" s="1"/>
      <c r="AJT121" s="1"/>
      <c r="AJU121" s="1"/>
      <c r="AJV121" s="1"/>
      <c r="AJW121" s="1"/>
      <c r="AJX121" s="1"/>
      <c r="AJY121" s="1"/>
      <c r="AJZ121" s="1"/>
      <c r="AKA121" s="1"/>
      <c r="AKB121" s="1"/>
      <c r="AKC121" s="1"/>
      <c r="AKD121" s="1"/>
      <c r="AKE121" s="1"/>
      <c r="AKF121" s="1"/>
      <c r="AKG121" s="1"/>
      <c r="AKH121" s="1"/>
      <c r="AKI121" s="1"/>
      <c r="AKJ121" s="1"/>
      <c r="AKK121" s="1"/>
      <c r="AKL121" s="1"/>
      <c r="AKM121" s="1"/>
      <c r="AKN121" s="1"/>
      <c r="AKO121" s="1"/>
      <c r="AKP121" s="1"/>
      <c r="AKQ121" s="1"/>
      <c r="AKR121" s="1"/>
      <c r="AKS121" s="1"/>
      <c r="AKT121" s="1"/>
      <c r="AKU121" s="1"/>
      <c r="AKV121" s="1"/>
      <c r="AKW121" s="1"/>
      <c r="AKX121" s="1"/>
      <c r="AKY121" s="1"/>
      <c r="AKZ121" s="1"/>
      <c r="ALA121" s="1"/>
      <c r="ALB121" s="1"/>
      <c r="ALC121" s="1"/>
      <c r="ALD121" s="1"/>
      <c r="ALE121" s="1"/>
      <c r="ALF121" s="1"/>
      <c r="ALG121" s="1"/>
      <c r="ALH121" s="1"/>
      <c r="ALI121" s="1"/>
      <c r="ALJ121" s="1"/>
      <c r="ALK121" s="1"/>
      <c r="ALL121" s="1"/>
      <c r="ALM121" s="1"/>
      <c r="ALN121" s="1"/>
      <c r="ALO121" s="1"/>
      <c r="ALP121" s="1"/>
      <c r="ALQ121" s="1"/>
      <c r="ALR121" s="1"/>
      <c r="ALS121" s="1"/>
      <c r="ALT121" s="1"/>
      <c r="ALU121" s="1"/>
      <c r="ALV121" s="1"/>
      <c r="ALW121" s="1"/>
      <c r="ALX121" s="1"/>
      <c r="ALY121" s="1"/>
      <c r="ALZ121" s="1"/>
      <c r="AMA121" s="1"/>
      <c r="AMB121" s="1"/>
      <c r="AMC121" s="1"/>
      <c r="AMD121" s="1"/>
      <c r="AME121" s="1"/>
      <c r="AMF121" s="1"/>
      <c r="AMG121" s="1"/>
      <c r="AMH121" s="1"/>
      <c r="AMI121" s="1"/>
      <c r="AMJ121" s="1"/>
    </row>
    <row r="122" customFormat="false" ht="10.5" hidden="false" customHeight="true" outlineLevel="0" collapsed="false">
      <c r="A122" s="162"/>
      <c r="B122" s="162"/>
      <c r="C122" s="162"/>
      <c r="D122" s="162"/>
      <c r="E122" s="162"/>
      <c r="F122" s="162"/>
      <c r="G122" s="162"/>
      <c r="H122" s="162"/>
      <c r="I122" s="162"/>
      <c r="J122" s="163"/>
      <c r="K122" s="163"/>
      <c r="L122" s="163"/>
      <c r="M122" s="164"/>
      <c r="N122" s="164"/>
      <c r="O122" s="164"/>
      <c r="P122" s="165" t="n">
        <f aca="false">J122*M122</f>
        <v>0</v>
      </c>
      <c r="Q122" s="165"/>
      <c r="R122" s="165"/>
      <c r="S122" s="151"/>
      <c r="T122" s="151"/>
      <c r="U122" s="166"/>
      <c r="V122" s="166"/>
      <c r="W122" s="166"/>
      <c r="X122" s="166"/>
      <c r="Y122" s="166"/>
      <c r="Z122" s="166"/>
      <c r="AA122" s="166"/>
      <c r="AB122" s="166"/>
      <c r="AC122" s="166"/>
      <c r="AD122" s="166"/>
      <c r="AE122" s="166"/>
      <c r="AF122" s="166"/>
      <c r="AG122" s="167"/>
      <c r="AH122" s="167"/>
      <c r="AI122" s="167"/>
      <c r="AJ122" s="168"/>
      <c r="AK122" s="168"/>
      <c r="AL122" s="168"/>
      <c r="AM122" s="140" t="n">
        <f aca="false">AG122*AJ122</f>
        <v>0</v>
      </c>
      <c r="AN122" s="140"/>
      <c r="AO122" s="140"/>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c r="IY122" s="1"/>
      <c r="IZ122" s="1"/>
      <c r="JA122" s="1"/>
      <c r="JB122" s="1"/>
      <c r="JC122" s="1"/>
      <c r="JD122" s="1"/>
      <c r="JE122" s="1"/>
      <c r="JF122" s="1"/>
      <c r="JG122" s="1"/>
      <c r="JH122" s="1"/>
      <c r="JI122" s="1"/>
      <c r="JJ122" s="1"/>
      <c r="JK122" s="1"/>
      <c r="JL122" s="1"/>
      <c r="JM122" s="1"/>
      <c r="JN122" s="1"/>
      <c r="JO122" s="1"/>
      <c r="JP122" s="1"/>
      <c r="JQ122" s="1"/>
      <c r="JR122" s="1"/>
      <c r="JS122" s="1"/>
      <c r="JT122" s="1"/>
      <c r="JU122" s="1"/>
      <c r="JV122" s="1"/>
      <c r="JW122" s="1"/>
      <c r="JX122" s="1"/>
      <c r="JY122" s="1"/>
      <c r="JZ122" s="1"/>
      <c r="KA122" s="1"/>
      <c r="KB122" s="1"/>
      <c r="KC122" s="1"/>
      <c r="KD122" s="1"/>
      <c r="KE122" s="1"/>
      <c r="KF122" s="1"/>
      <c r="KG122" s="1"/>
      <c r="KH122" s="1"/>
      <c r="KI122" s="1"/>
      <c r="KJ122" s="1"/>
      <c r="KK122" s="1"/>
      <c r="KL122" s="1"/>
      <c r="KM122" s="1"/>
      <c r="KN122" s="1"/>
      <c r="KO122" s="1"/>
      <c r="KP122" s="1"/>
      <c r="KQ122" s="1"/>
      <c r="KR122" s="1"/>
      <c r="KS122" s="1"/>
      <c r="KT122" s="1"/>
      <c r="KU122" s="1"/>
      <c r="KV122" s="1"/>
      <c r="KW122" s="1"/>
      <c r="KX122" s="1"/>
      <c r="KY122" s="1"/>
      <c r="KZ122" s="1"/>
      <c r="LA122" s="1"/>
      <c r="LB122" s="1"/>
      <c r="LC122" s="1"/>
      <c r="LD122" s="1"/>
      <c r="LE122" s="1"/>
      <c r="LF122" s="1"/>
      <c r="LG122" s="1"/>
      <c r="LH122" s="1"/>
      <c r="LI122" s="1"/>
      <c r="LJ122" s="1"/>
      <c r="LK122" s="1"/>
      <c r="LL122" s="1"/>
      <c r="LM122" s="1"/>
      <c r="LN122" s="1"/>
      <c r="LO122" s="1"/>
      <c r="LP122" s="1"/>
      <c r="LQ122" s="1"/>
      <c r="LR122" s="1"/>
      <c r="LS122" s="1"/>
      <c r="LT122" s="1"/>
      <c r="LU122" s="1"/>
      <c r="LV122" s="1"/>
      <c r="LW122" s="1"/>
      <c r="LX122" s="1"/>
      <c r="LY122" s="1"/>
      <c r="LZ122" s="1"/>
      <c r="MA122" s="1"/>
      <c r="MB122" s="1"/>
      <c r="MC122" s="1"/>
      <c r="MD122" s="1"/>
      <c r="ME122" s="1"/>
      <c r="MF122" s="1"/>
      <c r="MG122" s="1"/>
      <c r="MH122" s="1"/>
      <c r="MI122" s="1"/>
      <c r="MJ122" s="1"/>
      <c r="MK122" s="1"/>
      <c r="ML122" s="1"/>
      <c r="MM122" s="1"/>
      <c r="MN122" s="1"/>
      <c r="MO122" s="1"/>
      <c r="MP122" s="1"/>
      <c r="MQ122" s="1"/>
      <c r="MR122" s="1"/>
      <c r="MS122" s="1"/>
      <c r="MT122" s="1"/>
      <c r="MU122" s="1"/>
      <c r="MV122" s="1"/>
      <c r="MW122" s="1"/>
      <c r="MX122" s="1"/>
      <c r="MY122" s="1"/>
      <c r="MZ122" s="1"/>
      <c r="NA122" s="1"/>
      <c r="NB122" s="1"/>
      <c r="NC122" s="1"/>
      <c r="ND122" s="1"/>
      <c r="NE122" s="1"/>
      <c r="NF122" s="1"/>
      <c r="NG122" s="1"/>
      <c r="NH122" s="1"/>
      <c r="NI122" s="1"/>
      <c r="NJ122" s="1"/>
      <c r="NK122" s="1"/>
      <c r="NL122" s="1"/>
      <c r="NM122" s="1"/>
      <c r="NN122" s="1"/>
      <c r="NO122" s="1"/>
      <c r="NP122" s="1"/>
      <c r="NQ122" s="1"/>
      <c r="NR122" s="1"/>
      <c r="NS122" s="1"/>
      <c r="NT122" s="1"/>
      <c r="NU122" s="1"/>
      <c r="NV122" s="1"/>
      <c r="NW122" s="1"/>
      <c r="NX122" s="1"/>
      <c r="NY122" s="1"/>
      <c r="NZ122" s="1"/>
      <c r="OA122" s="1"/>
      <c r="OB122" s="1"/>
      <c r="OC122" s="1"/>
      <c r="OD122" s="1"/>
      <c r="OE122" s="1"/>
      <c r="OF122" s="1"/>
      <c r="OG122" s="1"/>
      <c r="OH122" s="1"/>
      <c r="OI122" s="1"/>
      <c r="OJ122" s="1"/>
      <c r="OK122" s="1"/>
      <c r="OL122" s="1"/>
      <c r="OM122" s="1"/>
      <c r="ON122" s="1"/>
      <c r="OO122" s="1"/>
      <c r="OP122" s="1"/>
      <c r="OQ122" s="1"/>
      <c r="OR122" s="1"/>
      <c r="OS122" s="1"/>
      <c r="OT122" s="1"/>
      <c r="OU122" s="1"/>
      <c r="OV122" s="1"/>
      <c r="OW122" s="1"/>
      <c r="OX122" s="1"/>
      <c r="OY122" s="1"/>
      <c r="OZ122" s="1"/>
      <c r="PA122" s="1"/>
      <c r="PB122" s="1"/>
      <c r="PC122" s="1"/>
      <c r="PD122" s="1"/>
      <c r="PE122" s="1"/>
      <c r="PF122" s="1"/>
      <c r="PG122" s="1"/>
      <c r="PH122" s="1"/>
      <c r="PI122" s="1"/>
      <c r="PJ122" s="1"/>
      <c r="PK122" s="1"/>
      <c r="PL122" s="1"/>
      <c r="PM122" s="1"/>
      <c r="PN122" s="1"/>
      <c r="PO122" s="1"/>
      <c r="PP122" s="1"/>
      <c r="PQ122" s="1"/>
      <c r="PR122" s="1"/>
      <c r="PS122" s="1"/>
      <c r="PT122" s="1"/>
      <c r="PU122" s="1"/>
      <c r="PV122" s="1"/>
      <c r="PW122" s="1"/>
      <c r="PX122" s="1"/>
      <c r="PY122" s="1"/>
      <c r="PZ122" s="1"/>
      <c r="QA122" s="1"/>
      <c r="QB122" s="1"/>
      <c r="QC122" s="1"/>
      <c r="QD122" s="1"/>
      <c r="QE122" s="1"/>
      <c r="QF122" s="1"/>
      <c r="QG122" s="1"/>
      <c r="QH122" s="1"/>
      <c r="QI122" s="1"/>
      <c r="QJ122" s="1"/>
      <c r="QK122" s="1"/>
      <c r="QL122" s="1"/>
      <c r="QM122" s="1"/>
      <c r="QN122" s="1"/>
      <c r="QO122" s="1"/>
      <c r="QP122" s="1"/>
      <c r="QQ122" s="1"/>
      <c r="QR122" s="1"/>
      <c r="QS122" s="1"/>
      <c r="QT122" s="1"/>
      <c r="QU122" s="1"/>
      <c r="QV122" s="1"/>
      <c r="QW122" s="1"/>
      <c r="QX122" s="1"/>
      <c r="QY122" s="1"/>
      <c r="QZ122" s="1"/>
      <c r="RA122" s="1"/>
      <c r="RB122" s="1"/>
      <c r="RC122" s="1"/>
      <c r="RD122" s="1"/>
      <c r="RE122" s="1"/>
      <c r="RF122" s="1"/>
      <c r="RG122" s="1"/>
      <c r="RH122" s="1"/>
      <c r="RI122" s="1"/>
      <c r="RJ122" s="1"/>
      <c r="RK122" s="1"/>
      <c r="RL122" s="1"/>
      <c r="RM122" s="1"/>
      <c r="RN122" s="1"/>
      <c r="RO122" s="1"/>
      <c r="RP122" s="1"/>
      <c r="RQ122" s="1"/>
      <c r="RR122" s="1"/>
      <c r="RS122" s="1"/>
      <c r="RT122" s="1"/>
      <c r="RU122" s="1"/>
      <c r="RV122" s="1"/>
      <c r="RW122" s="1"/>
      <c r="RX122" s="1"/>
      <c r="RY122" s="1"/>
      <c r="RZ122" s="1"/>
      <c r="SA122" s="1"/>
      <c r="SB122" s="1"/>
      <c r="SC122" s="1"/>
      <c r="SD122" s="1"/>
      <c r="SE122" s="1"/>
      <c r="SF122" s="1"/>
      <c r="SG122" s="1"/>
      <c r="SH122" s="1"/>
      <c r="SI122" s="1"/>
      <c r="SJ122" s="1"/>
      <c r="SK122" s="1"/>
      <c r="SL122" s="1"/>
      <c r="SM122" s="1"/>
      <c r="SN122" s="1"/>
      <c r="SO122" s="1"/>
      <c r="SP122" s="1"/>
      <c r="SQ122" s="1"/>
      <c r="SR122" s="1"/>
      <c r="SS122" s="1"/>
      <c r="ST122" s="1"/>
      <c r="SU122" s="1"/>
      <c r="SV122" s="1"/>
      <c r="SW122" s="1"/>
      <c r="SX122" s="1"/>
      <c r="SY122" s="1"/>
      <c r="SZ122" s="1"/>
      <c r="TA122" s="1"/>
      <c r="TB122" s="1"/>
      <c r="TC122" s="1"/>
      <c r="TD122" s="1"/>
      <c r="TE122" s="1"/>
      <c r="TF122" s="1"/>
      <c r="TG122" s="1"/>
      <c r="TH122" s="1"/>
      <c r="TI122" s="1"/>
      <c r="TJ122" s="1"/>
      <c r="TK122" s="1"/>
      <c r="TL122" s="1"/>
      <c r="TM122" s="1"/>
      <c r="TN122" s="1"/>
      <c r="TO122" s="1"/>
      <c r="TP122" s="1"/>
      <c r="TQ122" s="1"/>
      <c r="TR122" s="1"/>
      <c r="TS122" s="1"/>
      <c r="TT122" s="1"/>
      <c r="TU122" s="1"/>
      <c r="TV122" s="1"/>
      <c r="TW122" s="1"/>
      <c r="TX122" s="1"/>
      <c r="TY122" s="1"/>
      <c r="TZ122" s="1"/>
      <c r="UA122" s="1"/>
      <c r="UB122" s="1"/>
      <c r="UC122" s="1"/>
      <c r="UD122" s="1"/>
      <c r="UE122" s="1"/>
      <c r="UF122" s="1"/>
      <c r="UG122" s="1"/>
      <c r="UH122" s="1"/>
      <c r="UI122" s="1"/>
      <c r="UJ122" s="1"/>
      <c r="UK122" s="1"/>
      <c r="UL122" s="1"/>
      <c r="UM122" s="1"/>
      <c r="UN122" s="1"/>
      <c r="UO122" s="1"/>
      <c r="UP122" s="1"/>
      <c r="UQ122" s="1"/>
      <c r="UR122" s="1"/>
      <c r="US122" s="1"/>
      <c r="UT122" s="1"/>
      <c r="UU122" s="1"/>
      <c r="UV122" s="1"/>
      <c r="UW122" s="1"/>
      <c r="UX122" s="1"/>
      <c r="UY122" s="1"/>
      <c r="UZ122" s="1"/>
      <c r="VA122" s="1"/>
      <c r="VB122" s="1"/>
      <c r="VC122" s="1"/>
      <c r="VD122" s="1"/>
      <c r="VE122" s="1"/>
      <c r="VF122" s="1"/>
      <c r="VG122" s="1"/>
      <c r="VH122" s="1"/>
      <c r="VI122" s="1"/>
      <c r="VJ122" s="1"/>
      <c r="VK122" s="1"/>
      <c r="VL122" s="1"/>
      <c r="VM122" s="1"/>
      <c r="VN122" s="1"/>
      <c r="VO122" s="1"/>
      <c r="VP122" s="1"/>
      <c r="VQ122" s="1"/>
      <c r="VR122" s="1"/>
      <c r="VS122" s="1"/>
      <c r="VT122" s="1"/>
      <c r="VU122" s="1"/>
      <c r="VV122" s="1"/>
      <c r="VW122" s="1"/>
      <c r="VX122" s="1"/>
      <c r="VY122" s="1"/>
      <c r="VZ122" s="1"/>
      <c r="WA122" s="1"/>
      <c r="WB122" s="1"/>
      <c r="WC122" s="1"/>
      <c r="WD122" s="1"/>
      <c r="WE122" s="1"/>
      <c r="WF122" s="1"/>
      <c r="WG122" s="1"/>
      <c r="WH122" s="1"/>
      <c r="WI122" s="1"/>
      <c r="WJ122" s="1"/>
      <c r="WK122" s="1"/>
      <c r="WL122" s="1"/>
      <c r="WM122" s="1"/>
      <c r="WN122" s="1"/>
      <c r="WO122" s="1"/>
      <c r="WP122" s="1"/>
      <c r="WQ122" s="1"/>
      <c r="WR122" s="1"/>
      <c r="WS122" s="1"/>
      <c r="WT122" s="1"/>
      <c r="WU122" s="1"/>
      <c r="WV122" s="1"/>
      <c r="WW122" s="1"/>
      <c r="WX122" s="1"/>
      <c r="WY122" s="1"/>
      <c r="WZ122" s="1"/>
      <c r="XA122" s="1"/>
      <c r="XB122" s="1"/>
      <c r="XC122" s="1"/>
      <c r="XD122" s="1"/>
      <c r="XE122" s="1"/>
      <c r="XF122" s="1"/>
      <c r="XG122" s="1"/>
      <c r="XH122" s="1"/>
      <c r="XI122" s="1"/>
      <c r="XJ122" s="1"/>
      <c r="XK122" s="1"/>
      <c r="XL122" s="1"/>
      <c r="XM122" s="1"/>
      <c r="XN122" s="1"/>
      <c r="XO122" s="1"/>
      <c r="XP122" s="1"/>
      <c r="XQ122" s="1"/>
      <c r="XR122" s="1"/>
      <c r="XS122" s="1"/>
      <c r="XT122" s="1"/>
      <c r="XU122" s="1"/>
      <c r="XV122" s="1"/>
      <c r="XW122" s="1"/>
      <c r="XX122" s="1"/>
      <c r="XY122" s="1"/>
      <c r="XZ122" s="1"/>
      <c r="YA122" s="1"/>
      <c r="YB122" s="1"/>
      <c r="YC122" s="1"/>
      <c r="YD122" s="1"/>
      <c r="YE122" s="1"/>
      <c r="YF122" s="1"/>
      <c r="YG122" s="1"/>
      <c r="YH122" s="1"/>
      <c r="YI122" s="1"/>
      <c r="YJ122" s="1"/>
      <c r="YK122" s="1"/>
      <c r="YL122" s="1"/>
      <c r="YM122" s="1"/>
      <c r="YN122" s="1"/>
      <c r="YO122" s="1"/>
      <c r="YP122" s="1"/>
      <c r="YQ122" s="1"/>
      <c r="YR122" s="1"/>
      <c r="YS122" s="1"/>
      <c r="YT122" s="1"/>
      <c r="YU122" s="1"/>
      <c r="YV122" s="1"/>
      <c r="YW122" s="1"/>
      <c r="YX122" s="1"/>
      <c r="YY122" s="1"/>
      <c r="YZ122" s="1"/>
      <c r="ZA122" s="1"/>
      <c r="ZB122" s="1"/>
      <c r="ZC122" s="1"/>
      <c r="ZD122" s="1"/>
      <c r="ZE122" s="1"/>
      <c r="ZF122" s="1"/>
      <c r="ZG122" s="1"/>
      <c r="ZH122" s="1"/>
      <c r="ZI122" s="1"/>
      <c r="ZJ122" s="1"/>
      <c r="ZK122" s="1"/>
      <c r="ZL122" s="1"/>
      <c r="ZM122" s="1"/>
      <c r="ZN122" s="1"/>
      <c r="ZO122" s="1"/>
      <c r="ZP122" s="1"/>
      <c r="ZQ122" s="1"/>
      <c r="ZR122" s="1"/>
      <c r="ZS122" s="1"/>
      <c r="ZT122" s="1"/>
      <c r="ZU122" s="1"/>
      <c r="ZV122" s="1"/>
      <c r="ZW122" s="1"/>
      <c r="ZX122" s="1"/>
      <c r="ZY122" s="1"/>
      <c r="ZZ122" s="1"/>
      <c r="AAA122" s="1"/>
      <c r="AAB122" s="1"/>
      <c r="AAC122" s="1"/>
      <c r="AAD122" s="1"/>
      <c r="AAE122" s="1"/>
      <c r="AAF122" s="1"/>
      <c r="AAG122" s="1"/>
      <c r="AAH122" s="1"/>
      <c r="AAI122" s="1"/>
      <c r="AAJ122" s="1"/>
      <c r="AAK122" s="1"/>
      <c r="AAL122" s="1"/>
      <c r="AAM122" s="1"/>
      <c r="AAN122" s="1"/>
      <c r="AAO122" s="1"/>
      <c r="AAP122" s="1"/>
      <c r="AAQ122" s="1"/>
      <c r="AAR122" s="1"/>
      <c r="AAS122" s="1"/>
      <c r="AAT122" s="1"/>
      <c r="AAU122" s="1"/>
      <c r="AAV122" s="1"/>
      <c r="AAW122" s="1"/>
      <c r="AAX122" s="1"/>
      <c r="AAY122" s="1"/>
      <c r="AAZ122" s="1"/>
      <c r="ABA122" s="1"/>
      <c r="ABB122" s="1"/>
      <c r="ABC122" s="1"/>
      <c r="ABD122" s="1"/>
      <c r="ABE122" s="1"/>
      <c r="ABF122" s="1"/>
      <c r="ABG122" s="1"/>
      <c r="ABH122" s="1"/>
      <c r="ABI122" s="1"/>
      <c r="ABJ122" s="1"/>
      <c r="ABK122" s="1"/>
      <c r="ABL122" s="1"/>
      <c r="ABM122" s="1"/>
      <c r="ABN122" s="1"/>
      <c r="ABO122" s="1"/>
      <c r="ABP122" s="1"/>
      <c r="ABQ122" s="1"/>
      <c r="ABR122" s="1"/>
      <c r="ABS122" s="1"/>
      <c r="ABT122" s="1"/>
      <c r="ABU122" s="1"/>
      <c r="ABV122" s="1"/>
      <c r="ABW122" s="1"/>
      <c r="ABX122" s="1"/>
      <c r="ABY122" s="1"/>
      <c r="ABZ122" s="1"/>
      <c r="ACA122" s="1"/>
      <c r="ACB122" s="1"/>
      <c r="ACC122" s="1"/>
      <c r="ACD122" s="1"/>
      <c r="ACE122" s="1"/>
      <c r="ACF122" s="1"/>
      <c r="ACG122" s="1"/>
      <c r="ACH122" s="1"/>
      <c r="ACI122" s="1"/>
      <c r="ACJ122" s="1"/>
      <c r="ACK122" s="1"/>
      <c r="ACL122" s="1"/>
      <c r="ACM122" s="1"/>
      <c r="ACN122" s="1"/>
      <c r="ACO122" s="1"/>
      <c r="ACP122" s="1"/>
      <c r="ACQ122" s="1"/>
      <c r="ACR122" s="1"/>
      <c r="ACS122" s="1"/>
      <c r="ACT122" s="1"/>
      <c r="ACU122" s="1"/>
      <c r="ACV122" s="1"/>
      <c r="ACW122" s="1"/>
      <c r="ACX122" s="1"/>
      <c r="ACY122" s="1"/>
      <c r="ACZ122" s="1"/>
      <c r="ADA122" s="1"/>
      <c r="ADB122" s="1"/>
      <c r="ADC122" s="1"/>
      <c r="ADD122" s="1"/>
      <c r="ADE122" s="1"/>
      <c r="ADF122" s="1"/>
      <c r="ADG122" s="1"/>
      <c r="ADH122" s="1"/>
      <c r="ADI122" s="1"/>
      <c r="ADJ122" s="1"/>
      <c r="ADK122" s="1"/>
      <c r="ADL122" s="1"/>
      <c r="ADM122" s="1"/>
      <c r="ADN122" s="1"/>
      <c r="ADO122" s="1"/>
      <c r="ADP122" s="1"/>
      <c r="ADQ122" s="1"/>
      <c r="ADR122" s="1"/>
      <c r="ADS122" s="1"/>
      <c r="ADT122" s="1"/>
      <c r="ADU122" s="1"/>
      <c r="ADV122" s="1"/>
      <c r="ADW122" s="1"/>
      <c r="ADX122" s="1"/>
      <c r="ADY122" s="1"/>
      <c r="ADZ122" s="1"/>
      <c r="AEA122" s="1"/>
      <c r="AEB122" s="1"/>
      <c r="AEC122" s="1"/>
      <c r="AED122" s="1"/>
      <c r="AEE122" s="1"/>
      <c r="AEF122" s="1"/>
      <c r="AEG122" s="1"/>
      <c r="AEH122" s="1"/>
      <c r="AEI122" s="1"/>
      <c r="AEJ122" s="1"/>
      <c r="AEK122" s="1"/>
      <c r="AEL122" s="1"/>
      <c r="AEM122" s="1"/>
      <c r="AEN122" s="1"/>
      <c r="AEO122" s="1"/>
      <c r="AEP122" s="1"/>
      <c r="AEQ122" s="1"/>
      <c r="AER122" s="1"/>
      <c r="AES122" s="1"/>
      <c r="AET122" s="1"/>
      <c r="AEU122" s="1"/>
      <c r="AEV122" s="1"/>
      <c r="AEW122" s="1"/>
      <c r="AEX122" s="1"/>
      <c r="AEY122" s="1"/>
      <c r="AEZ122" s="1"/>
      <c r="AFA122" s="1"/>
      <c r="AFB122" s="1"/>
      <c r="AFC122" s="1"/>
      <c r="AFD122" s="1"/>
      <c r="AFE122" s="1"/>
      <c r="AFF122" s="1"/>
      <c r="AFG122" s="1"/>
      <c r="AFH122" s="1"/>
      <c r="AFI122" s="1"/>
      <c r="AFJ122" s="1"/>
      <c r="AFK122" s="1"/>
      <c r="AFL122" s="1"/>
      <c r="AFM122" s="1"/>
      <c r="AFN122" s="1"/>
      <c r="AFO122" s="1"/>
      <c r="AFP122" s="1"/>
      <c r="AFQ122" s="1"/>
      <c r="AFR122" s="1"/>
      <c r="AFS122" s="1"/>
      <c r="AFT122" s="1"/>
      <c r="AFU122" s="1"/>
      <c r="AFV122" s="1"/>
      <c r="AFW122" s="1"/>
      <c r="AFX122" s="1"/>
      <c r="AFY122" s="1"/>
      <c r="AFZ122" s="1"/>
      <c r="AGA122" s="1"/>
      <c r="AGB122" s="1"/>
      <c r="AGC122" s="1"/>
      <c r="AGD122" s="1"/>
      <c r="AGE122" s="1"/>
      <c r="AGF122" s="1"/>
      <c r="AGG122" s="1"/>
      <c r="AGH122" s="1"/>
      <c r="AGI122" s="1"/>
      <c r="AGJ122" s="1"/>
      <c r="AGK122" s="1"/>
      <c r="AGL122" s="1"/>
      <c r="AGM122" s="1"/>
      <c r="AGN122" s="1"/>
      <c r="AGO122" s="1"/>
      <c r="AGP122" s="1"/>
      <c r="AGQ122" s="1"/>
      <c r="AGR122" s="1"/>
      <c r="AGS122" s="1"/>
      <c r="AGT122" s="1"/>
      <c r="AGU122" s="1"/>
      <c r="AGV122" s="1"/>
      <c r="AGW122" s="1"/>
      <c r="AGX122" s="1"/>
      <c r="AGY122" s="1"/>
      <c r="AGZ122" s="1"/>
      <c r="AHA122" s="1"/>
      <c r="AHB122" s="1"/>
      <c r="AHC122" s="1"/>
      <c r="AHD122" s="1"/>
      <c r="AHE122" s="1"/>
      <c r="AHF122" s="1"/>
      <c r="AHG122" s="1"/>
      <c r="AHH122" s="1"/>
      <c r="AHI122" s="1"/>
      <c r="AHJ122" s="1"/>
      <c r="AHK122" s="1"/>
      <c r="AHL122" s="1"/>
      <c r="AHM122" s="1"/>
      <c r="AHN122" s="1"/>
      <c r="AHO122" s="1"/>
      <c r="AHP122" s="1"/>
      <c r="AHQ122" s="1"/>
      <c r="AHR122" s="1"/>
      <c r="AHS122" s="1"/>
      <c r="AHT122" s="1"/>
      <c r="AHU122" s="1"/>
      <c r="AHV122" s="1"/>
      <c r="AHW122" s="1"/>
      <c r="AHX122" s="1"/>
      <c r="AHY122" s="1"/>
      <c r="AHZ122" s="1"/>
      <c r="AIA122" s="1"/>
      <c r="AIB122" s="1"/>
      <c r="AIC122" s="1"/>
      <c r="AID122" s="1"/>
      <c r="AIE122" s="1"/>
      <c r="AIF122" s="1"/>
      <c r="AIG122" s="1"/>
      <c r="AIH122" s="1"/>
      <c r="AII122" s="1"/>
      <c r="AIJ122" s="1"/>
      <c r="AIK122" s="1"/>
      <c r="AIL122" s="1"/>
      <c r="AIM122" s="1"/>
      <c r="AIN122" s="1"/>
      <c r="AIO122" s="1"/>
      <c r="AIP122" s="1"/>
      <c r="AIQ122" s="1"/>
      <c r="AIR122" s="1"/>
      <c r="AIS122" s="1"/>
      <c r="AIT122" s="1"/>
      <c r="AIU122" s="1"/>
      <c r="AIV122" s="1"/>
      <c r="AIW122" s="1"/>
      <c r="AIX122" s="1"/>
      <c r="AIY122" s="1"/>
      <c r="AIZ122" s="1"/>
      <c r="AJA122" s="1"/>
      <c r="AJB122" s="1"/>
      <c r="AJC122" s="1"/>
      <c r="AJD122" s="1"/>
      <c r="AJE122" s="1"/>
      <c r="AJF122" s="1"/>
      <c r="AJG122" s="1"/>
      <c r="AJH122" s="1"/>
      <c r="AJI122" s="1"/>
      <c r="AJJ122" s="1"/>
      <c r="AJK122" s="1"/>
      <c r="AJL122" s="1"/>
      <c r="AJM122" s="1"/>
      <c r="AJN122" s="1"/>
      <c r="AJO122" s="1"/>
      <c r="AJP122" s="1"/>
      <c r="AJQ122" s="1"/>
      <c r="AJR122" s="1"/>
      <c r="AJS122" s="1"/>
      <c r="AJT122" s="1"/>
      <c r="AJU122" s="1"/>
      <c r="AJV122" s="1"/>
      <c r="AJW122" s="1"/>
      <c r="AJX122" s="1"/>
      <c r="AJY122" s="1"/>
      <c r="AJZ122" s="1"/>
      <c r="AKA122" s="1"/>
      <c r="AKB122" s="1"/>
      <c r="AKC122" s="1"/>
      <c r="AKD122" s="1"/>
      <c r="AKE122" s="1"/>
      <c r="AKF122" s="1"/>
      <c r="AKG122" s="1"/>
      <c r="AKH122" s="1"/>
      <c r="AKI122" s="1"/>
      <c r="AKJ122" s="1"/>
      <c r="AKK122" s="1"/>
      <c r="AKL122" s="1"/>
      <c r="AKM122" s="1"/>
      <c r="AKN122" s="1"/>
      <c r="AKO122" s="1"/>
      <c r="AKP122" s="1"/>
      <c r="AKQ122" s="1"/>
      <c r="AKR122" s="1"/>
      <c r="AKS122" s="1"/>
      <c r="AKT122" s="1"/>
      <c r="AKU122" s="1"/>
      <c r="AKV122" s="1"/>
      <c r="AKW122" s="1"/>
      <c r="AKX122" s="1"/>
      <c r="AKY122" s="1"/>
      <c r="AKZ122" s="1"/>
      <c r="ALA122" s="1"/>
      <c r="ALB122" s="1"/>
      <c r="ALC122" s="1"/>
      <c r="ALD122" s="1"/>
      <c r="ALE122" s="1"/>
      <c r="ALF122" s="1"/>
      <c r="ALG122" s="1"/>
      <c r="ALH122" s="1"/>
      <c r="ALI122" s="1"/>
      <c r="ALJ122" s="1"/>
      <c r="ALK122" s="1"/>
      <c r="ALL122" s="1"/>
      <c r="ALM122" s="1"/>
      <c r="ALN122" s="1"/>
      <c r="ALO122" s="1"/>
      <c r="ALP122" s="1"/>
      <c r="ALQ122" s="1"/>
      <c r="ALR122" s="1"/>
      <c r="ALS122" s="1"/>
      <c r="ALT122" s="1"/>
      <c r="ALU122" s="1"/>
      <c r="ALV122" s="1"/>
      <c r="ALW122" s="1"/>
      <c r="ALX122" s="1"/>
      <c r="ALY122" s="1"/>
      <c r="ALZ122" s="1"/>
      <c r="AMA122" s="1"/>
      <c r="AMB122" s="1"/>
      <c r="AMC122" s="1"/>
      <c r="AMD122" s="1"/>
      <c r="AME122" s="1"/>
      <c r="AMF122" s="1"/>
      <c r="AMG122" s="1"/>
      <c r="AMH122" s="1"/>
      <c r="AMI122" s="1"/>
      <c r="AMJ122" s="1"/>
    </row>
    <row r="123" customFormat="false" ht="10.5" hidden="false" customHeight="true" outlineLevel="0" collapsed="false">
      <c r="A123" s="162"/>
      <c r="B123" s="162"/>
      <c r="C123" s="162"/>
      <c r="D123" s="162"/>
      <c r="E123" s="162"/>
      <c r="F123" s="162"/>
      <c r="G123" s="162"/>
      <c r="H123" s="162"/>
      <c r="I123" s="162"/>
      <c r="J123" s="163"/>
      <c r="K123" s="163"/>
      <c r="L123" s="163"/>
      <c r="M123" s="164"/>
      <c r="N123" s="164"/>
      <c r="O123" s="164"/>
      <c r="P123" s="165" t="n">
        <f aca="false">J123*M123</f>
        <v>0</v>
      </c>
      <c r="Q123" s="165"/>
      <c r="R123" s="165"/>
      <c r="S123" s="151"/>
      <c r="T123" s="151"/>
      <c r="U123" s="166"/>
      <c r="V123" s="166"/>
      <c r="W123" s="166"/>
      <c r="X123" s="166"/>
      <c r="Y123" s="166"/>
      <c r="Z123" s="166"/>
      <c r="AA123" s="166"/>
      <c r="AB123" s="166"/>
      <c r="AC123" s="166"/>
      <c r="AD123" s="166"/>
      <c r="AE123" s="166"/>
      <c r="AF123" s="166"/>
      <c r="AG123" s="167"/>
      <c r="AH123" s="167"/>
      <c r="AI123" s="167"/>
      <c r="AJ123" s="168"/>
      <c r="AK123" s="168"/>
      <c r="AL123" s="168"/>
      <c r="AM123" s="140" t="n">
        <f aca="false">AG123*AJ123</f>
        <v>0</v>
      </c>
      <c r="AN123" s="140"/>
      <c r="AO123" s="140"/>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c r="IY123" s="1"/>
      <c r="IZ123" s="1"/>
      <c r="JA123" s="1"/>
      <c r="JB123" s="1"/>
      <c r="JC123" s="1"/>
      <c r="JD123" s="1"/>
      <c r="JE123" s="1"/>
      <c r="JF123" s="1"/>
      <c r="JG123" s="1"/>
      <c r="JH123" s="1"/>
      <c r="JI123" s="1"/>
      <c r="JJ123" s="1"/>
      <c r="JK123" s="1"/>
      <c r="JL123" s="1"/>
      <c r="JM123" s="1"/>
      <c r="JN123" s="1"/>
      <c r="JO123" s="1"/>
      <c r="JP123" s="1"/>
      <c r="JQ123" s="1"/>
      <c r="JR123" s="1"/>
      <c r="JS123" s="1"/>
      <c r="JT123" s="1"/>
      <c r="JU123" s="1"/>
      <c r="JV123" s="1"/>
      <c r="JW123" s="1"/>
      <c r="JX123" s="1"/>
      <c r="JY123" s="1"/>
      <c r="JZ123" s="1"/>
      <c r="KA123" s="1"/>
      <c r="KB123" s="1"/>
      <c r="KC123" s="1"/>
      <c r="KD123" s="1"/>
      <c r="KE123" s="1"/>
      <c r="KF123" s="1"/>
      <c r="KG123" s="1"/>
      <c r="KH123" s="1"/>
      <c r="KI123" s="1"/>
      <c r="KJ123" s="1"/>
      <c r="KK123" s="1"/>
      <c r="KL123" s="1"/>
      <c r="KM123" s="1"/>
      <c r="KN123" s="1"/>
      <c r="KO123" s="1"/>
      <c r="KP123" s="1"/>
      <c r="KQ123" s="1"/>
      <c r="KR123" s="1"/>
      <c r="KS123" s="1"/>
      <c r="KT123" s="1"/>
      <c r="KU123" s="1"/>
      <c r="KV123" s="1"/>
      <c r="KW123" s="1"/>
      <c r="KX123" s="1"/>
      <c r="KY123" s="1"/>
      <c r="KZ123" s="1"/>
      <c r="LA123" s="1"/>
      <c r="LB123" s="1"/>
      <c r="LC123" s="1"/>
      <c r="LD123" s="1"/>
      <c r="LE123" s="1"/>
      <c r="LF123" s="1"/>
      <c r="LG123" s="1"/>
      <c r="LH123" s="1"/>
      <c r="LI123" s="1"/>
      <c r="LJ123" s="1"/>
      <c r="LK123" s="1"/>
      <c r="LL123" s="1"/>
      <c r="LM123" s="1"/>
      <c r="LN123" s="1"/>
      <c r="LO123" s="1"/>
      <c r="LP123" s="1"/>
      <c r="LQ123" s="1"/>
      <c r="LR123" s="1"/>
      <c r="LS123" s="1"/>
      <c r="LT123" s="1"/>
      <c r="LU123" s="1"/>
      <c r="LV123" s="1"/>
      <c r="LW123" s="1"/>
      <c r="LX123" s="1"/>
      <c r="LY123" s="1"/>
      <c r="LZ123" s="1"/>
      <c r="MA123" s="1"/>
      <c r="MB123" s="1"/>
      <c r="MC123" s="1"/>
      <c r="MD123" s="1"/>
      <c r="ME123" s="1"/>
      <c r="MF123" s="1"/>
      <c r="MG123" s="1"/>
      <c r="MH123" s="1"/>
      <c r="MI123" s="1"/>
      <c r="MJ123" s="1"/>
      <c r="MK123" s="1"/>
      <c r="ML123" s="1"/>
      <c r="MM123" s="1"/>
      <c r="MN123" s="1"/>
      <c r="MO123" s="1"/>
      <c r="MP123" s="1"/>
      <c r="MQ123" s="1"/>
      <c r="MR123" s="1"/>
      <c r="MS123" s="1"/>
      <c r="MT123" s="1"/>
      <c r="MU123" s="1"/>
      <c r="MV123" s="1"/>
      <c r="MW123" s="1"/>
      <c r="MX123" s="1"/>
      <c r="MY123" s="1"/>
      <c r="MZ123" s="1"/>
      <c r="NA123" s="1"/>
      <c r="NB123" s="1"/>
      <c r="NC123" s="1"/>
      <c r="ND123" s="1"/>
      <c r="NE123" s="1"/>
      <c r="NF123" s="1"/>
      <c r="NG123" s="1"/>
      <c r="NH123" s="1"/>
      <c r="NI123" s="1"/>
      <c r="NJ123" s="1"/>
      <c r="NK123" s="1"/>
      <c r="NL123" s="1"/>
      <c r="NM123" s="1"/>
      <c r="NN123" s="1"/>
      <c r="NO123" s="1"/>
      <c r="NP123" s="1"/>
      <c r="NQ123" s="1"/>
      <c r="NR123" s="1"/>
      <c r="NS123" s="1"/>
      <c r="NT123" s="1"/>
      <c r="NU123" s="1"/>
      <c r="NV123" s="1"/>
      <c r="NW123" s="1"/>
      <c r="NX123" s="1"/>
      <c r="NY123" s="1"/>
      <c r="NZ123" s="1"/>
      <c r="OA123" s="1"/>
      <c r="OB123" s="1"/>
      <c r="OC123" s="1"/>
      <c r="OD123" s="1"/>
      <c r="OE123" s="1"/>
      <c r="OF123" s="1"/>
      <c r="OG123" s="1"/>
      <c r="OH123" s="1"/>
      <c r="OI123" s="1"/>
      <c r="OJ123" s="1"/>
      <c r="OK123" s="1"/>
      <c r="OL123" s="1"/>
      <c r="OM123" s="1"/>
      <c r="ON123" s="1"/>
      <c r="OO123" s="1"/>
      <c r="OP123" s="1"/>
      <c r="OQ123" s="1"/>
      <c r="OR123" s="1"/>
      <c r="OS123" s="1"/>
      <c r="OT123" s="1"/>
      <c r="OU123" s="1"/>
      <c r="OV123" s="1"/>
      <c r="OW123" s="1"/>
      <c r="OX123" s="1"/>
      <c r="OY123" s="1"/>
      <c r="OZ123" s="1"/>
      <c r="PA123" s="1"/>
      <c r="PB123" s="1"/>
      <c r="PC123" s="1"/>
      <c r="PD123" s="1"/>
      <c r="PE123" s="1"/>
      <c r="PF123" s="1"/>
      <c r="PG123" s="1"/>
      <c r="PH123" s="1"/>
      <c r="PI123" s="1"/>
      <c r="PJ123" s="1"/>
      <c r="PK123" s="1"/>
      <c r="PL123" s="1"/>
      <c r="PM123" s="1"/>
      <c r="PN123" s="1"/>
      <c r="PO123" s="1"/>
      <c r="PP123" s="1"/>
      <c r="PQ123" s="1"/>
      <c r="PR123" s="1"/>
      <c r="PS123" s="1"/>
      <c r="PT123" s="1"/>
      <c r="PU123" s="1"/>
      <c r="PV123" s="1"/>
      <c r="PW123" s="1"/>
      <c r="PX123" s="1"/>
      <c r="PY123" s="1"/>
      <c r="PZ123" s="1"/>
      <c r="QA123" s="1"/>
      <c r="QB123" s="1"/>
      <c r="QC123" s="1"/>
      <c r="QD123" s="1"/>
      <c r="QE123" s="1"/>
      <c r="QF123" s="1"/>
      <c r="QG123" s="1"/>
      <c r="QH123" s="1"/>
      <c r="QI123" s="1"/>
      <c r="QJ123" s="1"/>
      <c r="QK123" s="1"/>
      <c r="QL123" s="1"/>
      <c r="QM123" s="1"/>
      <c r="QN123" s="1"/>
      <c r="QO123" s="1"/>
      <c r="QP123" s="1"/>
      <c r="QQ123" s="1"/>
      <c r="QR123" s="1"/>
      <c r="QS123" s="1"/>
      <c r="QT123" s="1"/>
      <c r="QU123" s="1"/>
      <c r="QV123" s="1"/>
      <c r="QW123" s="1"/>
      <c r="QX123" s="1"/>
      <c r="QY123" s="1"/>
      <c r="QZ123" s="1"/>
      <c r="RA123" s="1"/>
      <c r="RB123" s="1"/>
      <c r="RC123" s="1"/>
      <c r="RD123" s="1"/>
      <c r="RE123" s="1"/>
      <c r="RF123" s="1"/>
      <c r="RG123" s="1"/>
      <c r="RH123" s="1"/>
      <c r="RI123" s="1"/>
      <c r="RJ123" s="1"/>
      <c r="RK123" s="1"/>
      <c r="RL123" s="1"/>
      <c r="RM123" s="1"/>
      <c r="RN123" s="1"/>
      <c r="RO123" s="1"/>
      <c r="RP123" s="1"/>
      <c r="RQ123" s="1"/>
      <c r="RR123" s="1"/>
      <c r="RS123" s="1"/>
      <c r="RT123" s="1"/>
      <c r="RU123" s="1"/>
      <c r="RV123" s="1"/>
      <c r="RW123" s="1"/>
      <c r="RX123" s="1"/>
      <c r="RY123" s="1"/>
      <c r="RZ123" s="1"/>
      <c r="SA123" s="1"/>
      <c r="SB123" s="1"/>
      <c r="SC123" s="1"/>
      <c r="SD123" s="1"/>
      <c r="SE123" s="1"/>
      <c r="SF123" s="1"/>
      <c r="SG123" s="1"/>
      <c r="SH123" s="1"/>
      <c r="SI123" s="1"/>
      <c r="SJ123" s="1"/>
      <c r="SK123" s="1"/>
      <c r="SL123" s="1"/>
      <c r="SM123" s="1"/>
      <c r="SN123" s="1"/>
      <c r="SO123" s="1"/>
      <c r="SP123" s="1"/>
      <c r="SQ123" s="1"/>
      <c r="SR123" s="1"/>
      <c r="SS123" s="1"/>
      <c r="ST123" s="1"/>
      <c r="SU123" s="1"/>
      <c r="SV123" s="1"/>
      <c r="SW123" s="1"/>
      <c r="SX123" s="1"/>
      <c r="SY123" s="1"/>
      <c r="SZ123" s="1"/>
      <c r="TA123" s="1"/>
      <c r="TB123" s="1"/>
      <c r="TC123" s="1"/>
      <c r="TD123" s="1"/>
      <c r="TE123" s="1"/>
      <c r="TF123" s="1"/>
      <c r="TG123" s="1"/>
      <c r="TH123" s="1"/>
      <c r="TI123" s="1"/>
      <c r="TJ123" s="1"/>
      <c r="TK123" s="1"/>
      <c r="TL123" s="1"/>
      <c r="TM123" s="1"/>
      <c r="TN123" s="1"/>
      <c r="TO123" s="1"/>
      <c r="TP123" s="1"/>
      <c r="TQ123" s="1"/>
      <c r="TR123" s="1"/>
      <c r="TS123" s="1"/>
      <c r="TT123" s="1"/>
      <c r="TU123" s="1"/>
      <c r="TV123" s="1"/>
      <c r="TW123" s="1"/>
      <c r="TX123" s="1"/>
      <c r="TY123" s="1"/>
      <c r="TZ123" s="1"/>
      <c r="UA123" s="1"/>
      <c r="UB123" s="1"/>
      <c r="UC123" s="1"/>
      <c r="UD123" s="1"/>
      <c r="UE123" s="1"/>
      <c r="UF123" s="1"/>
      <c r="UG123" s="1"/>
      <c r="UH123" s="1"/>
      <c r="UI123" s="1"/>
      <c r="UJ123" s="1"/>
      <c r="UK123" s="1"/>
      <c r="UL123" s="1"/>
      <c r="UM123" s="1"/>
      <c r="UN123" s="1"/>
      <c r="UO123" s="1"/>
      <c r="UP123" s="1"/>
      <c r="UQ123" s="1"/>
      <c r="UR123" s="1"/>
      <c r="US123" s="1"/>
      <c r="UT123" s="1"/>
      <c r="UU123" s="1"/>
      <c r="UV123" s="1"/>
      <c r="UW123" s="1"/>
      <c r="UX123" s="1"/>
      <c r="UY123" s="1"/>
      <c r="UZ123" s="1"/>
      <c r="VA123" s="1"/>
      <c r="VB123" s="1"/>
      <c r="VC123" s="1"/>
      <c r="VD123" s="1"/>
      <c r="VE123" s="1"/>
      <c r="VF123" s="1"/>
      <c r="VG123" s="1"/>
      <c r="VH123" s="1"/>
      <c r="VI123" s="1"/>
      <c r="VJ123" s="1"/>
      <c r="VK123" s="1"/>
      <c r="VL123" s="1"/>
      <c r="VM123" s="1"/>
      <c r="VN123" s="1"/>
      <c r="VO123" s="1"/>
      <c r="VP123" s="1"/>
      <c r="VQ123" s="1"/>
      <c r="VR123" s="1"/>
      <c r="VS123" s="1"/>
      <c r="VT123" s="1"/>
      <c r="VU123" s="1"/>
      <c r="VV123" s="1"/>
      <c r="VW123" s="1"/>
      <c r="VX123" s="1"/>
      <c r="VY123" s="1"/>
      <c r="VZ123" s="1"/>
      <c r="WA123" s="1"/>
      <c r="WB123" s="1"/>
      <c r="WC123" s="1"/>
      <c r="WD123" s="1"/>
      <c r="WE123" s="1"/>
      <c r="WF123" s="1"/>
      <c r="WG123" s="1"/>
      <c r="WH123" s="1"/>
      <c r="WI123" s="1"/>
      <c r="WJ123" s="1"/>
      <c r="WK123" s="1"/>
      <c r="WL123" s="1"/>
      <c r="WM123" s="1"/>
      <c r="WN123" s="1"/>
      <c r="WO123" s="1"/>
      <c r="WP123" s="1"/>
      <c r="WQ123" s="1"/>
      <c r="WR123" s="1"/>
      <c r="WS123" s="1"/>
      <c r="WT123" s="1"/>
      <c r="WU123" s="1"/>
      <c r="WV123" s="1"/>
      <c r="WW123" s="1"/>
      <c r="WX123" s="1"/>
      <c r="WY123" s="1"/>
      <c r="WZ123" s="1"/>
      <c r="XA123" s="1"/>
      <c r="XB123" s="1"/>
      <c r="XC123" s="1"/>
      <c r="XD123" s="1"/>
      <c r="XE123" s="1"/>
      <c r="XF123" s="1"/>
      <c r="XG123" s="1"/>
      <c r="XH123" s="1"/>
      <c r="XI123" s="1"/>
      <c r="XJ123" s="1"/>
      <c r="XK123" s="1"/>
      <c r="XL123" s="1"/>
      <c r="XM123" s="1"/>
      <c r="XN123" s="1"/>
      <c r="XO123" s="1"/>
      <c r="XP123" s="1"/>
      <c r="XQ123" s="1"/>
      <c r="XR123" s="1"/>
      <c r="XS123" s="1"/>
      <c r="XT123" s="1"/>
      <c r="XU123" s="1"/>
      <c r="XV123" s="1"/>
      <c r="XW123" s="1"/>
      <c r="XX123" s="1"/>
      <c r="XY123" s="1"/>
      <c r="XZ123" s="1"/>
      <c r="YA123" s="1"/>
      <c r="YB123" s="1"/>
      <c r="YC123" s="1"/>
      <c r="YD123" s="1"/>
      <c r="YE123" s="1"/>
      <c r="YF123" s="1"/>
      <c r="YG123" s="1"/>
      <c r="YH123" s="1"/>
      <c r="YI123" s="1"/>
      <c r="YJ123" s="1"/>
      <c r="YK123" s="1"/>
      <c r="YL123" s="1"/>
      <c r="YM123" s="1"/>
      <c r="YN123" s="1"/>
      <c r="YO123" s="1"/>
      <c r="YP123" s="1"/>
      <c r="YQ123" s="1"/>
      <c r="YR123" s="1"/>
      <c r="YS123" s="1"/>
      <c r="YT123" s="1"/>
      <c r="YU123" s="1"/>
      <c r="YV123" s="1"/>
      <c r="YW123" s="1"/>
      <c r="YX123" s="1"/>
      <c r="YY123" s="1"/>
      <c r="YZ123" s="1"/>
      <c r="ZA123" s="1"/>
      <c r="ZB123" s="1"/>
      <c r="ZC123" s="1"/>
      <c r="ZD123" s="1"/>
      <c r="ZE123" s="1"/>
      <c r="ZF123" s="1"/>
      <c r="ZG123" s="1"/>
      <c r="ZH123" s="1"/>
      <c r="ZI123" s="1"/>
      <c r="ZJ123" s="1"/>
      <c r="ZK123" s="1"/>
      <c r="ZL123" s="1"/>
      <c r="ZM123" s="1"/>
      <c r="ZN123" s="1"/>
      <c r="ZO123" s="1"/>
      <c r="ZP123" s="1"/>
      <c r="ZQ123" s="1"/>
      <c r="ZR123" s="1"/>
      <c r="ZS123" s="1"/>
      <c r="ZT123" s="1"/>
      <c r="ZU123" s="1"/>
      <c r="ZV123" s="1"/>
      <c r="ZW123" s="1"/>
      <c r="ZX123" s="1"/>
      <c r="ZY123" s="1"/>
      <c r="ZZ123" s="1"/>
      <c r="AAA123" s="1"/>
      <c r="AAB123" s="1"/>
      <c r="AAC123" s="1"/>
      <c r="AAD123" s="1"/>
      <c r="AAE123" s="1"/>
      <c r="AAF123" s="1"/>
      <c r="AAG123" s="1"/>
      <c r="AAH123" s="1"/>
      <c r="AAI123" s="1"/>
      <c r="AAJ123" s="1"/>
      <c r="AAK123" s="1"/>
      <c r="AAL123" s="1"/>
      <c r="AAM123" s="1"/>
      <c r="AAN123" s="1"/>
      <c r="AAO123" s="1"/>
      <c r="AAP123" s="1"/>
      <c r="AAQ123" s="1"/>
      <c r="AAR123" s="1"/>
      <c r="AAS123" s="1"/>
      <c r="AAT123" s="1"/>
      <c r="AAU123" s="1"/>
      <c r="AAV123" s="1"/>
      <c r="AAW123" s="1"/>
      <c r="AAX123" s="1"/>
      <c r="AAY123" s="1"/>
      <c r="AAZ123" s="1"/>
      <c r="ABA123" s="1"/>
      <c r="ABB123" s="1"/>
      <c r="ABC123" s="1"/>
      <c r="ABD123" s="1"/>
      <c r="ABE123" s="1"/>
      <c r="ABF123" s="1"/>
      <c r="ABG123" s="1"/>
      <c r="ABH123" s="1"/>
      <c r="ABI123" s="1"/>
      <c r="ABJ123" s="1"/>
      <c r="ABK123" s="1"/>
      <c r="ABL123" s="1"/>
      <c r="ABM123" s="1"/>
      <c r="ABN123" s="1"/>
      <c r="ABO123" s="1"/>
      <c r="ABP123" s="1"/>
      <c r="ABQ123" s="1"/>
      <c r="ABR123" s="1"/>
      <c r="ABS123" s="1"/>
      <c r="ABT123" s="1"/>
      <c r="ABU123" s="1"/>
      <c r="ABV123" s="1"/>
      <c r="ABW123" s="1"/>
      <c r="ABX123" s="1"/>
      <c r="ABY123" s="1"/>
      <c r="ABZ123" s="1"/>
      <c r="ACA123" s="1"/>
      <c r="ACB123" s="1"/>
      <c r="ACC123" s="1"/>
      <c r="ACD123" s="1"/>
      <c r="ACE123" s="1"/>
      <c r="ACF123" s="1"/>
      <c r="ACG123" s="1"/>
      <c r="ACH123" s="1"/>
      <c r="ACI123" s="1"/>
      <c r="ACJ123" s="1"/>
      <c r="ACK123" s="1"/>
      <c r="ACL123" s="1"/>
      <c r="ACM123" s="1"/>
      <c r="ACN123" s="1"/>
      <c r="ACO123" s="1"/>
      <c r="ACP123" s="1"/>
      <c r="ACQ123" s="1"/>
      <c r="ACR123" s="1"/>
      <c r="ACS123" s="1"/>
      <c r="ACT123" s="1"/>
      <c r="ACU123" s="1"/>
      <c r="ACV123" s="1"/>
      <c r="ACW123" s="1"/>
      <c r="ACX123" s="1"/>
      <c r="ACY123" s="1"/>
      <c r="ACZ123" s="1"/>
      <c r="ADA123" s="1"/>
      <c r="ADB123" s="1"/>
      <c r="ADC123" s="1"/>
      <c r="ADD123" s="1"/>
      <c r="ADE123" s="1"/>
      <c r="ADF123" s="1"/>
      <c r="ADG123" s="1"/>
      <c r="ADH123" s="1"/>
      <c r="ADI123" s="1"/>
      <c r="ADJ123" s="1"/>
      <c r="ADK123" s="1"/>
      <c r="ADL123" s="1"/>
      <c r="ADM123" s="1"/>
      <c r="ADN123" s="1"/>
      <c r="ADO123" s="1"/>
      <c r="ADP123" s="1"/>
      <c r="ADQ123" s="1"/>
      <c r="ADR123" s="1"/>
      <c r="ADS123" s="1"/>
      <c r="ADT123" s="1"/>
      <c r="ADU123" s="1"/>
      <c r="ADV123" s="1"/>
      <c r="ADW123" s="1"/>
      <c r="ADX123" s="1"/>
      <c r="ADY123" s="1"/>
      <c r="ADZ123" s="1"/>
      <c r="AEA123" s="1"/>
      <c r="AEB123" s="1"/>
      <c r="AEC123" s="1"/>
      <c r="AED123" s="1"/>
      <c r="AEE123" s="1"/>
      <c r="AEF123" s="1"/>
      <c r="AEG123" s="1"/>
      <c r="AEH123" s="1"/>
      <c r="AEI123" s="1"/>
      <c r="AEJ123" s="1"/>
      <c r="AEK123" s="1"/>
      <c r="AEL123" s="1"/>
      <c r="AEM123" s="1"/>
      <c r="AEN123" s="1"/>
      <c r="AEO123" s="1"/>
      <c r="AEP123" s="1"/>
      <c r="AEQ123" s="1"/>
      <c r="AER123" s="1"/>
      <c r="AES123" s="1"/>
      <c r="AET123" s="1"/>
      <c r="AEU123" s="1"/>
      <c r="AEV123" s="1"/>
      <c r="AEW123" s="1"/>
      <c r="AEX123" s="1"/>
      <c r="AEY123" s="1"/>
      <c r="AEZ123" s="1"/>
      <c r="AFA123" s="1"/>
      <c r="AFB123" s="1"/>
      <c r="AFC123" s="1"/>
      <c r="AFD123" s="1"/>
      <c r="AFE123" s="1"/>
      <c r="AFF123" s="1"/>
      <c r="AFG123" s="1"/>
      <c r="AFH123" s="1"/>
      <c r="AFI123" s="1"/>
      <c r="AFJ123" s="1"/>
      <c r="AFK123" s="1"/>
      <c r="AFL123" s="1"/>
      <c r="AFM123" s="1"/>
      <c r="AFN123" s="1"/>
      <c r="AFO123" s="1"/>
      <c r="AFP123" s="1"/>
      <c r="AFQ123" s="1"/>
      <c r="AFR123" s="1"/>
      <c r="AFS123" s="1"/>
      <c r="AFT123" s="1"/>
      <c r="AFU123" s="1"/>
      <c r="AFV123" s="1"/>
      <c r="AFW123" s="1"/>
      <c r="AFX123" s="1"/>
      <c r="AFY123" s="1"/>
      <c r="AFZ123" s="1"/>
      <c r="AGA123" s="1"/>
      <c r="AGB123" s="1"/>
      <c r="AGC123" s="1"/>
      <c r="AGD123" s="1"/>
      <c r="AGE123" s="1"/>
      <c r="AGF123" s="1"/>
      <c r="AGG123" s="1"/>
      <c r="AGH123" s="1"/>
      <c r="AGI123" s="1"/>
      <c r="AGJ123" s="1"/>
      <c r="AGK123" s="1"/>
      <c r="AGL123" s="1"/>
      <c r="AGM123" s="1"/>
      <c r="AGN123" s="1"/>
      <c r="AGO123" s="1"/>
      <c r="AGP123" s="1"/>
      <c r="AGQ123" s="1"/>
      <c r="AGR123" s="1"/>
      <c r="AGS123" s="1"/>
      <c r="AGT123" s="1"/>
      <c r="AGU123" s="1"/>
      <c r="AGV123" s="1"/>
      <c r="AGW123" s="1"/>
      <c r="AGX123" s="1"/>
      <c r="AGY123" s="1"/>
      <c r="AGZ123" s="1"/>
      <c r="AHA123" s="1"/>
      <c r="AHB123" s="1"/>
      <c r="AHC123" s="1"/>
      <c r="AHD123" s="1"/>
      <c r="AHE123" s="1"/>
      <c r="AHF123" s="1"/>
      <c r="AHG123" s="1"/>
      <c r="AHH123" s="1"/>
      <c r="AHI123" s="1"/>
      <c r="AHJ123" s="1"/>
      <c r="AHK123" s="1"/>
      <c r="AHL123" s="1"/>
      <c r="AHM123" s="1"/>
      <c r="AHN123" s="1"/>
      <c r="AHO123" s="1"/>
      <c r="AHP123" s="1"/>
      <c r="AHQ123" s="1"/>
      <c r="AHR123" s="1"/>
      <c r="AHS123" s="1"/>
      <c r="AHT123" s="1"/>
      <c r="AHU123" s="1"/>
      <c r="AHV123" s="1"/>
      <c r="AHW123" s="1"/>
      <c r="AHX123" s="1"/>
      <c r="AHY123" s="1"/>
      <c r="AHZ123" s="1"/>
      <c r="AIA123" s="1"/>
      <c r="AIB123" s="1"/>
      <c r="AIC123" s="1"/>
      <c r="AID123" s="1"/>
      <c r="AIE123" s="1"/>
      <c r="AIF123" s="1"/>
      <c r="AIG123" s="1"/>
      <c r="AIH123" s="1"/>
      <c r="AII123" s="1"/>
      <c r="AIJ123" s="1"/>
      <c r="AIK123" s="1"/>
      <c r="AIL123" s="1"/>
      <c r="AIM123" s="1"/>
      <c r="AIN123" s="1"/>
      <c r="AIO123" s="1"/>
      <c r="AIP123" s="1"/>
      <c r="AIQ123" s="1"/>
      <c r="AIR123" s="1"/>
      <c r="AIS123" s="1"/>
      <c r="AIT123" s="1"/>
      <c r="AIU123" s="1"/>
      <c r="AIV123" s="1"/>
      <c r="AIW123" s="1"/>
      <c r="AIX123" s="1"/>
      <c r="AIY123" s="1"/>
      <c r="AIZ123" s="1"/>
      <c r="AJA123" s="1"/>
      <c r="AJB123" s="1"/>
      <c r="AJC123" s="1"/>
      <c r="AJD123" s="1"/>
      <c r="AJE123" s="1"/>
      <c r="AJF123" s="1"/>
      <c r="AJG123" s="1"/>
      <c r="AJH123" s="1"/>
      <c r="AJI123" s="1"/>
      <c r="AJJ123" s="1"/>
      <c r="AJK123" s="1"/>
      <c r="AJL123" s="1"/>
      <c r="AJM123" s="1"/>
      <c r="AJN123" s="1"/>
      <c r="AJO123" s="1"/>
      <c r="AJP123" s="1"/>
      <c r="AJQ123" s="1"/>
      <c r="AJR123" s="1"/>
      <c r="AJS123" s="1"/>
      <c r="AJT123" s="1"/>
      <c r="AJU123" s="1"/>
      <c r="AJV123" s="1"/>
      <c r="AJW123" s="1"/>
      <c r="AJX123" s="1"/>
      <c r="AJY123" s="1"/>
      <c r="AJZ123" s="1"/>
      <c r="AKA123" s="1"/>
      <c r="AKB123" s="1"/>
      <c r="AKC123" s="1"/>
      <c r="AKD123" s="1"/>
      <c r="AKE123" s="1"/>
      <c r="AKF123" s="1"/>
      <c r="AKG123" s="1"/>
      <c r="AKH123" s="1"/>
      <c r="AKI123" s="1"/>
      <c r="AKJ123" s="1"/>
      <c r="AKK123" s="1"/>
      <c r="AKL123" s="1"/>
      <c r="AKM123" s="1"/>
      <c r="AKN123" s="1"/>
      <c r="AKO123" s="1"/>
      <c r="AKP123" s="1"/>
      <c r="AKQ123" s="1"/>
      <c r="AKR123" s="1"/>
      <c r="AKS123" s="1"/>
      <c r="AKT123" s="1"/>
      <c r="AKU123" s="1"/>
      <c r="AKV123" s="1"/>
      <c r="AKW123" s="1"/>
      <c r="AKX123" s="1"/>
      <c r="AKY123" s="1"/>
      <c r="AKZ123" s="1"/>
      <c r="ALA123" s="1"/>
      <c r="ALB123" s="1"/>
      <c r="ALC123" s="1"/>
      <c r="ALD123" s="1"/>
      <c r="ALE123" s="1"/>
      <c r="ALF123" s="1"/>
      <c r="ALG123" s="1"/>
      <c r="ALH123" s="1"/>
      <c r="ALI123" s="1"/>
      <c r="ALJ123" s="1"/>
      <c r="ALK123" s="1"/>
      <c r="ALL123" s="1"/>
      <c r="ALM123" s="1"/>
      <c r="ALN123" s="1"/>
      <c r="ALO123" s="1"/>
      <c r="ALP123" s="1"/>
      <c r="ALQ123" s="1"/>
      <c r="ALR123" s="1"/>
      <c r="ALS123" s="1"/>
      <c r="ALT123" s="1"/>
      <c r="ALU123" s="1"/>
      <c r="ALV123" s="1"/>
      <c r="ALW123" s="1"/>
      <c r="ALX123" s="1"/>
      <c r="ALY123" s="1"/>
      <c r="ALZ123" s="1"/>
      <c r="AMA123" s="1"/>
      <c r="AMB123" s="1"/>
      <c r="AMC123" s="1"/>
      <c r="AMD123" s="1"/>
      <c r="AME123" s="1"/>
      <c r="AMF123" s="1"/>
      <c r="AMG123" s="1"/>
      <c r="AMH123" s="1"/>
      <c r="AMI123" s="1"/>
      <c r="AMJ123" s="1"/>
    </row>
    <row r="124" customFormat="false" ht="10.5" hidden="false" customHeight="true" outlineLevel="0" collapsed="false">
      <c r="A124" s="162"/>
      <c r="B124" s="162"/>
      <c r="C124" s="162"/>
      <c r="D124" s="162"/>
      <c r="E124" s="162"/>
      <c r="F124" s="162"/>
      <c r="G124" s="162"/>
      <c r="H124" s="162"/>
      <c r="I124" s="162"/>
      <c r="J124" s="163"/>
      <c r="K124" s="163"/>
      <c r="L124" s="163"/>
      <c r="M124" s="164"/>
      <c r="N124" s="164"/>
      <c r="O124" s="164"/>
      <c r="P124" s="165" t="n">
        <f aca="false">J124*M124</f>
        <v>0</v>
      </c>
      <c r="Q124" s="165"/>
      <c r="R124" s="165"/>
      <c r="S124" s="151"/>
      <c r="T124" s="151"/>
      <c r="U124" s="166"/>
      <c r="V124" s="166"/>
      <c r="W124" s="166"/>
      <c r="X124" s="166"/>
      <c r="Y124" s="166"/>
      <c r="Z124" s="166"/>
      <c r="AA124" s="166"/>
      <c r="AB124" s="166"/>
      <c r="AC124" s="166"/>
      <c r="AD124" s="166"/>
      <c r="AE124" s="166"/>
      <c r="AF124" s="166"/>
      <c r="AG124" s="167"/>
      <c r="AH124" s="167"/>
      <c r="AI124" s="167"/>
      <c r="AJ124" s="168"/>
      <c r="AK124" s="168"/>
      <c r="AL124" s="168"/>
      <c r="AM124" s="140" t="n">
        <f aca="false">AG124*AJ124</f>
        <v>0</v>
      </c>
      <c r="AN124" s="140"/>
      <c r="AO124" s="140"/>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c r="IY124" s="1"/>
      <c r="IZ124" s="1"/>
      <c r="JA124" s="1"/>
      <c r="JB124" s="1"/>
      <c r="JC124" s="1"/>
      <c r="JD124" s="1"/>
      <c r="JE124" s="1"/>
      <c r="JF124" s="1"/>
      <c r="JG124" s="1"/>
      <c r="JH124" s="1"/>
      <c r="JI124" s="1"/>
      <c r="JJ124" s="1"/>
      <c r="JK124" s="1"/>
      <c r="JL124" s="1"/>
      <c r="JM124" s="1"/>
      <c r="JN124" s="1"/>
      <c r="JO124" s="1"/>
      <c r="JP124" s="1"/>
      <c r="JQ124" s="1"/>
      <c r="JR124" s="1"/>
      <c r="JS124" s="1"/>
      <c r="JT124" s="1"/>
      <c r="JU124" s="1"/>
      <c r="JV124" s="1"/>
      <c r="JW124" s="1"/>
      <c r="JX124" s="1"/>
      <c r="JY124" s="1"/>
      <c r="JZ124" s="1"/>
      <c r="KA124" s="1"/>
      <c r="KB124" s="1"/>
      <c r="KC124" s="1"/>
      <c r="KD124" s="1"/>
      <c r="KE124" s="1"/>
      <c r="KF124" s="1"/>
      <c r="KG124" s="1"/>
      <c r="KH124" s="1"/>
      <c r="KI124" s="1"/>
      <c r="KJ124" s="1"/>
      <c r="KK124" s="1"/>
      <c r="KL124" s="1"/>
      <c r="KM124" s="1"/>
      <c r="KN124" s="1"/>
      <c r="KO124" s="1"/>
      <c r="KP124" s="1"/>
      <c r="KQ124" s="1"/>
      <c r="KR124" s="1"/>
      <c r="KS124" s="1"/>
      <c r="KT124" s="1"/>
      <c r="KU124" s="1"/>
      <c r="KV124" s="1"/>
      <c r="KW124" s="1"/>
      <c r="KX124" s="1"/>
      <c r="KY124" s="1"/>
      <c r="KZ124" s="1"/>
      <c r="LA124" s="1"/>
      <c r="LB124" s="1"/>
      <c r="LC124" s="1"/>
      <c r="LD124" s="1"/>
      <c r="LE124" s="1"/>
      <c r="LF124" s="1"/>
      <c r="LG124" s="1"/>
      <c r="LH124" s="1"/>
      <c r="LI124" s="1"/>
      <c r="LJ124" s="1"/>
      <c r="LK124" s="1"/>
      <c r="LL124" s="1"/>
      <c r="LM124" s="1"/>
      <c r="LN124" s="1"/>
      <c r="LO124" s="1"/>
      <c r="LP124" s="1"/>
      <c r="LQ124" s="1"/>
      <c r="LR124" s="1"/>
      <c r="LS124" s="1"/>
      <c r="LT124" s="1"/>
      <c r="LU124" s="1"/>
      <c r="LV124" s="1"/>
      <c r="LW124" s="1"/>
      <c r="LX124" s="1"/>
      <c r="LY124" s="1"/>
      <c r="LZ124" s="1"/>
      <c r="MA124" s="1"/>
      <c r="MB124" s="1"/>
      <c r="MC124" s="1"/>
      <c r="MD124" s="1"/>
      <c r="ME124" s="1"/>
      <c r="MF124" s="1"/>
      <c r="MG124" s="1"/>
      <c r="MH124" s="1"/>
      <c r="MI124" s="1"/>
      <c r="MJ124" s="1"/>
      <c r="MK124" s="1"/>
      <c r="ML124" s="1"/>
      <c r="MM124" s="1"/>
      <c r="MN124" s="1"/>
      <c r="MO124" s="1"/>
      <c r="MP124" s="1"/>
      <c r="MQ124" s="1"/>
      <c r="MR124" s="1"/>
      <c r="MS124" s="1"/>
      <c r="MT124" s="1"/>
      <c r="MU124" s="1"/>
      <c r="MV124" s="1"/>
      <c r="MW124" s="1"/>
      <c r="MX124" s="1"/>
      <c r="MY124" s="1"/>
      <c r="MZ124" s="1"/>
      <c r="NA124" s="1"/>
      <c r="NB124" s="1"/>
      <c r="NC124" s="1"/>
      <c r="ND124" s="1"/>
      <c r="NE124" s="1"/>
      <c r="NF124" s="1"/>
      <c r="NG124" s="1"/>
      <c r="NH124" s="1"/>
      <c r="NI124" s="1"/>
      <c r="NJ124" s="1"/>
      <c r="NK124" s="1"/>
      <c r="NL124" s="1"/>
      <c r="NM124" s="1"/>
      <c r="NN124" s="1"/>
      <c r="NO124" s="1"/>
      <c r="NP124" s="1"/>
      <c r="NQ124" s="1"/>
      <c r="NR124" s="1"/>
      <c r="NS124" s="1"/>
      <c r="NT124" s="1"/>
      <c r="NU124" s="1"/>
      <c r="NV124" s="1"/>
      <c r="NW124" s="1"/>
      <c r="NX124" s="1"/>
      <c r="NY124" s="1"/>
      <c r="NZ124" s="1"/>
      <c r="OA124" s="1"/>
      <c r="OB124" s="1"/>
      <c r="OC124" s="1"/>
      <c r="OD124" s="1"/>
      <c r="OE124" s="1"/>
      <c r="OF124" s="1"/>
      <c r="OG124" s="1"/>
      <c r="OH124" s="1"/>
      <c r="OI124" s="1"/>
      <c r="OJ124" s="1"/>
      <c r="OK124" s="1"/>
      <c r="OL124" s="1"/>
      <c r="OM124" s="1"/>
      <c r="ON124" s="1"/>
      <c r="OO124" s="1"/>
      <c r="OP124" s="1"/>
      <c r="OQ124" s="1"/>
      <c r="OR124" s="1"/>
      <c r="OS124" s="1"/>
      <c r="OT124" s="1"/>
      <c r="OU124" s="1"/>
      <c r="OV124" s="1"/>
      <c r="OW124" s="1"/>
      <c r="OX124" s="1"/>
      <c r="OY124" s="1"/>
      <c r="OZ124" s="1"/>
      <c r="PA124" s="1"/>
      <c r="PB124" s="1"/>
      <c r="PC124" s="1"/>
      <c r="PD124" s="1"/>
      <c r="PE124" s="1"/>
      <c r="PF124" s="1"/>
      <c r="PG124" s="1"/>
      <c r="PH124" s="1"/>
      <c r="PI124" s="1"/>
      <c r="PJ124" s="1"/>
      <c r="PK124" s="1"/>
      <c r="PL124" s="1"/>
      <c r="PM124" s="1"/>
      <c r="PN124" s="1"/>
      <c r="PO124" s="1"/>
      <c r="PP124" s="1"/>
      <c r="PQ124" s="1"/>
      <c r="PR124" s="1"/>
      <c r="PS124" s="1"/>
      <c r="PT124" s="1"/>
      <c r="PU124" s="1"/>
      <c r="PV124" s="1"/>
      <c r="PW124" s="1"/>
      <c r="PX124" s="1"/>
      <c r="PY124" s="1"/>
      <c r="PZ124" s="1"/>
      <c r="QA124" s="1"/>
      <c r="QB124" s="1"/>
      <c r="QC124" s="1"/>
      <c r="QD124" s="1"/>
      <c r="QE124" s="1"/>
      <c r="QF124" s="1"/>
      <c r="QG124" s="1"/>
      <c r="QH124" s="1"/>
      <c r="QI124" s="1"/>
      <c r="QJ124" s="1"/>
      <c r="QK124" s="1"/>
      <c r="QL124" s="1"/>
      <c r="QM124" s="1"/>
      <c r="QN124" s="1"/>
      <c r="QO124" s="1"/>
      <c r="QP124" s="1"/>
      <c r="QQ124" s="1"/>
      <c r="QR124" s="1"/>
      <c r="QS124" s="1"/>
      <c r="QT124" s="1"/>
      <c r="QU124" s="1"/>
      <c r="QV124" s="1"/>
      <c r="QW124" s="1"/>
      <c r="QX124" s="1"/>
      <c r="QY124" s="1"/>
      <c r="QZ124" s="1"/>
      <c r="RA124" s="1"/>
      <c r="RB124" s="1"/>
      <c r="RC124" s="1"/>
      <c r="RD124" s="1"/>
      <c r="RE124" s="1"/>
      <c r="RF124" s="1"/>
      <c r="RG124" s="1"/>
      <c r="RH124" s="1"/>
      <c r="RI124" s="1"/>
      <c r="RJ124" s="1"/>
      <c r="RK124" s="1"/>
      <c r="RL124" s="1"/>
      <c r="RM124" s="1"/>
      <c r="RN124" s="1"/>
      <c r="RO124" s="1"/>
      <c r="RP124" s="1"/>
      <c r="RQ124" s="1"/>
      <c r="RR124" s="1"/>
      <c r="RS124" s="1"/>
      <c r="RT124" s="1"/>
      <c r="RU124" s="1"/>
      <c r="RV124" s="1"/>
      <c r="RW124" s="1"/>
      <c r="RX124" s="1"/>
      <c r="RY124" s="1"/>
      <c r="RZ124" s="1"/>
      <c r="SA124" s="1"/>
      <c r="SB124" s="1"/>
      <c r="SC124" s="1"/>
      <c r="SD124" s="1"/>
      <c r="SE124" s="1"/>
      <c r="SF124" s="1"/>
      <c r="SG124" s="1"/>
      <c r="SH124" s="1"/>
      <c r="SI124" s="1"/>
      <c r="SJ124" s="1"/>
      <c r="SK124" s="1"/>
      <c r="SL124" s="1"/>
      <c r="SM124" s="1"/>
      <c r="SN124" s="1"/>
      <c r="SO124" s="1"/>
      <c r="SP124" s="1"/>
      <c r="SQ124" s="1"/>
      <c r="SR124" s="1"/>
      <c r="SS124" s="1"/>
      <c r="ST124" s="1"/>
      <c r="SU124" s="1"/>
      <c r="SV124" s="1"/>
      <c r="SW124" s="1"/>
      <c r="SX124" s="1"/>
      <c r="SY124" s="1"/>
      <c r="SZ124" s="1"/>
      <c r="TA124" s="1"/>
      <c r="TB124" s="1"/>
      <c r="TC124" s="1"/>
      <c r="TD124" s="1"/>
      <c r="TE124" s="1"/>
      <c r="TF124" s="1"/>
      <c r="TG124" s="1"/>
      <c r="TH124" s="1"/>
      <c r="TI124" s="1"/>
      <c r="TJ124" s="1"/>
      <c r="TK124" s="1"/>
      <c r="TL124" s="1"/>
      <c r="TM124" s="1"/>
      <c r="TN124" s="1"/>
      <c r="TO124" s="1"/>
      <c r="TP124" s="1"/>
      <c r="TQ124" s="1"/>
      <c r="TR124" s="1"/>
      <c r="TS124" s="1"/>
      <c r="TT124" s="1"/>
      <c r="TU124" s="1"/>
      <c r="TV124" s="1"/>
      <c r="TW124" s="1"/>
      <c r="TX124" s="1"/>
      <c r="TY124" s="1"/>
      <c r="TZ124" s="1"/>
      <c r="UA124" s="1"/>
      <c r="UB124" s="1"/>
      <c r="UC124" s="1"/>
      <c r="UD124" s="1"/>
      <c r="UE124" s="1"/>
      <c r="UF124" s="1"/>
      <c r="UG124" s="1"/>
      <c r="UH124" s="1"/>
      <c r="UI124" s="1"/>
      <c r="UJ124" s="1"/>
      <c r="UK124" s="1"/>
      <c r="UL124" s="1"/>
      <c r="UM124" s="1"/>
      <c r="UN124" s="1"/>
      <c r="UO124" s="1"/>
      <c r="UP124" s="1"/>
      <c r="UQ124" s="1"/>
      <c r="UR124" s="1"/>
      <c r="US124" s="1"/>
      <c r="UT124" s="1"/>
      <c r="UU124" s="1"/>
      <c r="UV124" s="1"/>
      <c r="UW124" s="1"/>
      <c r="UX124" s="1"/>
      <c r="UY124" s="1"/>
      <c r="UZ124" s="1"/>
      <c r="VA124" s="1"/>
      <c r="VB124" s="1"/>
      <c r="VC124" s="1"/>
      <c r="VD124" s="1"/>
      <c r="VE124" s="1"/>
      <c r="VF124" s="1"/>
      <c r="VG124" s="1"/>
      <c r="VH124" s="1"/>
      <c r="VI124" s="1"/>
      <c r="VJ124" s="1"/>
      <c r="VK124" s="1"/>
      <c r="VL124" s="1"/>
      <c r="VM124" s="1"/>
      <c r="VN124" s="1"/>
      <c r="VO124" s="1"/>
      <c r="VP124" s="1"/>
      <c r="VQ124" s="1"/>
      <c r="VR124" s="1"/>
      <c r="VS124" s="1"/>
      <c r="VT124" s="1"/>
      <c r="VU124" s="1"/>
      <c r="VV124" s="1"/>
      <c r="VW124" s="1"/>
      <c r="VX124" s="1"/>
      <c r="VY124" s="1"/>
      <c r="VZ124" s="1"/>
      <c r="WA124" s="1"/>
      <c r="WB124" s="1"/>
      <c r="WC124" s="1"/>
      <c r="WD124" s="1"/>
      <c r="WE124" s="1"/>
      <c r="WF124" s="1"/>
      <c r="WG124" s="1"/>
      <c r="WH124" s="1"/>
      <c r="WI124" s="1"/>
      <c r="WJ124" s="1"/>
      <c r="WK124" s="1"/>
      <c r="WL124" s="1"/>
      <c r="WM124" s="1"/>
      <c r="WN124" s="1"/>
      <c r="WO124" s="1"/>
      <c r="WP124" s="1"/>
      <c r="WQ124" s="1"/>
      <c r="WR124" s="1"/>
      <c r="WS124" s="1"/>
      <c r="WT124" s="1"/>
      <c r="WU124" s="1"/>
      <c r="WV124" s="1"/>
      <c r="WW124" s="1"/>
      <c r="WX124" s="1"/>
      <c r="WY124" s="1"/>
      <c r="WZ124" s="1"/>
      <c r="XA124" s="1"/>
      <c r="XB124" s="1"/>
      <c r="XC124" s="1"/>
      <c r="XD124" s="1"/>
      <c r="XE124" s="1"/>
      <c r="XF124" s="1"/>
      <c r="XG124" s="1"/>
      <c r="XH124" s="1"/>
      <c r="XI124" s="1"/>
      <c r="XJ124" s="1"/>
      <c r="XK124" s="1"/>
      <c r="XL124" s="1"/>
      <c r="XM124" s="1"/>
      <c r="XN124" s="1"/>
      <c r="XO124" s="1"/>
      <c r="XP124" s="1"/>
      <c r="XQ124" s="1"/>
      <c r="XR124" s="1"/>
      <c r="XS124" s="1"/>
      <c r="XT124" s="1"/>
      <c r="XU124" s="1"/>
      <c r="XV124" s="1"/>
      <c r="XW124" s="1"/>
      <c r="XX124" s="1"/>
      <c r="XY124" s="1"/>
      <c r="XZ124" s="1"/>
      <c r="YA124" s="1"/>
      <c r="YB124" s="1"/>
      <c r="YC124" s="1"/>
      <c r="YD124" s="1"/>
      <c r="YE124" s="1"/>
      <c r="YF124" s="1"/>
      <c r="YG124" s="1"/>
      <c r="YH124" s="1"/>
      <c r="YI124" s="1"/>
      <c r="YJ124" s="1"/>
      <c r="YK124" s="1"/>
      <c r="YL124" s="1"/>
      <c r="YM124" s="1"/>
      <c r="YN124" s="1"/>
      <c r="YO124" s="1"/>
      <c r="YP124" s="1"/>
      <c r="YQ124" s="1"/>
      <c r="YR124" s="1"/>
      <c r="YS124" s="1"/>
      <c r="YT124" s="1"/>
      <c r="YU124" s="1"/>
      <c r="YV124" s="1"/>
      <c r="YW124" s="1"/>
      <c r="YX124" s="1"/>
      <c r="YY124" s="1"/>
      <c r="YZ124" s="1"/>
      <c r="ZA124" s="1"/>
      <c r="ZB124" s="1"/>
      <c r="ZC124" s="1"/>
      <c r="ZD124" s="1"/>
      <c r="ZE124" s="1"/>
      <c r="ZF124" s="1"/>
      <c r="ZG124" s="1"/>
      <c r="ZH124" s="1"/>
      <c r="ZI124" s="1"/>
      <c r="ZJ124" s="1"/>
      <c r="ZK124" s="1"/>
      <c r="ZL124" s="1"/>
      <c r="ZM124" s="1"/>
      <c r="ZN124" s="1"/>
      <c r="ZO124" s="1"/>
      <c r="ZP124" s="1"/>
      <c r="ZQ124" s="1"/>
      <c r="ZR124" s="1"/>
      <c r="ZS124" s="1"/>
      <c r="ZT124" s="1"/>
      <c r="ZU124" s="1"/>
      <c r="ZV124" s="1"/>
      <c r="ZW124" s="1"/>
      <c r="ZX124" s="1"/>
      <c r="ZY124" s="1"/>
      <c r="ZZ124" s="1"/>
      <c r="AAA124" s="1"/>
      <c r="AAB124" s="1"/>
      <c r="AAC124" s="1"/>
      <c r="AAD124" s="1"/>
      <c r="AAE124" s="1"/>
      <c r="AAF124" s="1"/>
      <c r="AAG124" s="1"/>
      <c r="AAH124" s="1"/>
      <c r="AAI124" s="1"/>
      <c r="AAJ124" s="1"/>
      <c r="AAK124" s="1"/>
      <c r="AAL124" s="1"/>
      <c r="AAM124" s="1"/>
      <c r="AAN124" s="1"/>
      <c r="AAO124" s="1"/>
      <c r="AAP124" s="1"/>
      <c r="AAQ124" s="1"/>
      <c r="AAR124" s="1"/>
      <c r="AAS124" s="1"/>
      <c r="AAT124" s="1"/>
      <c r="AAU124" s="1"/>
      <c r="AAV124" s="1"/>
      <c r="AAW124" s="1"/>
      <c r="AAX124" s="1"/>
      <c r="AAY124" s="1"/>
      <c r="AAZ124" s="1"/>
      <c r="ABA124" s="1"/>
      <c r="ABB124" s="1"/>
      <c r="ABC124" s="1"/>
      <c r="ABD124" s="1"/>
      <c r="ABE124" s="1"/>
      <c r="ABF124" s="1"/>
      <c r="ABG124" s="1"/>
      <c r="ABH124" s="1"/>
      <c r="ABI124" s="1"/>
      <c r="ABJ124" s="1"/>
      <c r="ABK124" s="1"/>
      <c r="ABL124" s="1"/>
      <c r="ABM124" s="1"/>
      <c r="ABN124" s="1"/>
      <c r="ABO124" s="1"/>
      <c r="ABP124" s="1"/>
      <c r="ABQ124" s="1"/>
      <c r="ABR124" s="1"/>
      <c r="ABS124" s="1"/>
      <c r="ABT124" s="1"/>
      <c r="ABU124" s="1"/>
      <c r="ABV124" s="1"/>
      <c r="ABW124" s="1"/>
      <c r="ABX124" s="1"/>
      <c r="ABY124" s="1"/>
      <c r="ABZ124" s="1"/>
      <c r="ACA124" s="1"/>
      <c r="ACB124" s="1"/>
      <c r="ACC124" s="1"/>
      <c r="ACD124" s="1"/>
      <c r="ACE124" s="1"/>
      <c r="ACF124" s="1"/>
      <c r="ACG124" s="1"/>
      <c r="ACH124" s="1"/>
      <c r="ACI124" s="1"/>
      <c r="ACJ124" s="1"/>
      <c r="ACK124" s="1"/>
      <c r="ACL124" s="1"/>
      <c r="ACM124" s="1"/>
      <c r="ACN124" s="1"/>
      <c r="ACO124" s="1"/>
      <c r="ACP124" s="1"/>
      <c r="ACQ124" s="1"/>
      <c r="ACR124" s="1"/>
      <c r="ACS124" s="1"/>
      <c r="ACT124" s="1"/>
      <c r="ACU124" s="1"/>
      <c r="ACV124" s="1"/>
      <c r="ACW124" s="1"/>
      <c r="ACX124" s="1"/>
      <c r="ACY124" s="1"/>
      <c r="ACZ124" s="1"/>
      <c r="ADA124" s="1"/>
      <c r="ADB124" s="1"/>
      <c r="ADC124" s="1"/>
      <c r="ADD124" s="1"/>
      <c r="ADE124" s="1"/>
      <c r="ADF124" s="1"/>
      <c r="ADG124" s="1"/>
      <c r="ADH124" s="1"/>
      <c r="ADI124" s="1"/>
      <c r="ADJ124" s="1"/>
      <c r="ADK124" s="1"/>
      <c r="ADL124" s="1"/>
      <c r="ADM124" s="1"/>
      <c r="ADN124" s="1"/>
      <c r="ADO124" s="1"/>
      <c r="ADP124" s="1"/>
      <c r="ADQ124" s="1"/>
      <c r="ADR124" s="1"/>
      <c r="ADS124" s="1"/>
      <c r="ADT124" s="1"/>
      <c r="ADU124" s="1"/>
      <c r="ADV124" s="1"/>
      <c r="ADW124" s="1"/>
      <c r="ADX124" s="1"/>
      <c r="ADY124" s="1"/>
      <c r="ADZ124" s="1"/>
      <c r="AEA124" s="1"/>
      <c r="AEB124" s="1"/>
      <c r="AEC124" s="1"/>
      <c r="AED124" s="1"/>
      <c r="AEE124" s="1"/>
      <c r="AEF124" s="1"/>
      <c r="AEG124" s="1"/>
      <c r="AEH124" s="1"/>
      <c r="AEI124" s="1"/>
      <c r="AEJ124" s="1"/>
      <c r="AEK124" s="1"/>
      <c r="AEL124" s="1"/>
      <c r="AEM124" s="1"/>
      <c r="AEN124" s="1"/>
      <c r="AEO124" s="1"/>
      <c r="AEP124" s="1"/>
      <c r="AEQ124" s="1"/>
      <c r="AER124" s="1"/>
      <c r="AES124" s="1"/>
      <c r="AET124" s="1"/>
      <c r="AEU124" s="1"/>
      <c r="AEV124" s="1"/>
      <c r="AEW124" s="1"/>
      <c r="AEX124" s="1"/>
      <c r="AEY124" s="1"/>
      <c r="AEZ124" s="1"/>
      <c r="AFA124" s="1"/>
      <c r="AFB124" s="1"/>
      <c r="AFC124" s="1"/>
      <c r="AFD124" s="1"/>
      <c r="AFE124" s="1"/>
      <c r="AFF124" s="1"/>
      <c r="AFG124" s="1"/>
      <c r="AFH124" s="1"/>
      <c r="AFI124" s="1"/>
      <c r="AFJ124" s="1"/>
      <c r="AFK124" s="1"/>
      <c r="AFL124" s="1"/>
      <c r="AFM124" s="1"/>
      <c r="AFN124" s="1"/>
      <c r="AFO124" s="1"/>
      <c r="AFP124" s="1"/>
      <c r="AFQ124" s="1"/>
      <c r="AFR124" s="1"/>
      <c r="AFS124" s="1"/>
      <c r="AFT124" s="1"/>
      <c r="AFU124" s="1"/>
      <c r="AFV124" s="1"/>
      <c r="AFW124" s="1"/>
      <c r="AFX124" s="1"/>
      <c r="AFY124" s="1"/>
      <c r="AFZ124" s="1"/>
      <c r="AGA124" s="1"/>
      <c r="AGB124" s="1"/>
      <c r="AGC124" s="1"/>
      <c r="AGD124" s="1"/>
      <c r="AGE124" s="1"/>
      <c r="AGF124" s="1"/>
      <c r="AGG124" s="1"/>
      <c r="AGH124" s="1"/>
      <c r="AGI124" s="1"/>
      <c r="AGJ124" s="1"/>
      <c r="AGK124" s="1"/>
      <c r="AGL124" s="1"/>
      <c r="AGM124" s="1"/>
      <c r="AGN124" s="1"/>
      <c r="AGO124" s="1"/>
      <c r="AGP124" s="1"/>
      <c r="AGQ124" s="1"/>
      <c r="AGR124" s="1"/>
      <c r="AGS124" s="1"/>
      <c r="AGT124" s="1"/>
      <c r="AGU124" s="1"/>
      <c r="AGV124" s="1"/>
      <c r="AGW124" s="1"/>
      <c r="AGX124" s="1"/>
      <c r="AGY124" s="1"/>
      <c r="AGZ124" s="1"/>
      <c r="AHA124" s="1"/>
      <c r="AHB124" s="1"/>
      <c r="AHC124" s="1"/>
      <c r="AHD124" s="1"/>
      <c r="AHE124" s="1"/>
      <c r="AHF124" s="1"/>
      <c r="AHG124" s="1"/>
      <c r="AHH124" s="1"/>
      <c r="AHI124" s="1"/>
      <c r="AHJ124" s="1"/>
      <c r="AHK124" s="1"/>
      <c r="AHL124" s="1"/>
      <c r="AHM124" s="1"/>
      <c r="AHN124" s="1"/>
      <c r="AHO124" s="1"/>
      <c r="AHP124" s="1"/>
      <c r="AHQ124" s="1"/>
      <c r="AHR124" s="1"/>
      <c r="AHS124" s="1"/>
      <c r="AHT124" s="1"/>
      <c r="AHU124" s="1"/>
      <c r="AHV124" s="1"/>
      <c r="AHW124" s="1"/>
      <c r="AHX124" s="1"/>
      <c r="AHY124" s="1"/>
      <c r="AHZ124" s="1"/>
      <c r="AIA124" s="1"/>
      <c r="AIB124" s="1"/>
      <c r="AIC124" s="1"/>
      <c r="AID124" s="1"/>
      <c r="AIE124" s="1"/>
      <c r="AIF124" s="1"/>
      <c r="AIG124" s="1"/>
      <c r="AIH124" s="1"/>
      <c r="AII124" s="1"/>
      <c r="AIJ124" s="1"/>
      <c r="AIK124" s="1"/>
      <c r="AIL124" s="1"/>
      <c r="AIM124" s="1"/>
      <c r="AIN124" s="1"/>
      <c r="AIO124" s="1"/>
      <c r="AIP124" s="1"/>
      <c r="AIQ124" s="1"/>
      <c r="AIR124" s="1"/>
      <c r="AIS124" s="1"/>
      <c r="AIT124" s="1"/>
      <c r="AIU124" s="1"/>
      <c r="AIV124" s="1"/>
      <c r="AIW124" s="1"/>
      <c r="AIX124" s="1"/>
      <c r="AIY124" s="1"/>
      <c r="AIZ124" s="1"/>
      <c r="AJA124" s="1"/>
      <c r="AJB124" s="1"/>
      <c r="AJC124" s="1"/>
      <c r="AJD124" s="1"/>
      <c r="AJE124" s="1"/>
      <c r="AJF124" s="1"/>
      <c r="AJG124" s="1"/>
      <c r="AJH124" s="1"/>
      <c r="AJI124" s="1"/>
      <c r="AJJ124" s="1"/>
      <c r="AJK124" s="1"/>
      <c r="AJL124" s="1"/>
      <c r="AJM124" s="1"/>
      <c r="AJN124" s="1"/>
      <c r="AJO124" s="1"/>
      <c r="AJP124" s="1"/>
      <c r="AJQ124" s="1"/>
      <c r="AJR124" s="1"/>
      <c r="AJS124" s="1"/>
      <c r="AJT124" s="1"/>
      <c r="AJU124" s="1"/>
      <c r="AJV124" s="1"/>
      <c r="AJW124" s="1"/>
      <c r="AJX124" s="1"/>
      <c r="AJY124" s="1"/>
      <c r="AJZ124" s="1"/>
      <c r="AKA124" s="1"/>
      <c r="AKB124" s="1"/>
      <c r="AKC124" s="1"/>
      <c r="AKD124" s="1"/>
      <c r="AKE124" s="1"/>
      <c r="AKF124" s="1"/>
      <c r="AKG124" s="1"/>
      <c r="AKH124" s="1"/>
      <c r="AKI124" s="1"/>
      <c r="AKJ124" s="1"/>
      <c r="AKK124" s="1"/>
      <c r="AKL124" s="1"/>
      <c r="AKM124" s="1"/>
      <c r="AKN124" s="1"/>
      <c r="AKO124" s="1"/>
      <c r="AKP124" s="1"/>
      <c r="AKQ124" s="1"/>
      <c r="AKR124" s="1"/>
      <c r="AKS124" s="1"/>
      <c r="AKT124" s="1"/>
      <c r="AKU124" s="1"/>
      <c r="AKV124" s="1"/>
      <c r="AKW124" s="1"/>
      <c r="AKX124" s="1"/>
      <c r="AKY124" s="1"/>
      <c r="AKZ124" s="1"/>
      <c r="ALA124" s="1"/>
      <c r="ALB124" s="1"/>
      <c r="ALC124" s="1"/>
      <c r="ALD124" s="1"/>
      <c r="ALE124" s="1"/>
      <c r="ALF124" s="1"/>
      <c r="ALG124" s="1"/>
      <c r="ALH124" s="1"/>
      <c r="ALI124" s="1"/>
      <c r="ALJ124" s="1"/>
      <c r="ALK124" s="1"/>
      <c r="ALL124" s="1"/>
      <c r="ALM124" s="1"/>
      <c r="ALN124" s="1"/>
      <c r="ALO124" s="1"/>
      <c r="ALP124" s="1"/>
      <c r="ALQ124" s="1"/>
      <c r="ALR124" s="1"/>
      <c r="ALS124" s="1"/>
      <c r="ALT124" s="1"/>
      <c r="ALU124" s="1"/>
      <c r="ALV124" s="1"/>
      <c r="ALW124" s="1"/>
      <c r="ALX124" s="1"/>
      <c r="ALY124" s="1"/>
      <c r="ALZ124" s="1"/>
      <c r="AMA124" s="1"/>
      <c r="AMB124" s="1"/>
      <c r="AMC124" s="1"/>
      <c r="AMD124" s="1"/>
      <c r="AME124" s="1"/>
      <c r="AMF124" s="1"/>
      <c r="AMG124" s="1"/>
      <c r="AMH124" s="1"/>
      <c r="AMI124" s="1"/>
      <c r="AMJ124" s="1"/>
    </row>
    <row r="125" customFormat="false" ht="10.5" hidden="false" customHeight="true" outlineLevel="0" collapsed="false">
      <c r="A125" s="162"/>
      <c r="B125" s="162"/>
      <c r="C125" s="162"/>
      <c r="D125" s="162"/>
      <c r="E125" s="162"/>
      <c r="F125" s="162"/>
      <c r="G125" s="162"/>
      <c r="H125" s="162"/>
      <c r="I125" s="162"/>
      <c r="J125" s="163"/>
      <c r="K125" s="163"/>
      <c r="L125" s="163"/>
      <c r="M125" s="164"/>
      <c r="N125" s="164"/>
      <c r="O125" s="164"/>
      <c r="P125" s="165" t="n">
        <f aca="false">J125*M125</f>
        <v>0</v>
      </c>
      <c r="Q125" s="165"/>
      <c r="R125" s="165"/>
      <c r="S125" s="151"/>
      <c r="T125" s="151"/>
      <c r="U125" s="166"/>
      <c r="V125" s="166"/>
      <c r="W125" s="166"/>
      <c r="X125" s="166"/>
      <c r="Y125" s="166"/>
      <c r="Z125" s="166"/>
      <c r="AA125" s="166"/>
      <c r="AB125" s="166"/>
      <c r="AC125" s="166"/>
      <c r="AD125" s="166"/>
      <c r="AE125" s="166"/>
      <c r="AF125" s="166"/>
      <c r="AG125" s="167"/>
      <c r="AH125" s="167"/>
      <c r="AI125" s="167"/>
      <c r="AJ125" s="168"/>
      <c r="AK125" s="168"/>
      <c r="AL125" s="168"/>
      <c r="AM125" s="140" t="n">
        <f aca="false">AG125*AJ125</f>
        <v>0</v>
      </c>
      <c r="AN125" s="140"/>
      <c r="AO125" s="140"/>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c r="IY125" s="1"/>
      <c r="IZ125" s="1"/>
      <c r="JA125" s="1"/>
      <c r="JB125" s="1"/>
      <c r="JC125" s="1"/>
      <c r="JD125" s="1"/>
      <c r="JE125" s="1"/>
      <c r="JF125" s="1"/>
      <c r="JG125" s="1"/>
      <c r="JH125" s="1"/>
      <c r="JI125" s="1"/>
      <c r="JJ125" s="1"/>
      <c r="JK125" s="1"/>
      <c r="JL125" s="1"/>
      <c r="JM125" s="1"/>
      <c r="JN125" s="1"/>
      <c r="JO125" s="1"/>
      <c r="JP125" s="1"/>
      <c r="JQ125" s="1"/>
      <c r="JR125" s="1"/>
      <c r="JS125" s="1"/>
      <c r="JT125" s="1"/>
      <c r="JU125" s="1"/>
      <c r="JV125" s="1"/>
      <c r="JW125" s="1"/>
      <c r="JX125" s="1"/>
      <c r="JY125" s="1"/>
      <c r="JZ125" s="1"/>
      <c r="KA125" s="1"/>
      <c r="KB125" s="1"/>
      <c r="KC125" s="1"/>
      <c r="KD125" s="1"/>
      <c r="KE125" s="1"/>
      <c r="KF125" s="1"/>
      <c r="KG125" s="1"/>
      <c r="KH125" s="1"/>
      <c r="KI125" s="1"/>
      <c r="KJ125" s="1"/>
      <c r="KK125" s="1"/>
      <c r="KL125" s="1"/>
      <c r="KM125" s="1"/>
      <c r="KN125" s="1"/>
      <c r="KO125" s="1"/>
      <c r="KP125" s="1"/>
      <c r="KQ125" s="1"/>
      <c r="KR125" s="1"/>
      <c r="KS125" s="1"/>
      <c r="KT125" s="1"/>
      <c r="KU125" s="1"/>
      <c r="KV125" s="1"/>
      <c r="KW125" s="1"/>
      <c r="KX125" s="1"/>
      <c r="KY125" s="1"/>
      <c r="KZ125" s="1"/>
      <c r="LA125" s="1"/>
      <c r="LB125" s="1"/>
      <c r="LC125" s="1"/>
      <c r="LD125" s="1"/>
      <c r="LE125" s="1"/>
      <c r="LF125" s="1"/>
      <c r="LG125" s="1"/>
      <c r="LH125" s="1"/>
      <c r="LI125" s="1"/>
      <c r="LJ125" s="1"/>
      <c r="LK125" s="1"/>
      <c r="LL125" s="1"/>
      <c r="LM125" s="1"/>
      <c r="LN125" s="1"/>
      <c r="LO125" s="1"/>
      <c r="LP125" s="1"/>
      <c r="LQ125" s="1"/>
      <c r="LR125" s="1"/>
      <c r="LS125" s="1"/>
      <c r="LT125" s="1"/>
      <c r="LU125" s="1"/>
      <c r="LV125" s="1"/>
      <c r="LW125" s="1"/>
      <c r="LX125" s="1"/>
      <c r="LY125" s="1"/>
      <c r="LZ125" s="1"/>
      <c r="MA125" s="1"/>
      <c r="MB125" s="1"/>
      <c r="MC125" s="1"/>
      <c r="MD125" s="1"/>
      <c r="ME125" s="1"/>
      <c r="MF125" s="1"/>
      <c r="MG125" s="1"/>
      <c r="MH125" s="1"/>
      <c r="MI125" s="1"/>
      <c r="MJ125" s="1"/>
      <c r="MK125" s="1"/>
      <c r="ML125" s="1"/>
      <c r="MM125" s="1"/>
      <c r="MN125" s="1"/>
      <c r="MO125" s="1"/>
      <c r="MP125" s="1"/>
      <c r="MQ125" s="1"/>
      <c r="MR125" s="1"/>
      <c r="MS125" s="1"/>
      <c r="MT125" s="1"/>
      <c r="MU125" s="1"/>
      <c r="MV125" s="1"/>
      <c r="MW125" s="1"/>
      <c r="MX125" s="1"/>
      <c r="MY125" s="1"/>
      <c r="MZ125" s="1"/>
      <c r="NA125" s="1"/>
      <c r="NB125" s="1"/>
      <c r="NC125" s="1"/>
      <c r="ND125" s="1"/>
      <c r="NE125" s="1"/>
      <c r="NF125" s="1"/>
      <c r="NG125" s="1"/>
      <c r="NH125" s="1"/>
      <c r="NI125" s="1"/>
      <c r="NJ125" s="1"/>
      <c r="NK125" s="1"/>
      <c r="NL125" s="1"/>
      <c r="NM125" s="1"/>
      <c r="NN125" s="1"/>
      <c r="NO125" s="1"/>
      <c r="NP125" s="1"/>
      <c r="NQ125" s="1"/>
      <c r="NR125" s="1"/>
      <c r="NS125" s="1"/>
      <c r="NT125" s="1"/>
      <c r="NU125" s="1"/>
      <c r="NV125" s="1"/>
      <c r="NW125" s="1"/>
      <c r="NX125" s="1"/>
      <c r="NY125" s="1"/>
      <c r="NZ125" s="1"/>
      <c r="OA125" s="1"/>
      <c r="OB125" s="1"/>
      <c r="OC125" s="1"/>
      <c r="OD125" s="1"/>
      <c r="OE125" s="1"/>
      <c r="OF125" s="1"/>
      <c r="OG125" s="1"/>
      <c r="OH125" s="1"/>
      <c r="OI125" s="1"/>
      <c r="OJ125" s="1"/>
      <c r="OK125" s="1"/>
      <c r="OL125" s="1"/>
      <c r="OM125" s="1"/>
      <c r="ON125" s="1"/>
      <c r="OO125" s="1"/>
      <c r="OP125" s="1"/>
      <c r="OQ125" s="1"/>
      <c r="OR125" s="1"/>
      <c r="OS125" s="1"/>
      <c r="OT125" s="1"/>
      <c r="OU125" s="1"/>
      <c r="OV125" s="1"/>
      <c r="OW125" s="1"/>
      <c r="OX125" s="1"/>
      <c r="OY125" s="1"/>
      <c r="OZ125" s="1"/>
      <c r="PA125" s="1"/>
      <c r="PB125" s="1"/>
      <c r="PC125" s="1"/>
      <c r="PD125" s="1"/>
      <c r="PE125" s="1"/>
      <c r="PF125" s="1"/>
      <c r="PG125" s="1"/>
      <c r="PH125" s="1"/>
      <c r="PI125" s="1"/>
      <c r="PJ125" s="1"/>
      <c r="PK125" s="1"/>
      <c r="PL125" s="1"/>
      <c r="PM125" s="1"/>
      <c r="PN125" s="1"/>
      <c r="PO125" s="1"/>
      <c r="PP125" s="1"/>
      <c r="PQ125" s="1"/>
      <c r="PR125" s="1"/>
      <c r="PS125" s="1"/>
      <c r="PT125" s="1"/>
      <c r="PU125" s="1"/>
      <c r="PV125" s="1"/>
      <c r="PW125" s="1"/>
      <c r="PX125" s="1"/>
      <c r="PY125" s="1"/>
      <c r="PZ125" s="1"/>
      <c r="QA125" s="1"/>
      <c r="QB125" s="1"/>
      <c r="QC125" s="1"/>
      <c r="QD125" s="1"/>
      <c r="QE125" s="1"/>
      <c r="QF125" s="1"/>
      <c r="QG125" s="1"/>
      <c r="QH125" s="1"/>
      <c r="QI125" s="1"/>
      <c r="QJ125" s="1"/>
      <c r="QK125" s="1"/>
      <c r="QL125" s="1"/>
      <c r="QM125" s="1"/>
      <c r="QN125" s="1"/>
      <c r="QO125" s="1"/>
      <c r="QP125" s="1"/>
      <c r="QQ125" s="1"/>
      <c r="QR125" s="1"/>
      <c r="QS125" s="1"/>
      <c r="QT125" s="1"/>
      <c r="QU125" s="1"/>
      <c r="QV125" s="1"/>
      <c r="QW125" s="1"/>
      <c r="QX125" s="1"/>
      <c r="QY125" s="1"/>
      <c r="QZ125" s="1"/>
      <c r="RA125" s="1"/>
      <c r="RB125" s="1"/>
      <c r="RC125" s="1"/>
      <c r="RD125" s="1"/>
      <c r="RE125" s="1"/>
      <c r="RF125" s="1"/>
      <c r="RG125" s="1"/>
      <c r="RH125" s="1"/>
      <c r="RI125" s="1"/>
      <c r="RJ125" s="1"/>
      <c r="RK125" s="1"/>
      <c r="RL125" s="1"/>
      <c r="RM125" s="1"/>
      <c r="RN125" s="1"/>
      <c r="RO125" s="1"/>
      <c r="RP125" s="1"/>
      <c r="RQ125" s="1"/>
      <c r="RR125" s="1"/>
      <c r="RS125" s="1"/>
      <c r="RT125" s="1"/>
      <c r="RU125" s="1"/>
      <c r="RV125" s="1"/>
      <c r="RW125" s="1"/>
      <c r="RX125" s="1"/>
      <c r="RY125" s="1"/>
      <c r="RZ125" s="1"/>
      <c r="SA125" s="1"/>
      <c r="SB125" s="1"/>
      <c r="SC125" s="1"/>
      <c r="SD125" s="1"/>
      <c r="SE125" s="1"/>
      <c r="SF125" s="1"/>
      <c r="SG125" s="1"/>
      <c r="SH125" s="1"/>
      <c r="SI125" s="1"/>
      <c r="SJ125" s="1"/>
      <c r="SK125" s="1"/>
      <c r="SL125" s="1"/>
      <c r="SM125" s="1"/>
      <c r="SN125" s="1"/>
      <c r="SO125" s="1"/>
      <c r="SP125" s="1"/>
      <c r="SQ125" s="1"/>
      <c r="SR125" s="1"/>
      <c r="SS125" s="1"/>
      <c r="ST125" s="1"/>
      <c r="SU125" s="1"/>
      <c r="SV125" s="1"/>
      <c r="SW125" s="1"/>
      <c r="SX125" s="1"/>
      <c r="SY125" s="1"/>
      <c r="SZ125" s="1"/>
      <c r="TA125" s="1"/>
      <c r="TB125" s="1"/>
      <c r="TC125" s="1"/>
      <c r="TD125" s="1"/>
      <c r="TE125" s="1"/>
      <c r="TF125" s="1"/>
      <c r="TG125" s="1"/>
      <c r="TH125" s="1"/>
      <c r="TI125" s="1"/>
      <c r="TJ125" s="1"/>
      <c r="TK125" s="1"/>
      <c r="TL125" s="1"/>
      <c r="TM125" s="1"/>
      <c r="TN125" s="1"/>
      <c r="TO125" s="1"/>
      <c r="TP125" s="1"/>
      <c r="TQ125" s="1"/>
      <c r="TR125" s="1"/>
      <c r="TS125" s="1"/>
      <c r="TT125" s="1"/>
      <c r="TU125" s="1"/>
      <c r="TV125" s="1"/>
      <c r="TW125" s="1"/>
      <c r="TX125" s="1"/>
      <c r="TY125" s="1"/>
      <c r="TZ125" s="1"/>
      <c r="UA125" s="1"/>
      <c r="UB125" s="1"/>
      <c r="UC125" s="1"/>
      <c r="UD125" s="1"/>
      <c r="UE125" s="1"/>
      <c r="UF125" s="1"/>
      <c r="UG125" s="1"/>
      <c r="UH125" s="1"/>
      <c r="UI125" s="1"/>
      <c r="UJ125" s="1"/>
      <c r="UK125" s="1"/>
      <c r="UL125" s="1"/>
      <c r="UM125" s="1"/>
      <c r="UN125" s="1"/>
      <c r="UO125" s="1"/>
      <c r="UP125" s="1"/>
      <c r="UQ125" s="1"/>
      <c r="UR125" s="1"/>
      <c r="US125" s="1"/>
      <c r="UT125" s="1"/>
      <c r="UU125" s="1"/>
      <c r="UV125" s="1"/>
      <c r="UW125" s="1"/>
      <c r="UX125" s="1"/>
      <c r="UY125" s="1"/>
      <c r="UZ125" s="1"/>
      <c r="VA125" s="1"/>
      <c r="VB125" s="1"/>
      <c r="VC125" s="1"/>
      <c r="VD125" s="1"/>
      <c r="VE125" s="1"/>
      <c r="VF125" s="1"/>
      <c r="VG125" s="1"/>
      <c r="VH125" s="1"/>
      <c r="VI125" s="1"/>
      <c r="VJ125" s="1"/>
      <c r="VK125" s="1"/>
      <c r="VL125" s="1"/>
      <c r="VM125" s="1"/>
      <c r="VN125" s="1"/>
      <c r="VO125" s="1"/>
      <c r="VP125" s="1"/>
      <c r="VQ125" s="1"/>
      <c r="VR125" s="1"/>
      <c r="VS125" s="1"/>
      <c r="VT125" s="1"/>
      <c r="VU125" s="1"/>
      <c r="VV125" s="1"/>
      <c r="VW125" s="1"/>
      <c r="VX125" s="1"/>
      <c r="VY125" s="1"/>
      <c r="VZ125" s="1"/>
      <c r="WA125" s="1"/>
      <c r="WB125" s="1"/>
      <c r="WC125" s="1"/>
      <c r="WD125" s="1"/>
      <c r="WE125" s="1"/>
      <c r="WF125" s="1"/>
      <c r="WG125" s="1"/>
      <c r="WH125" s="1"/>
      <c r="WI125" s="1"/>
      <c r="WJ125" s="1"/>
      <c r="WK125" s="1"/>
      <c r="WL125" s="1"/>
      <c r="WM125" s="1"/>
      <c r="WN125" s="1"/>
      <c r="WO125" s="1"/>
      <c r="WP125" s="1"/>
      <c r="WQ125" s="1"/>
      <c r="WR125" s="1"/>
      <c r="WS125" s="1"/>
      <c r="WT125" s="1"/>
      <c r="WU125" s="1"/>
      <c r="WV125" s="1"/>
      <c r="WW125" s="1"/>
      <c r="WX125" s="1"/>
      <c r="WY125" s="1"/>
      <c r="WZ125" s="1"/>
      <c r="XA125" s="1"/>
      <c r="XB125" s="1"/>
      <c r="XC125" s="1"/>
      <c r="XD125" s="1"/>
      <c r="XE125" s="1"/>
      <c r="XF125" s="1"/>
      <c r="XG125" s="1"/>
      <c r="XH125" s="1"/>
      <c r="XI125" s="1"/>
      <c r="XJ125" s="1"/>
      <c r="XK125" s="1"/>
      <c r="XL125" s="1"/>
      <c r="XM125" s="1"/>
      <c r="XN125" s="1"/>
      <c r="XO125" s="1"/>
      <c r="XP125" s="1"/>
      <c r="XQ125" s="1"/>
      <c r="XR125" s="1"/>
      <c r="XS125" s="1"/>
      <c r="XT125" s="1"/>
      <c r="XU125" s="1"/>
      <c r="XV125" s="1"/>
      <c r="XW125" s="1"/>
      <c r="XX125" s="1"/>
      <c r="XY125" s="1"/>
      <c r="XZ125" s="1"/>
      <c r="YA125" s="1"/>
      <c r="YB125" s="1"/>
      <c r="YC125" s="1"/>
      <c r="YD125" s="1"/>
      <c r="YE125" s="1"/>
      <c r="YF125" s="1"/>
      <c r="YG125" s="1"/>
      <c r="YH125" s="1"/>
      <c r="YI125" s="1"/>
      <c r="YJ125" s="1"/>
      <c r="YK125" s="1"/>
      <c r="YL125" s="1"/>
      <c r="YM125" s="1"/>
      <c r="YN125" s="1"/>
      <c r="YO125" s="1"/>
      <c r="YP125" s="1"/>
      <c r="YQ125" s="1"/>
      <c r="YR125" s="1"/>
      <c r="YS125" s="1"/>
      <c r="YT125" s="1"/>
      <c r="YU125" s="1"/>
      <c r="YV125" s="1"/>
      <c r="YW125" s="1"/>
      <c r="YX125" s="1"/>
      <c r="YY125" s="1"/>
      <c r="YZ125" s="1"/>
      <c r="ZA125" s="1"/>
      <c r="ZB125" s="1"/>
      <c r="ZC125" s="1"/>
      <c r="ZD125" s="1"/>
      <c r="ZE125" s="1"/>
      <c r="ZF125" s="1"/>
      <c r="ZG125" s="1"/>
      <c r="ZH125" s="1"/>
      <c r="ZI125" s="1"/>
      <c r="ZJ125" s="1"/>
      <c r="ZK125" s="1"/>
      <c r="ZL125" s="1"/>
      <c r="ZM125" s="1"/>
      <c r="ZN125" s="1"/>
      <c r="ZO125" s="1"/>
      <c r="ZP125" s="1"/>
      <c r="ZQ125" s="1"/>
      <c r="ZR125" s="1"/>
      <c r="ZS125" s="1"/>
      <c r="ZT125" s="1"/>
      <c r="ZU125" s="1"/>
      <c r="ZV125" s="1"/>
      <c r="ZW125" s="1"/>
      <c r="ZX125" s="1"/>
      <c r="ZY125" s="1"/>
      <c r="ZZ125" s="1"/>
      <c r="AAA125" s="1"/>
      <c r="AAB125" s="1"/>
      <c r="AAC125" s="1"/>
      <c r="AAD125" s="1"/>
      <c r="AAE125" s="1"/>
      <c r="AAF125" s="1"/>
      <c r="AAG125" s="1"/>
      <c r="AAH125" s="1"/>
      <c r="AAI125" s="1"/>
      <c r="AAJ125" s="1"/>
      <c r="AAK125" s="1"/>
      <c r="AAL125" s="1"/>
      <c r="AAM125" s="1"/>
      <c r="AAN125" s="1"/>
      <c r="AAO125" s="1"/>
      <c r="AAP125" s="1"/>
      <c r="AAQ125" s="1"/>
      <c r="AAR125" s="1"/>
      <c r="AAS125" s="1"/>
      <c r="AAT125" s="1"/>
      <c r="AAU125" s="1"/>
      <c r="AAV125" s="1"/>
      <c r="AAW125" s="1"/>
      <c r="AAX125" s="1"/>
      <c r="AAY125" s="1"/>
      <c r="AAZ125" s="1"/>
      <c r="ABA125" s="1"/>
      <c r="ABB125" s="1"/>
      <c r="ABC125" s="1"/>
      <c r="ABD125" s="1"/>
      <c r="ABE125" s="1"/>
      <c r="ABF125" s="1"/>
      <c r="ABG125" s="1"/>
      <c r="ABH125" s="1"/>
      <c r="ABI125" s="1"/>
      <c r="ABJ125" s="1"/>
      <c r="ABK125" s="1"/>
      <c r="ABL125" s="1"/>
      <c r="ABM125" s="1"/>
      <c r="ABN125" s="1"/>
      <c r="ABO125" s="1"/>
      <c r="ABP125" s="1"/>
      <c r="ABQ125" s="1"/>
      <c r="ABR125" s="1"/>
      <c r="ABS125" s="1"/>
      <c r="ABT125" s="1"/>
      <c r="ABU125" s="1"/>
      <c r="ABV125" s="1"/>
      <c r="ABW125" s="1"/>
      <c r="ABX125" s="1"/>
      <c r="ABY125" s="1"/>
      <c r="ABZ125" s="1"/>
      <c r="ACA125" s="1"/>
      <c r="ACB125" s="1"/>
      <c r="ACC125" s="1"/>
      <c r="ACD125" s="1"/>
      <c r="ACE125" s="1"/>
      <c r="ACF125" s="1"/>
      <c r="ACG125" s="1"/>
      <c r="ACH125" s="1"/>
      <c r="ACI125" s="1"/>
      <c r="ACJ125" s="1"/>
      <c r="ACK125" s="1"/>
      <c r="ACL125" s="1"/>
      <c r="ACM125" s="1"/>
      <c r="ACN125" s="1"/>
      <c r="ACO125" s="1"/>
      <c r="ACP125" s="1"/>
      <c r="ACQ125" s="1"/>
      <c r="ACR125" s="1"/>
      <c r="ACS125" s="1"/>
      <c r="ACT125" s="1"/>
      <c r="ACU125" s="1"/>
      <c r="ACV125" s="1"/>
      <c r="ACW125" s="1"/>
      <c r="ACX125" s="1"/>
      <c r="ACY125" s="1"/>
      <c r="ACZ125" s="1"/>
      <c r="ADA125" s="1"/>
      <c r="ADB125" s="1"/>
      <c r="ADC125" s="1"/>
      <c r="ADD125" s="1"/>
      <c r="ADE125" s="1"/>
      <c r="ADF125" s="1"/>
      <c r="ADG125" s="1"/>
      <c r="ADH125" s="1"/>
      <c r="ADI125" s="1"/>
      <c r="ADJ125" s="1"/>
      <c r="ADK125" s="1"/>
      <c r="ADL125" s="1"/>
      <c r="ADM125" s="1"/>
      <c r="ADN125" s="1"/>
      <c r="ADO125" s="1"/>
      <c r="ADP125" s="1"/>
      <c r="ADQ125" s="1"/>
      <c r="ADR125" s="1"/>
      <c r="ADS125" s="1"/>
      <c r="ADT125" s="1"/>
      <c r="ADU125" s="1"/>
      <c r="ADV125" s="1"/>
      <c r="ADW125" s="1"/>
      <c r="ADX125" s="1"/>
      <c r="ADY125" s="1"/>
      <c r="ADZ125" s="1"/>
      <c r="AEA125" s="1"/>
      <c r="AEB125" s="1"/>
      <c r="AEC125" s="1"/>
      <c r="AED125" s="1"/>
      <c r="AEE125" s="1"/>
      <c r="AEF125" s="1"/>
      <c r="AEG125" s="1"/>
      <c r="AEH125" s="1"/>
      <c r="AEI125" s="1"/>
      <c r="AEJ125" s="1"/>
      <c r="AEK125" s="1"/>
      <c r="AEL125" s="1"/>
      <c r="AEM125" s="1"/>
      <c r="AEN125" s="1"/>
      <c r="AEO125" s="1"/>
      <c r="AEP125" s="1"/>
      <c r="AEQ125" s="1"/>
      <c r="AER125" s="1"/>
      <c r="AES125" s="1"/>
      <c r="AET125" s="1"/>
      <c r="AEU125" s="1"/>
      <c r="AEV125" s="1"/>
      <c r="AEW125" s="1"/>
      <c r="AEX125" s="1"/>
      <c r="AEY125" s="1"/>
      <c r="AEZ125" s="1"/>
      <c r="AFA125" s="1"/>
      <c r="AFB125" s="1"/>
      <c r="AFC125" s="1"/>
      <c r="AFD125" s="1"/>
      <c r="AFE125" s="1"/>
      <c r="AFF125" s="1"/>
      <c r="AFG125" s="1"/>
      <c r="AFH125" s="1"/>
      <c r="AFI125" s="1"/>
      <c r="AFJ125" s="1"/>
      <c r="AFK125" s="1"/>
      <c r="AFL125" s="1"/>
      <c r="AFM125" s="1"/>
      <c r="AFN125" s="1"/>
      <c r="AFO125" s="1"/>
      <c r="AFP125" s="1"/>
      <c r="AFQ125" s="1"/>
      <c r="AFR125" s="1"/>
      <c r="AFS125" s="1"/>
      <c r="AFT125" s="1"/>
      <c r="AFU125" s="1"/>
      <c r="AFV125" s="1"/>
      <c r="AFW125" s="1"/>
      <c r="AFX125" s="1"/>
      <c r="AFY125" s="1"/>
      <c r="AFZ125" s="1"/>
      <c r="AGA125" s="1"/>
      <c r="AGB125" s="1"/>
      <c r="AGC125" s="1"/>
      <c r="AGD125" s="1"/>
      <c r="AGE125" s="1"/>
      <c r="AGF125" s="1"/>
      <c r="AGG125" s="1"/>
      <c r="AGH125" s="1"/>
      <c r="AGI125" s="1"/>
      <c r="AGJ125" s="1"/>
      <c r="AGK125" s="1"/>
      <c r="AGL125" s="1"/>
      <c r="AGM125" s="1"/>
      <c r="AGN125" s="1"/>
      <c r="AGO125" s="1"/>
      <c r="AGP125" s="1"/>
      <c r="AGQ125" s="1"/>
      <c r="AGR125" s="1"/>
      <c r="AGS125" s="1"/>
      <c r="AGT125" s="1"/>
      <c r="AGU125" s="1"/>
      <c r="AGV125" s="1"/>
      <c r="AGW125" s="1"/>
      <c r="AGX125" s="1"/>
      <c r="AGY125" s="1"/>
      <c r="AGZ125" s="1"/>
      <c r="AHA125" s="1"/>
      <c r="AHB125" s="1"/>
      <c r="AHC125" s="1"/>
      <c r="AHD125" s="1"/>
      <c r="AHE125" s="1"/>
      <c r="AHF125" s="1"/>
      <c r="AHG125" s="1"/>
      <c r="AHH125" s="1"/>
      <c r="AHI125" s="1"/>
      <c r="AHJ125" s="1"/>
      <c r="AHK125" s="1"/>
      <c r="AHL125" s="1"/>
      <c r="AHM125" s="1"/>
      <c r="AHN125" s="1"/>
      <c r="AHO125" s="1"/>
      <c r="AHP125" s="1"/>
      <c r="AHQ125" s="1"/>
      <c r="AHR125" s="1"/>
      <c r="AHS125" s="1"/>
      <c r="AHT125" s="1"/>
      <c r="AHU125" s="1"/>
      <c r="AHV125" s="1"/>
      <c r="AHW125" s="1"/>
      <c r="AHX125" s="1"/>
      <c r="AHY125" s="1"/>
      <c r="AHZ125" s="1"/>
      <c r="AIA125" s="1"/>
      <c r="AIB125" s="1"/>
      <c r="AIC125" s="1"/>
      <c r="AID125" s="1"/>
      <c r="AIE125" s="1"/>
      <c r="AIF125" s="1"/>
      <c r="AIG125" s="1"/>
      <c r="AIH125" s="1"/>
      <c r="AII125" s="1"/>
      <c r="AIJ125" s="1"/>
      <c r="AIK125" s="1"/>
      <c r="AIL125" s="1"/>
      <c r="AIM125" s="1"/>
      <c r="AIN125" s="1"/>
      <c r="AIO125" s="1"/>
      <c r="AIP125" s="1"/>
      <c r="AIQ125" s="1"/>
      <c r="AIR125" s="1"/>
      <c r="AIS125" s="1"/>
      <c r="AIT125" s="1"/>
      <c r="AIU125" s="1"/>
      <c r="AIV125" s="1"/>
      <c r="AIW125" s="1"/>
      <c r="AIX125" s="1"/>
      <c r="AIY125" s="1"/>
      <c r="AIZ125" s="1"/>
      <c r="AJA125" s="1"/>
      <c r="AJB125" s="1"/>
      <c r="AJC125" s="1"/>
      <c r="AJD125" s="1"/>
      <c r="AJE125" s="1"/>
      <c r="AJF125" s="1"/>
      <c r="AJG125" s="1"/>
      <c r="AJH125" s="1"/>
      <c r="AJI125" s="1"/>
      <c r="AJJ125" s="1"/>
      <c r="AJK125" s="1"/>
      <c r="AJL125" s="1"/>
      <c r="AJM125" s="1"/>
      <c r="AJN125" s="1"/>
      <c r="AJO125" s="1"/>
      <c r="AJP125" s="1"/>
      <c r="AJQ125" s="1"/>
      <c r="AJR125" s="1"/>
      <c r="AJS125" s="1"/>
      <c r="AJT125" s="1"/>
      <c r="AJU125" s="1"/>
      <c r="AJV125" s="1"/>
      <c r="AJW125" s="1"/>
      <c r="AJX125" s="1"/>
      <c r="AJY125" s="1"/>
      <c r="AJZ125" s="1"/>
      <c r="AKA125" s="1"/>
      <c r="AKB125" s="1"/>
      <c r="AKC125" s="1"/>
      <c r="AKD125" s="1"/>
      <c r="AKE125" s="1"/>
      <c r="AKF125" s="1"/>
      <c r="AKG125" s="1"/>
      <c r="AKH125" s="1"/>
      <c r="AKI125" s="1"/>
      <c r="AKJ125" s="1"/>
      <c r="AKK125" s="1"/>
      <c r="AKL125" s="1"/>
      <c r="AKM125" s="1"/>
      <c r="AKN125" s="1"/>
      <c r="AKO125" s="1"/>
      <c r="AKP125" s="1"/>
      <c r="AKQ125" s="1"/>
      <c r="AKR125" s="1"/>
      <c r="AKS125" s="1"/>
      <c r="AKT125" s="1"/>
      <c r="AKU125" s="1"/>
      <c r="AKV125" s="1"/>
      <c r="AKW125" s="1"/>
      <c r="AKX125" s="1"/>
      <c r="AKY125" s="1"/>
      <c r="AKZ125" s="1"/>
      <c r="ALA125" s="1"/>
      <c r="ALB125" s="1"/>
      <c r="ALC125" s="1"/>
      <c r="ALD125" s="1"/>
      <c r="ALE125" s="1"/>
      <c r="ALF125" s="1"/>
      <c r="ALG125" s="1"/>
      <c r="ALH125" s="1"/>
      <c r="ALI125" s="1"/>
      <c r="ALJ125" s="1"/>
      <c r="ALK125" s="1"/>
      <c r="ALL125" s="1"/>
      <c r="ALM125" s="1"/>
      <c r="ALN125" s="1"/>
      <c r="ALO125" s="1"/>
      <c r="ALP125" s="1"/>
      <c r="ALQ125" s="1"/>
      <c r="ALR125" s="1"/>
      <c r="ALS125" s="1"/>
      <c r="ALT125" s="1"/>
      <c r="ALU125" s="1"/>
      <c r="ALV125" s="1"/>
      <c r="ALW125" s="1"/>
      <c r="ALX125" s="1"/>
      <c r="ALY125" s="1"/>
      <c r="ALZ125" s="1"/>
      <c r="AMA125" s="1"/>
      <c r="AMB125" s="1"/>
      <c r="AMC125" s="1"/>
      <c r="AMD125" s="1"/>
      <c r="AME125" s="1"/>
      <c r="AMF125" s="1"/>
      <c r="AMG125" s="1"/>
      <c r="AMH125" s="1"/>
      <c r="AMI125" s="1"/>
      <c r="AMJ125" s="1"/>
    </row>
    <row r="126" customFormat="false" ht="10.5" hidden="false" customHeight="true" outlineLevel="0" collapsed="false">
      <c r="A126" s="169"/>
      <c r="B126" s="169"/>
      <c r="C126" s="169"/>
      <c r="D126" s="169"/>
      <c r="E126" s="169"/>
      <c r="F126" s="169"/>
      <c r="G126" s="169"/>
      <c r="H126" s="169"/>
      <c r="I126" s="169"/>
      <c r="J126" s="170"/>
      <c r="K126" s="170"/>
      <c r="L126" s="170"/>
      <c r="M126" s="171"/>
      <c r="N126" s="171"/>
      <c r="O126" s="171"/>
      <c r="P126" s="172" t="n">
        <f aca="false">J126*M126</f>
        <v>0</v>
      </c>
      <c r="Q126" s="172"/>
      <c r="R126" s="172"/>
      <c r="S126" s="151"/>
      <c r="T126" s="151"/>
      <c r="U126" s="173"/>
      <c r="V126" s="173"/>
      <c r="W126" s="173"/>
      <c r="X126" s="173"/>
      <c r="Y126" s="173"/>
      <c r="Z126" s="173"/>
      <c r="AA126" s="173"/>
      <c r="AB126" s="173"/>
      <c r="AC126" s="173"/>
      <c r="AD126" s="173"/>
      <c r="AE126" s="173"/>
      <c r="AF126" s="173"/>
      <c r="AG126" s="174"/>
      <c r="AH126" s="174"/>
      <c r="AI126" s="174"/>
      <c r="AJ126" s="175"/>
      <c r="AK126" s="175"/>
      <c r="AL126" s="175"/>
      <c r="AM126" s="143" t="n">
        <f aca="false">AG126*AJ126</f>
        <v>0</v>
      </c>
      <c r="AN126" s="143"/>
      <c r="AO126" s="143"/>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c r="IY126" s="1"/>
      <c r="IZ126" s="1"/>
      <c r="JA126" s="1"/>
      <c r="JB126" s="1"/>
      <c r="JC126" s="1"/>
      <c r="JD126" s="1"/>
      <c r="JE126" s="1"/>
      <c r="JF126" s="1"/>
      <c r="JG126" s="1"/>
      <c r="JH126" s="1"/>
      <c r="JI126" s="1"/>
      <c r="JJ126" s="1"/>
      <c r="JK126" s="1"/>
      <c r="JL126" s="1"/>
      <c r="JM126" s="1"/>
      <c r="JN126" s="1"/>
      <c r="JO126" s="1"/>
      <c r="JP126" s="1"/>
      <c r="JQ126" s="1"/>
      <c r="JR126" s="1"/>
      <c r="JS126" s="1"/>
      <c r="JT126" s="1"/>
      <c r="JU126" s="1"/>
      <c r="JV126" s="1"/>
      <c r="JW126" s="1"/>
      <c r="JX126" s="1"/>
      <c r="JY126" s="1"/>
      <c r="JZ126" s="1"/>
      <c r="KA126" s="1"/>
      <c r="KB126" s="1"/>
      <c r="KC126" s="1"/>
      <c r="KD126" s="1"/>
      <c r="KE126" s="1"/>
      <c r="KF126" s="1"/>
      <c r="KG126" s="1"/>
      <c r="KH126" s="1"/>
      <c r="KI126" s="1"/>
      <c r="KJ126" s="1"/>
      <c r="KK126" s="1"/>
      <c r="KL126" s="1"/>
      <c r="KM126" s="1"/>
      <c r="KN126" s="1"/>
      <c r="KO126" s="1"/>
      <c r="KP126" s="1"/>
      <c r="KQ126" s="1"/>
      <c r="KR126" s="1"/>
      <c r="KS126" s="1"/>
      <c r="KT126" s="1"/>
      <c r="KU126" s="1"/>
      <c r="KV126" s="1"/>
      <c r="KW126" s="1"/>
      <c r="KX126" s="1"/>
      <c r="KY126" s="1"/>
      <c r="KZ126" s="1"/>
      <c r="LA126" s="1"/>
      <c r="LB126" s="1"/>
      <c r="LC126" s="1"/>
      <c r="LD126" s="1"/>
      <c r="LE126" s="1"/>
      <c r="LF126" s="1"/>
      <c r="LG126" s="1"/>
      <c r="LH126" s="1"/>
      <c r="LI126" s="1"/>
      <c r="LJ126" s="1"/>
      <c r="LK126" s="1"/>
      <c r="LL126" s="1"/>
      <c r="LM126" s="1"/>
      <c r="LN126" s="1"/>
      <c r="LO126" s="1"/>
      <c r="LP126" s="1"/>
      <c r="LQ126" s="1"/>
      <c r="LR126" s="1"/>
      <c r="LS126" s="1"/>
      <c r="LT126" s="1"/>
      <c r="LU126" s="1"/>
      <c r="LV126" s="1"/>
      <c r="LW126" s="1"/>
      <c r="LX126" s="1"/>
      <c r="LY126" s="1"/>
      <c r="LZ126" s="1"/>
      <c r="MA126" s="1"/>
      <c r="MB126" s="1"/>
      <c r="MC126" s="1"/>
      <c r="MD126" s="1"/>
      <c r="ME126" s="1"/>
      <c r="MF126" s="1"/>
      <c r="MG126" s="1"/>
      <c r="MH126" s="1"/>
      <c r="MI126" s="1"/>
      <c r="MJ126" s="1"/>
      <c r="MK126" s="1"/>
      <c r="ML126" s="1"/>
      <c r="MM126" s="1"/>
      <c r="MN126" s="1"/>
      <c r="MO126" s="1"/>
      <c r="MP126" s="1"/>
      <c r="MQ126" s="1"/>
      <c r="MR126" s="1"/>
      <c r="MS126" s="1"/>
      <c r="MT126" s="1"/>
      <c r="MU126" s="1"/>
      <c r="MV126" s="1"/>
      <c r="MW126" s="1"/>
      <c r="MX126" s="1"/>
      <c r="MY126" s="1"/>
      <c r="MZ126" s="1"/>
      <c r="NA126" s="1"/>
      <c r="NB126" s="1"/>
      <c r="NC126" s="1"/>
      <c r="ND126" s="1"/>
      <c r="NE126" s="1"/>
      <c r="NF126" s="1"/>
      <c r="NG126" s="1"/>
      <c r="NH126" s="1"/>
      <c r="NI126" s="1"/>
      <c r="NJ126" s="1"/>
      <c r="NK126" s="1"/>
      <c r="NL126" s="1"/>
      <c r="NM126" s="1"/>
      <c r="NN126" s="1"/>
      <c r="NO126" s="1"/>
      <c r="NP126" s="1"/>
      <c r="NQ126" s="1"/>
      <c r="NR126" s="1"/>
      <c r="NS126" s="1"/>
      <c r="NT126" s="1"/>
      <c r="NU126" s="1"/>
      <c r="NV126" s="1"/>
      <c r="NW126" s="1"/>
      <c r="NX126" s="1"/>
      <c r="NY126" s="1"/>
      <c r="NZ126" s="1"/>
      <c r="OA126" s="1"/>
      <c r="OB126" s="1"/>
      <c r="OC126" s="1"/>
      <c r="OD126" s="1"/>
      <c r="OE126" s="1"/>
      <c r="OF126" s="1"/>
      <c r="OG126" s="1"/>
      <c r="OH126" s="1"/>
      <c r="OI126" s="1"/>
      <c r="OJ126" s="1"/>
      <c r="OK126" s="1"/>
      <c r="OL126" s="1"/>
      <c r="OM126" s="1"/>
      <c r="ON126" s="1"/>
      <c r="OO126" s="1"/>
      <c r="OP126" s="1"/>
      <c r="OQ126" s="1"/>
      <c r="OR126" s="1"/>
      <c r="OS126" s="1"/>
      <c r="OT126" s="1"/>
      <c r="OU126" s="1"/>
      <c r="OV126" s="1"/>
      <c r="OW126" s="1"/>
      <c r="OX126" s="1"/>
      <c r="OY126" s="1"/>
      <c r="OZ126" s="1"/>
      <c r="PA126" s="1"/>
      <c r="PB126" s="1"/>
      <c r="PC126" s="1"/>
      <c r="PD126" s="1"/>
      <c r="PE126" s="1"/>
      <c r="PF126" s="1"/>
      <c r="PG126" s="1"/>
      <c r="PH126" s="1"/>
      <c r="PI126" s="1"/>
      <c r="PJ126" s="1"/>
      <c r="PK126" s="1"/>
      <c r="PL126" s="1"/>
      <c r="PM126" s="1"/>
      <c r="PN126" s="1"/>
      <c r="PO126" s="1"/>
      <c r="PP126" s="1"/>
      <c r="PQ126" s="1"/>
      <c r="PR126" s="1"/>
      <c r="PS126" s="1"/>
      <c r="PT126" s="1"/>
      <c r="PU126" s="1"/>
      <c r="PV126" s="1"/>
      <c r="PW126" s="1"/>
      <c r="PX126" s="1"/>
      <c r="PY126" s="1"/>
      <c r="PZ126" s="1"/>
      <c r="QA126" s="1"/>
      <c r="QB126" s="1"/>
      <c r="QC126" s="1"/>
      <c r="QD126" s="1"/>
      <c r="QE126" s="1"/>
      <c r="QF126" s="1"/>
      <c r="QG126" s="1"/>
      <c r="QH126" s="1"/>
      <c r="QI126" s="1"/>
      <c r="QJ126" s="1"/>
      <c r="QK126" s="1"/>
      <c r="QL126" s="1"/>
      <c r="QM126" s="1"/>
      <c r="QN126" s="1"/>
      <c r="QO126" s="1"/>
      <c r="QP126" s="1"/>
      <c r="QQ126" s="1"/>
      <c r="QR126" s="1"/>
      <c r="QS126" s="1"/>
      <c r="QT126" s="1"/>
      <c r="QU126" s="1"/>
      <c r="QV126" s="1"/>
      <c r="QW126" s="1"/>
      <c r="QX126" s="1"/>
      <c r="QY126" s="1"/>
      <c r="QZ126" s="1"/>
      <c r="RA126" s="1"/>
      <c r="RB126" s="1"/>
      <c r="RC126" s="1"/>
      <c r="RD126" s="1"/>
      <c r="RE126" s="1"/>
      <c r="RF126" s="1"/>
      <c r="RG126" s="1"/>
      <c r="RH126" s="1"/>
      <c r="RI126" s="1"/>
      <c r="RJ126" s="1"/>
      <c r="RK126" s="1"/>
      <c r="RL126" s="1"/>
      <c r="RM126" s="1"/>
      <c r="RN126" s="1"/>
      <c r="RO126" s="1"/>
      <c r="RP126" s="1"/>
      <c r="RQ126" s="1"/>
      <c r="RR126" s="1"/>
      <c r="RS126" s="1"/>
      <c r="RT126" s="1"/>
      <c r="RU126" s="1"/>
      <c r="RV126" s="1"/>
      <c r="RW126" s="1"/>
      <c r="RX126" s="1"/>
      <c r="RY126" s="1"/>
      <c r="RZ126" s="1"/>
      <c r="SA126" s="1"/>
      <c r="SB126" s="1"/>
      <c r="SC126" s="1"/>
      <c r="SD126" s="1"/>
      <c r="SE126" s="1"/>
      <c r="SF126" s="1"/>
      <c r="SG126" s="1"/>
      <c r="SH126" s="1"/>
      <c r="SI126" s="1"/>
      <c r="SJ126" s="1"/>
      <c r="SK126" s="1"/>
      <c r="SL126" s="1"/>
      <c r="SM126" s="1"/>
      <c r="SN126" s="1"/>
      <c r="SO126" s="1"/>
      <c r="SP126" s="1"/>
      <c r="SQ126" s="1"/>
      <c r="SR126" s="1"/>
      <c r="SS126" s="1"/>
      <c r="ST126" s="1"/>
      <c r="SU126" s="1"/>
      <c r="SV126" s="1"/>
      <c r="SW126" s="1"/>
      <c r="SX126" s="1"/>
      <c r="SY126" s="1"/>
      <c r="SZ126" s="1"/>
      <c r="TA126" s="1"/>
      <c r="TB126" s="1"/>
      <c r="TC126" s="1"/>
      <c r="TD126" s="1"/>
      <c r="TE126" s="1"/>
      <c r="TF126" s="1"/>
      <c r="TG126" s="1"/>
      <c r="TH126" s="1"/>
      <c r="TI126" s="1"/>
      <c r="TJ126" s="1"/>
      <c r="TK126" s="1"/>
      <c r="TL126" s="1"/>
      <c r="TM126" s="1"/>
      <c r="TN126" s="1"/>
      <c r="TO126" s="1"/>
      <c r="TP126" s="1"/>
      <c r="TQ126" s="1"/>
      <c r="TR126" s="1"/>
      <c r="TS126" s="1"/>
      <c r="TT126" s="1"/>
      <c r="TU126" s="1"/>
      <c r="TV126" s="1"/>
      <c r="TW126" s="1"/>
      <c r="TX126" s="1"/>
      <c r="TY126" s="1"/>
      <c r="TZ126" s="1"/>
      <c r="UA126" s="1"/>
      <c r="UB126" s="1"/>
      <c r="UC126" s="1"/>
      <c r="UD126" s="1"/>
      <c r="UE126" s="1"/>
      <c r="UF126" s="1"/>
      <c r="UG126" s="1"/>
      <c r="UH126" s="1"/>
      <c r="UI126" s="1"/>
      <c r="UJ126" s="1"/>
      <c r="UK126" s="1"/>
      <c r="UL126" s="1"/>
      <c r="UM126" s="1"/>
      <c r="UN126" s="1"/>
      <c r="UO126" s="1"/>
      <c r="UP126" s="1"/>
      <c r="UQ126" s="1"/>
      <c r="UR126" s="1"/>
      <c r="US126" s="1"/>
      <c r="UT126" s="1"/>
      <c r="UU126" s="1"/>
      <c r="UV126" s="1"/>
      <c r="UW126" s="1"/>
      <c r="UX126" s="1"/>
      <c r="UY126" s="1"/>
      <c r="UZ126" s="1"/>
      <c r="VA126" s="1"/>
      <c r="VB126" s="1"/>
      <c r="VC126" s="1"/>
      <c r="VD126" s="1"/>
      <c r="VE126" s="1"/>
      <c r="VF126" s="1"/>
      <c r="VG126" s="1"/>
      <c r="VH126" s="1"/>
      <c r="VI126" s="1"/>
      <c r="VJ126" s="1"/>
      <c r="VK126" s="1"/>
      <c r="VL126" s="1"/>
      <c r="VM126" s="1"/>
      <c r="VN126" s="1"/>
      <c r="VO126" s="1"/>
      <c r="VP126" s="1"/>
      <c r="VQ126" s="1"/>
      <c r="VR126" s="1"/>
      <c r="VS126" s="1"/>
      <c r="VT126" s="1"/>
      <c r="VU126" s="1"/>
      <c r="VV126" s="1"/>
      <c r="VW126" s="1"/>
      <c r="VX126" s="1"/>
      <c r="VY126" s="1"/>
      <c r="VZ126" s="1"/>
      <c r="WA126" s="1"/>
      <c r="WB126" s="1"/>
      <c r="WC126" s="1"/>
      <c r="WD126" s="1"/>
      <c r="WE126" s="1"/>
      <c r="WF126" s="1"/>
      <c r="WG126" s="1"/>
      <c r="WH126" s="1"/>
      <c r="WI126" s="1"/>
      <c r="WJ126" s="1"/>
      <c r="WK126" s="1"/>
      <c r="WL126" s="1"/>
      <c r="WM126" s="1"/>
      <c r="WN126" s="1"/>
      <c r="WO126" s="1"/>
      <c r="WP126" s="1"/>
      <c r="WQ126" s="1"/>
      <c r="WR126" s="1"/>
      <c r="WS126" s="1"/>
      <c r="WT126" s="1"/>
      <c r="WU126" s="1"/>
      <c r="WV126" s="1"/>
      <c r="WW126" s="1"/>
      <c r="WX126" s="1"/>
      <c r="WY126" s="1"/>
      <c r="WZ126" s="1"/>
      <c r="XA126" s="1"/>
      <c r="XB126" s="1"/>
      <c r="XC126" s="1"/>
      <c r="XD126" s="1"/>
      <c r="XE126" s="1"/>
      <c r="XF126" s="1"/>
      <c r="XG126" s="1"/>
      <c r="XH126" s="1"/>
      <c r="XI126" s="1"/>
      <c r="XJ126" s="1"/>
      <c r="XK126" s="1"/>
      <c r="XL126" s="1"/>
      <c r="XM126" s="1"/>
      <c r="XN126" s="1"/>
      <c r="XO126" s="1"/>
      <c r="XP126" s="1"/>
      <c r="XQ126" s="1"/>
      <c r="XR126" s="1"/>
      <c r="XS126" s="1"/>
      <c r="XT126" s="1"/>
      <c r="XU126" s="1"/>
      <c r="XV126" s="1"/>
      <c r="XW126" s="1"/>
      <c r="XX126" s="1"/>
      <c r="XY126" s="1"/>
      <c r="XZ126" s="1"/>
      <c r="YA126" s="1"/>
      <c r="YB126" s="1"/>
      <c r="YC126" s="1"/>
      <c r="YD126" s="1"/>
      <c r="YE126" s="1"/>
      <c r="YF126" s="1"/>
      <c r="YG126" s="1"/>
      <c r="YH126" s="1"/>
      <c r="YI126" s="1"/>
      <c r="YJ126" s="1"/>
      <c r="YK126" s="1"/>
      <c r="YL126" s="1"/>
      <c r="YM126" s="1"/>
      <c r="YN126" s="1"/>
      <c r="YO126" s="1"/>
      <c r="YP126" s="1"/>
      <c r="YQ126" s="1"/>
      <c r="YR126" s="1"/>
      <c r="YS126" s="1"/>
      <c r="YT126" s="1"/>
      <c r="YU126" s="1"/>
      <c r="YV126" s="1"/>
      <c r="YW126" s="1"/>
      <c r="YX126" s="1"/>
      <c r="YY126" s="1"/>
      <c r="YZ126" s="1"/>
      <c r="ZA126" s="1"/>
      <c r="ZB126" s="1"/>
      <c r="ZC126" s="1"/>
      <c r="ZD126" s="1"/>
      <c r="ZE126" s="1"/>
      <c r="ZF126" s="1"/>
      <c r="ZG126" s="1"/>
      <c r="ZH126" s="1"/>
      <c r="ZI126" s="1"/>
      <c r="ZJ126" s="1"/>
      <c r="ZK126" s="1"/>
      <c r="ZL126" s="1"/>
      <c r="ZM126" s="1"/>
      <c r="ZN126" s="1"/>
      <c r="ZO126" s="1"/>
      <c r="ZP126" s="1"/>
      <c r="ZQ126" s="1"/>
      <c r="ZR126" s="1"/>
      <c r="ZS126" s="1"/>
      <c r="ZT126" s="1"/>
      <c r="ZU126" s="1"/>
      <c r="ZV126" s="1"/>
      <c r="ZW126" s="1"/>
      <c r="ZX126" s="1"/>
      <c r="ZY126" s="1"/>
      <c r="ZZ126" s="1"/>
      <c r="AAA126" s="1"/>
      <c r="AAB126" s="1"/>
      <c r="AAC126" s="1"/>
      <c r="AAD126" s="1"/>
      <c r="AAE126" s="1"/>
      <c r="AAF126" s="1"/>
      <c r="AAG126" s="1"/>
      <c r="AAH126" s="1"/>
      <c r="AAI126" s="1"/>
      <c r="AAJ126" s="1"/>
      <c r="AAK126" s="1"/>
      <c r="AAL126" s="1"/>
      <c r="AAM126" s="1"/>
      <c r="AAN126" s="1"/>
      <c r="AAO126" s="1"/>
      <c r="AAP126" s="1"/>
      <c r="AAQ126" s="1"/>
      <c r="AAR126" s="1"/>
      <c r="AAS126" s="1"/>
      <c r="AAT126" s="1"/>
      <c r="AAU126" s="1"/>
      <c r="AAV126" s="1"/>
      <c r="AAW126" s="1"/>
      <c r="AAX126" s="1"/>
      <c r="AAY126" s="1"/>
      <c r="AAZ126" s="1"/>
      <c r="ABA126" s="1"/>
      <c r="ABB126" s="1"/>
      <c r="ABC126" s="1"/>
      <c r="ABD126" s="1"/>
      <c r="ABE126" s="1"/>
      <c r="ABF126" s="1"/>
      <c r="ABG126" s="1"/>
      <c r="ABH126" s="1"/>
      <c r="ABI126" s="1"/>
      <c r="ABJ126" s="1"/>
      <c r="ABK126" s="1"/>
      <c r="ABL126" s="1"/>
      <c r="ABM126" s="1"/>
      <c r="ABN126" s="1"/>
      <c r="ABO126" s="1"/>
      <c r="ABP126" s="1"/>
      <c r="ABQ126" s="1"/>
      <c r="ABR126" s="1"/>
      <c r="ABS126" s="1"/>
      <c r="ABT126" s="1"/>
      <c r="ABU126" s="1"/>
      <c r="ABV126" s="1"/>
      <c r="ABW126" s="1"/>
      <c r="ABX126" s="1"/>
      <c r="ABY126" s="1"/>
      <c r="ABZ126" s="1"/>
      <c r="ACA126" s="1"/>
      <c r="ACB126" s="1"/>
      <c r="ACC126" s="1"/>
      <c r="ACD126" s="1"/>
      <c r="ACE126" s="1"/>
      <c r="ACF126" s="1"/>
      <c r="ACG126" s="1"/>
      <c r="ACH126" s="1"/>
      <c r="ACI126" s="1"/>
      <c r="ACJ126" s="1"/>
      <c r="ACK126" s="1"/>
      <c r="ACL126" s="1"/>
      <c r="ACM126" s="1"/>
      <c r="ACN126" s="1"/>
      <c r="ACO126" s="1"/>
      <c r="ACP126" s="1"/>
      <c r="ACQ126" s="1"/>
      <c r="ACR126" s="1"/>
      <c r="ACS126" s="1"/>
      <c r="ACT126" s="1"/>
      <c r="ACU126" s="1"/>
      <c r="ACV126" s="1"/>
      <c r="ACW126" s="1"/>
      <c r="ACX126" s="1"/>
      <c r="ACY126" s="1"/>
      <c r="ACZ126" s="1"/>
      <c r="ADA126" s="1"/>
      <c r="ADB126" s="1"/>
      <c r="ADC126" s="1"/>
      <c r="ADD126" s="1"/>
      <c r="ADE126" s="1"/>
      <c r="ADF126" s="1"/>
      <c r="ADG126" s="1"/>
      <c r="ADH126" s="1"/>
      <c r="ADI126" s="1"/>
      <c r="ADJ126" s="1"/>
      <c r="ADK126" s="1"/>
      <c r="ADL126" s="1"/>
      <c r="ADM126" s="1"/>
      <c r="ADN126" s="1"/>
      <c r="ADO126" s="1"/>
      <c r="ADP126" s="1"/>
      <c r="ADQ126" s="1"/>
      <c r="ADR126" s="1"/>
      <c r="ADS126" s="1"/>
      <c r="ADT126" s="1"/>
      <c r="ADU126" s="1"/>
      <c r="ADV126" s="1"/>
      <c r="ADW126" s="1"/>
      <c r="ADX126" s="1"/>
      <c r="ADY126" s="1"/>
      <c r="ADZ126" s="1"/>
      <c r="AEA126" s="1"/>
      <c r="AEB126" s="1"/>
      <c r="AEC126" s="1"/>
      <c r="AED126" s="1"/>
      <c r="AEE126" s="1"/>
      <c r="AEF126" s="1"/>
      <c r="AEG126" s="1"/>
      <c r="AEH126" s="1"/>
      <c r="AEI126" s="1"/>
      <c r="AEJ126" s="1"/>
      <c r="AEK126" s="1"/>
      <c r="AEL126" s="1"/>
      <c r="AEM126" s="1"/>
      <c r="AEN126" s="1"/>
      <c r="AEO126" s="1"/>
      <c r="AEP126" s="1"/>
      <c r="AEQ126" s="1"/>
      <c r="AER126" s="1"/>
      <c r="AES126" s="1"/>
      <c r="AET126" s="1"/>
      <c r="AEU126" s="1"/>
      <c r="AEV126" s="1"/>
      <c r="AEW126" s="1"/>
      <c r="AEX126" s="1"/>
      <c r="AEY126" s="1"/>
      <c r="AEZ126" s="1"/>
      <c r="AFA126" s="1"/>
      <c r="AFB126" s="1"/>
      <c r="AFC126" s="1"/>
      <c r="AFD126" s="1"/>
      <c r="AFE126" s="1"/>
      <c r="AFF126" s="1"/>
      <c r="AFG126" s="1"/>
      <c r="AFH126" s="1"/>
      <c r="AFI126" s="1"/>
      <c r="AFJ126" s="1"/>
      <c r="AFK126" s="1"/>
      <c r="AFL126" s="1"/>
      <c r="AFM126" s="1"/>
      <c r="AFN126" s="1"/>
      <c r="AFO126" s="1"/>
      <c r="AFP126" s="1"/>
      <c r="AFQ126" s="1"/>
      <c r="AFR126" s="1"/>
      <c r="AFS126" s="1"/>
      <c r="AFT126" s="1"/>
      <c r="AFU126" s="1"/>
      <c r="AFV126" s="1"/>
      <c r="AFW126" s="1"/>
      <c r="AFX126" s="1"/>
      <c r="AFY126" s="1"/>
      <c r="AFZ126" s="1"/>
      <c r="AGA126" s="1"/>
      <c r="AGB126" s="1"/>
      <c r="AGC126" s="1"/>
      <c r="AGD126" s="1"/>
      <c r="AGE126" s="1"/>
      <c r="AGF126" s="1"/>
      <c r="AGG126" s="1"/>
      <c r="AGH126" s="1"/>
      <c r="AGI126" s="1"/>
      <c r="AGJ126" s="1"/>
      <c r="AGK126" s="1"/>
      <c r="AGL126" s="1"/>
      <c r="AGM126" s="1"/>
      <c r="AGN126" s="1"/>
      <c r="AGO126" s="1"/>
      <c r="AGP126" s="1"/>
      <c r="AGQ126" s="1"/>
      <c r="AGR126" s="1"/>
      <c r="AGS126" s="1"/>
      <c r="AGT126" s="1"/>
      <c r="AGU126" s="1"/>
      <c r="AGV126" s="1"/>
      <c r="AGW126" s="1"/>
      <c r="AGX126" s="1"/>
      <c r="AGY126" s="1"/>
      <c r="AGZ126" s="1"/>
      <c r="AHA126" s="1"/>
      <c r="AHB126" s="1"/>
      <c r="AHC126" s="1"/>
      <c r="AHD126" s="1"/>
      <c r="AHE126" s="1"/>
      <c r="AHF126" s="1"/>
      <c r="AHG126" s="1"/>
      <c r="AHH126" s="1"/>
      <c r="AHI126" s="1"/>
      <c r="AHJ126" s="1"/>
      <c r="AHK126" s="1"/>
      <c r="AHL126" s="1"/>
      <c r="AHM126" s="1"/>
      <c r="AHN126" s="1"/>
      <c r="AHO126" s="1"/>
      <c r="AHP126" s="1"/>
      <c r="AHQ126" s="1"/>
      <c r="AHR126" s="1"/>
      <c r="AHS126" s="1"/>
      <c r="AHT126" s="1"/>
      <c r="AHU126" s="1"/>
      <c r="AHV126" s="1"/>
      <c r="AHW126" s="1"/>
      <c r="AHX126" s="1"/>
      <c r="AHY126" s="1"/>
      <c r="AHZ126" s="1"/>
      <c r="AIA126" s="1"/>
      <c r="AIB126" s="1"/>
      <c r="AIC126" s="1"/>
      <c r="AID126" s="1"/>
      <c r="AIE126" s="1"/>
      <c r="AIF126" s="1"/>
      <c r="AIG126" s="1"/>
      <c r="AIH126" s="1"/>
      <c r="AII126" s="1"/>
      <c r="AIJ126" s="1"/>
      <c r="AIK126" s="1"/>
      <c r="AIL126" s="1"/>
      <c r="AIM126" s="1"/>
      <c r="AIN126" s="1"/>
      <c r="AIO126" s="1"/>
      <c r="AIP126" s="1"/>
      <c r="AIQ126" s="1"/>
      <c r="AIR126" s="1"/>
      <c r="AIS126" s="1"/>
      <c r="AIT126" s="1"/>
      <c r="AIU126" s="1"/>
      <c r="AIV126" s="1"/>
      <c r="AIW126" s="1"/>
      <c r="AIX126" s="1"/>
      <c r="AIY126" s="1"/>
      <c r="AIZ126" s="1"/>
      <c r="AJA126" s="1"/>
      <c r="AJB126" s="1"/>
      <c r="AJC126" s="1"/>
      <c r="AJD126" s="1"/>
      <c r="AJE126" s="1"/>
      <c r="AJF126" s="1"/>
      <c r="AJG126" s="1"/>
      <c r="AJH126" s="1"/>
      <c r="AJI126" s="1"/>
      <c r="AJJ126" s="1"/>
      <c r="AJK126" s="1"/>
      <c r="AJL126" s="1"/>
      <c r="AJM126" s="1"/>
      <c r="AJN126" s="1"/>
      <c r="AJO126" s="1"/>
      <c r="AJP126" s="1"/>
      <c r="AJQ126" s="1"/>
      <c r="AJR126" s="1"/>
      <c r="AJS126" s="1"/>
      <c r="AJT126" s="1"/>
      <c r="AJU126" s="1"/>
      <c r="AJV126" s="1"/>
      <c r="AJW126" s="1"/>
      <c r="AJX126" s="1"/>
      <c r="AJY126" s="1"/>
      <c r="AJZ126" s="1"/>
      <c r="AKA126" s="1"/>
      <c r="AKB126" s="1"/>
      <c r="AKC126" s="1"/>
      <c r="AKD126" s="1"/>
      <c r="AKE126" s="1"/>
      <c r="AKF126" s="1"/>
      <c r="AKG126" s="1"/>
      <c r="AKH126" s="1"/>
      <c r="AKI126" s="1"/>
      <c r="AKJ126" s="1"/>
      <c r="AKK126" s="1"/>
      <c r="AKL126" s="1"/>
      <c r="AKM126" s="1"/>
      <c r="AKN126" s="1"/>
      <c r="AKO126" s="1"/>
      <c r="AKP126" s="1"/>
      <c r="AKQ126" s="1"/>
      <c r="AKR126" s="1"/>
      <c r="AKS126" s="1"/>
      <c r="AKT126" s="1"/>
      <c r="AKU126" s="1"/>
      <c r="AKV126" s="1"/>
      <c r="AKW126" s="1"/>
      <c r="AKX126" s="1"/>
      <c r="AKY126" s="1"/>
      <c r="AKZ126" s="1"/>
      <c r="ALA126" s="1"/>
      <c r="ALB126" s="1"/>
      <c r="ALC126" s="1"/>
      <c r="ALD126" s="1"/>
      <c r="ALE126" s="1"/>
      <c r="ALF126" s="1"/>
      <c r="ALG126" s="1"/>
      <c r="ALH126" s="1"/>
      <c r="ALI126" s="1"/>
      <c r="ALJ126" s="1"/>
      <c r="ALK126" s="1"/>
      <c r="ALL126" s="1"/>
      <c r="ALM126" s="1"/>
      <c r="ALN126" s="1"/>
      <c r="ALO126" s="1"/>
      <c r="ALP126" s="1"/>
      <c r="ALQ126" s="1"/>
      <c r="ALR126" s="1"/>
      <c r="ALS126" s="1"/>
      <c r="ALT126" s="1"/>
      <c r="ALU126" s="1"/>
      <c r="ALV126" s="1"/>
      <c r="ALW126" s="1"/>
      <c r="ALX126" s="1"/>
      <c r="ALY126" s="1"/>
      <c r="ALZ126" s="1"/>
      <c r="AMA126" s="1"/>
      <c r="AMB126" s="1"/>
      <c r="AMC126" s="1"/>
      <c r="AMD126" s="1"/>
      <c r="AME126" s="1"/>
      <c r="AMF126" s="1"/>
      <c r="AMG126" s="1"/>
      <c r="AMH126" s="1"/>
      <c r="AMI126" s="1"/>
      <c r="AMJ126" s="1"/>
    </row>
    <row r="127" customFormat="false" ht="10.5" hidden="false" customHeight="true" outlineLevel="0" collapsed="false">
      <c r="A127" s="73" t="s">
        <v>251</v>
      </c>
      <c r="B127" s="73"/>
      <c r="C127" s="73"/>
      <c r="D127" s="73"/>
      <c r="E127" s="73"/>
      <c r="F127" s="73"/>
      <c r="G127" s="73"/>
      <c r="H127" s="73"/>
      <c r="I127" s="73"/>
      <c r="J127" s="73"/>
      <c r="K127" s="73"/>
      <c r="L127" s="73"/>
      <c r="M127" s="73"/>
      <c r="N127" s="73"/>
      <c r="O127" s="176" t="n">
        <f aca="false">SUM(P119:R126)</f>
        <v>0</v>
      </c>
      <c r="P127" s="176"/>
      <c r="Q127" s="176"/>
      <c r="R127" s="176"/>
      <c r="S127" s="151"/>
      <c r="T127" s="151"/>
      <c r="U127" s="73" t="s">
        <v>252</v>
      </c>
      <c r="V127" s="73"/>
      <c r="W127" s="73"/>
      <c r="X127" s="73"/>
      <c r="Y127" s="73"/>
      <c r="Z127" s="73"/>
      <c r="AA127" s="73"/>
      <c r="AB127" s="73"/>
      <c r="AC127" s="73"/>
      <c r="AD127" s="73"/>
      <c r="AE127" s="73"/>
      <c r="AF127" s="73"/>
      <c r="AG127" s="73"/>
      <c r="AH127" s="73"/>
      <c r="AI127" s="73"/>
      <c r="AJ127" s="73"/>
      <c r="AK127" s="145" t="n">
        <f aca="false">SUM(AM119:AO126)</f>
        <v>0</v>
      </c>
      <c r="AL127" s="145"/>
      <c r="AM127" s="145"/>
      <c r="AN127" s="145"/>
      <c r="AO127" s="145"/>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c r="IX127" s="1"/>
      <c r="IY127" s="1"/>
      <c r="IZ127" s="1"/>
      <c r="JA127" s="1"/>
      <c r="JB127" s="1"/>
      <c r="JC127" s="1"/>
      <c r="JD127" s="1"/>
      <c r="JE127" s="1"/>
      <c r="JF127" s="1"/>
      <c r="JG127" s="1"/>
      <c r="JH127" s="1"/>
      <c r="JI127" s="1"/>
      <c r="JJ127" s="1"/>
      <c r="JK127" s="1"/>
      <c r="JL127" s="1"/>
      <c r="JM127" s="1"/>
      <c r="JN127" s="1"/>
      <c r="JO127" s="1"/>
      <c r="JP127" s="1"/>
      <c r="JQ127" s="1"/>
      <c r="JR127" s="1"/>
      <c r="JS127" s="1"/>
      <c r="JT127" s="1"/>
      <c r="JU127" s="1"/>
      <c r="JV127" s="1"/>
      <c r="JW127" s="1"/>
      <c r="JX127" s="1"/>
      <c r="JY127" s="1"/>
      <c r="JZ127" s="1"/>
      <c r="KA127" s="1"/>
      <c r="KB127" s="1"/>
      <c r="KC127" s="1"/>
      <c r="KD127" s="1"/>
      <c r="KE127" s="1"/>
      <c r="KF127" s="1"/>
      <c r="KG127" s="1"/>
      <c r="KH127" s="1"/>
      <c r="KI127" s="1"/>
      <c r="KJ127" s="1"/>
      <c r="KK127" s="1"/>
      <c r="KL127" s="1"/>
      <c r="KM127" s="1"/>
      <c r="KN127" s="1"/>
      <c r="KO127" s="1"/>
      <c r="KP127" s="1"/>
      <c r="KQ127" s="1"/>
      <c r="KR127" s="1"/>
      <c r="KS127" s="1"/>
      <c r="KT127" s="1"/>
      <c r="KU127" s="1"/>
      <c r="KV127" s="1"/>
      <c r="KW127" s="1"/>
      <c r="KX127" s="1"/>
      <c r="KY127" s="1"/>
      <c r="KZ127" s="1"/>
      <c r="LA127" s="1"/>
      <c r="LB127" s="1"/>
      <c r="LC127" s="1"/>
      <c r="LD127" s="1"/>
      <c r="LE127" s="1"/>
      <c r="LF127" s="1"/>
      <c r="LG127" s="1"/>
      <c r="LH127" s="1"/>
      <c r="LI127" s="1"/>
      <c r="LJ127" s="1"/>
      <c r="LK127" s="1"/>
      <c r="LL127" s="1"/>
      <c r="LM127" s="1"/>
      <c r="LN127" s="1"/>
      <c r="LO127" s="1"/>
      <c r="LP127" s="1"/>
      <c r="LQ127" s="1"/>
      <c r="LR127" s="1"/>
      <c r="LS127" s="1"/>
      <c r="LT127" s="1"/>
      <c r="LU127" s="1"/>
      <c r="LV127" s="1"/>
      <c r="LW127" s="1"/>
      <c r="LX127" s="1"/>
      <c r="LY127" s="1"/>
      <c r="LZ127" s="1"/>
      <c r="MA127" s="1"/>
      <c r="MB127" s="1"/>
      <c r="MC127" s="1"/>
      <c r="MD127" s="1"/>
      <c r="ME127" s="1"/>
      <c r="MF127" s="1"/>
      <c r="MG127" s="1"/>
      <c r="MH127" s="1"/>
      <c r="MI127" s="1"/>
      <c r="MJ127" s="1"/>
      <c r="MK127" s="1"/>
      <c r="ML127" s="1"/>
      <c r="MM127" s="1"/>
      <c r="MN127" s="1"/>
      <c r="MO127" s="1"/>
      <c r="MP127" s="1"/>
      <c r="MQ127" s="1"/>
      <c r="MR127" s="1"/>
      <c r="MS127" s="1"/>
      <c r="MT127" s="1"/>
      <c r="MU127" s="1"/>
      <c r="MV127" s="1"/>
      <c r="MW127" s="1"/>
      <c r="MX127" s="1"/>
      <c r="MY127" s="1"/>
      <c r="MZ127" s="1"/>
      <c r="NA127" s="1"/>
      <c r="NB127" s="1"/>
      <c r="NC127" s="1"/>
      <c r="ND127" s="1"/>
      <c r="NE127" s="1"/>
      <c r="NF127" s="1"/>
      <c r="NG127" s="1"/>
      <c r="NH127" s="1"/>
      <c r="NI127" s="1"/>
      <c r="NJ127" s="1"/>
      <c r="NK127" s="1"/>
      <c r="NL127" s="1"/>
      <c r="NM127" s="1"/>
      <c r="NN127" s="1"/>
      <c r="NO127" s="1"/>
      <c r="NP127" s="1"/>
      <c r="NQ127" s="1"/>
      <c r="NR127" s="1"/>
      <c r="NS127" s="1"/>
      <c r="NT127" s="1"/>
      <c r="NU127" s="1"/>
      <c r="NV127" s="1"/>
      <c r="NW127" s="1"/>
      <c r="NX127" s="1"/>
      <c r="NY127" s="1"/>
      <c r="NZ127" s="1"/>
      <c r="OA127" s="1"/>
      <c r="OB127" s="1"/>
      <c r="OC127" s="1"/>
      <c r="OD127" s="1"/>
      <c r="OE127" s="1"/>
      <c r="OF127" s="1"/>
      <c r="OG127" s="1"/>
      <c r="OH127" s="1"/>
      <c r="OI127" s="1"/>
      <c r="OJ127" s="1"/>
      <c r="OK127" s="1"/>
      <c r="OL127" s="1"/>
      <c r="OM127" s="1"/>
      <c r="ON127" s="1"/>
      <c r="OO127" s="1"/>
      <c r="OP127" s="1"/>
      <c r="OQ127" s="1"/>
      <c r="OR127" s="1"/>
      <c r="OS127" s="1"/>
      <c r="OT127" s="1"/>
      <c r="OU127" s="1"/>
      <c r="OV127" s="1"/>
      <c r="OW127" s="1"/>
      <c r="OX127" s="1"/>
      <c r="OY127" s="1"/>
      <c r="OZ127" s="1"/>
      <c r="PA127" s="1"/>
      <c r="PB127" s="1"/>
      <c r="PC127" s="1"/>
      <c r="PD127" s="1"/>
      <c r="PE127" s="1"/>
      <c r="PF127" s="1"/>
      <c r="PG127" s="1"/>
      <c r="PH127" s="1"/>
      <c r="PI127" s="1"/>
      <c r="PJ127" s="1"/>
      <c r="PK127" s="1"/>
      <c r="PL127" s="1"/>
      <c r="PM127" s="1"/>
      <c r="PN127" s="1"/>
      <c r="PO127" s="1"/>
      <c r="PP127" s="1"/>
      <c r="PQ127" s="1"/>
      <c r="PR127" s="1"/>
      <c r="PS127" s="1"/>
      <c r="PT127" s="1"/>
      <c r="PU127" s="1"/>
      <c r="PV127" s="1"/>
      <c r="PW127" s="1"/>
      <c r="PX127" s="1"/>
      <c r="PY127" s="1"/>
      <c r="PZ127" s="1"/>
      <c r="QA127" s="1"/>
      <c r="QB127" s="1"/>
      <c r="QC127" s="1"/>
      <c r="QD127" s="1"/>
      <c r="QE127" s="1"/>
      <c r="QF127" s="1"/>
      <c r="QG127" s="1"/>
      <c r="QH127" s="1"/>
      <c r="QI127" s="1"/>
      <c r="QJ127" s="1"/>
      <c r="QK127" s="1"/>
      <c r="QL127" s="1"/>
      <c r="QM127" s="1"/>
      <c r="QN127" s="1"/>
      <c r="QO127" s="1"/>
      <c r="QP127" s="1"/>
      <c r="QQ127" s="1"/>
      <c r="QR127" s="1"/>
      <c r="QS127" s="1"/>
      <c r="QT127" s="1"/>
      <c r="QU127" s="1"/>
      <c r="QV127" s="1"/>
      <c r="QW127" s="1"/>
      <c r="QX127" s="1"/>
      <c r="QY127" s="1"/>
      <c r="QZ127" s="1"/>
      <c r="RA127" s="1"/>
      <c r="RB127" s="1"/>
      <c r="RC127" s="1"/>
      <c r="RD127" s="1"/>
      <c r="RE127" s="1"/>
      <c r="RF127" s="1"/>
      <c r="RG127" s="1"/>
      <c r="RH127" s="1"/>
      <c r="RI127" s="1"/>
      <c r="RJ127" s="1"/>
      <c r="RK127" s="1"/>
      <c r="RL127" s="1"/>
      <c r="RM127" s="1"/>
      <c r="RN127" s="1"/>
      <c r="RO127" s="1"/>
      <c r="RP127" s="1"/>
      <c r="RQ127" s="1"/>
      <c r="RR127" s="1"/>
      <c r="RS127" s="1"/>
      <c r="RT127" s="1"/>
      <c r="RU127" s="1"/>
      <c r="RV127" s="1"/>
      <c r="RW127" s="1"/>
      <c r="RX127" s="1"/>
      <c r="RY127" s="1"/>
      <c r="RZ127" s="1"/>
      <c r="SA127" s="1"/>
      <c r="SB127" s="1"/>
      <c r="SC127" s="1"/>
      <c r="SD127" s="1"/>
      <c r="SE127" s="1"/>
      <c r="SF127" s="1"/>
      <c r="SG127" s="1"/>
      <c r="SH127" s="1"/>
      <c r="SI127" s="1"/>
      <c r="SJ127" s="1"/>
      <c r="SK127" s="1"/>
      <c r="SL127" s="1"/>
      <c r="SM127" s="1"/>
      <c r="SN127" s="1"/>
      <c r="SO127" s="1"/>
      <c r="SP127" s="1"/>
      <c r="SQ127" s="1"/>
      <c r="SR127" s="1"/>
      <c r="SS127" s="1"/>
      <c r="ST127" s="1"/>
      <c r="SU127" s="1"/>
      <c r="SV127" s="1"/>
      <c r="SW127" s="1"/>
      <c r="SX127" s="1"/>
      <c r="SY127" s="1"/>
      <c r="SZ127" s="1"/>
      <c r="TA127" s="1"/>
      <c r="TB127" s="1"/>
      <c r="TC127" s="1"/>
      <c r="TD127" s="1"/>
      <c r="TE127" s="1"/>
      <c r="TF127" s="1"/>
      <c r="TG127" s="1"/>
      <c r="TH127" s="1"/>
      <c r="TI127" s="1"/>
      <c r="TJ127" s="1"/>
      <c r="TK127" s="1"/>
      <c r="TL127" s="1"/>
      <c r="TM127" s="1"/>
      <c r="TN127" s="1"/>
      <c r="TO127" s="1"/>
      <c r="TP127" s="1"/>
      <c r="TQ127" s="1"/>
      <c r="TR127" s="1"/>
      <c r="TS127" s="1"/>
      <c r="TT127" s="1"/>
      <c r="TU127" s="1"/>
      <c r="TV127" s="1"/>
      <c r="TW127" s="1"/>
      <c r="TX127" s="1"/>
      <c r="TY127" s="1"/>
      <c r="TZ127" s="1"/>
      <c r="UA127" s="1"/>
      <c r="UB127" s="1"/>
      <c r="UC127" s="1"/>
      <c r="UD127" s="1"/>
      <c r="UE127" s="1"/>
      <c r="UF127" s="1"/>
      <c r="UG127" s="1"/>
      <c r="UH127" s="1"/>
      <c r="UI127" s="1"/>
      <c r="UJ127" s="1"/>
      <c r="UK127" s="1"/>
      <c r="UL127" s="1"/>
      <c r="UM127" s="1"/>
      <c r="UN127" s="1"/>
      <c r="UO127" s="1"/>
      <c r="UP127" s="1"/>
      <c r="UQ127" s="1"/>
      <c r="UR127" s="1"/>
      <c r="US127" s="1"/>
      <c r="UT127" s="1"/>
      <c r="UU127" s="1"/>
      <c r="UV127" s="1"/>
      <c r="UW127" s="1"/>
      <c r="UX127" s="1"/>
      <c r="UY127" s="1"/>
      <c r="UZ127" s="1"/>
      <c r="VA127" s="1"/>
      <c r="VB127" s="1"/>
      <c r="VC127" s="1"/>
      <c r="VD127" s="1"/>
      <c r="VE127" s="1"/>
      <c r="VF127" s="1"/>
      <c r="VG127" s="1"/>
      <c r="VH127" s="1"/>
      <c r="VI127" s="1"/>
      <c r="VJ127" s="1"/>
      <c r="VK127" s="1"/>
      <c r="VL127" s="1"/>
      <c r="VM127" s="1"/>
      <c r="VN127" s="1"/>
      <c r="VO127" s="1"/>
      <c r="VP127" s="1"/>
      <c r="VQ127" s="1"/>
      <c r="VR127" s="1"/>
      <c r="VS127" s="1"/>
      <c r="VT127" s="1"/>
      <c r="VU127" s="1"/>
      <c r="VV127" s="1"/>
      <c r="VW127" s="1"/>
      <c r="VX127" s="1"/>
      <c r="VY127" s="1"/>
      <c r="VZ127" s="1"/>
      <c r="WA127" s="1"/>
      <c r="WB127" s="1"/>
      <c r="WC127" s="1"/>
      <c r="WD127" s="1"/>
      <c r="WE127" s="1"/>
      <c r="WF127" s="1"/>
      <c r="WG127" s="1"/>
      <c r="WH127" s="1"/>
      <c r="WI127" s="1"/>
      <c r="WJ127" s="1"/>
      <c r="WK127" s="1"/>
      <c r="WL127" s="1"/>
      <c r="WM127" s="1"/>
      <c r="WN127" s="1"/>
      <c r="WO127" s="1"/>
      <c r="WP127" s="1"/>
      <c r="WQ127" s="1"/>
      <c r="WR127" s="1"/>
      <c r="WS127" s="1"/>
      <c r="WT127" s="1"/>
      <c r="WU127" s="1"/>
      <c r="WV127" s="1"/>
      <c r="WW127" s="1"/>
      <c r="WX127" s="1"/>
      <c r="WY127" s="1"/>
      <c r="WZ127" s="1"/>
      <c r="XA127" s="1"/>
      <c r="XB127" s="1"/>
      <c r="XC127" s="1"/>
      <c r="XD127" s="1"/>
      <c r="XE127" s="1"/>
      <c r="XF127" s="1"/>
      <c r="XG127" s="1"/>
      <c r="XH127" s="1"/>
      <c r="XI127" s="1"/>
      <c r="XJ127" s="1"/>
      <c r="XK127" s="1"/>
      <c r="XL127" s="1"/>
      <c r="XM127" s="1"/>
      <c r="XN127" s="1"/>
      <c r="XO127" s="1"/>
      <c r="XP127" s="1"/>
      <c r="XQ127" s="1"/>
      <c r="XR127" s="1"/>
      <c r="XS127" s="1"/>
      <c r="XT127" s="1"/>
      <c r="XU127" s="1"/>
      <c r="XV127" s="1"/>
      <c r="XW127" s="1"/>
      <c r="XX127" s="1"/>
      <c r="XY127" s="1"/>
      <c r="XZ127" s="1"/>
      <c r="YA127" s="1"/>
      <c r="YB127" s="1"/>
      <c r="YC127" s="1"/>
      <c r="YD127" s="1"/>
      <c r="YE127" s="1"/>
      <c r="YF127" s="1"/>
      <c r="YG127" s="1"/>
      <c r="YH127" s="1"/>
      <c r="YI127" s="1"/>
      <c r="YJ127" s="1"/>
      <c r="YK127" s="1"/>
      <c r="YL127" s="1"/>
      <c r="YM127" s="1"/>
      <c r="YN127" s="1"/>
      <c r="YO127" s="1"/>
      <c r="YP127" s="1"/>
      <c r="YQ127" s="1"/>
      <c r="YR127" s="1"/>
      <c r="YS127" s="1"/>
      <c r="YT127" s="1"/>
      <c r="YU127" s="1"/>
      <c r="YV127" s="1"/>
      <c r="YW127" s="1"/>
      <c r="YX127" s="1"/>
      <c r="YY127" s="1"/>
      <c r="YZ127" s="1"/>
      <c r="ZA127" s="1"/>
      <c r="ZB127" s="1"/>
      <c r="ZC127" s="1"/>
      <c r="ZD127" s="1"/>
      <c r="ZE127" s="1"/>
      <c r="ZF127" s="1"/>
      <c r="ZG127" s="1"/>
      <c r="ZH127" s="1"/>
      <c r="ZI127" s="1"/>
      <c r="ZJ127" s="1"/>
      <c r="ZK127" s="1"/>
      <c r="ZL127" s="1"/>
      <c r="ZM127" s="1"/>
      <c r="ZN127" s="1"/>
      <c r="ZO127" s="1"/>
      <c r="ZP127" s="1"/>
      <c r="ZQ127" s="1"/>
      <c r="ZR127" s="1"/>
      <c r="ZS127" s="1"/>
      <c r="ZT127" s="1"/>
      <c r="ZU127" s="1"/>
      <c r="ZV127" s="1"/>
      <c r="ZW127" s="1"/>
      <c r="ZX127" s="1"/>
      <c r="ZY127" s="1"/>
      <c r="ZZ127" s="1"/>
      <c r="AAA127" s="1"/>
      <c r="AAB127" s="1"/>
      <c r="AAC127" s="1"/>
      <c r="AAD127" s="1"/>
      <c r="AAE127" s="1"/>
      <c r="AAF127" s="1"/>
      <c r="AAG127" s="1"/>
      <c r="AAH127" s="1"/>
      <c r="AAI127" s="1"/>
      <c r="AAJ127" s="1"/>
      <c r="AAK127" s="1"/>
      <c r="AAL127" s="1"/>
      <c r="AAM127" s="1"/>
      <c r="AAN127" s="1"/>
      <c r="AAO127" s="1"/>
      <c r="AAP127" s="1"/>
      <c r="AAQ127" s="1"/>
      <c r="AAR127" s="1"/>
      <c r="AAS127" s="1"/>
      <c r="AAT127" s="1"/>
      <c r="AAU127" s="1"/>
      <c r="AAV127" s="1"/>
      <c r="AAW127" s="1"/>
      <c r="AAX127" s="1"/>
      <c r="AAY127" s="1"/>
      <c r="AAZ127" s="1"/>
      <c r="ABA127" s="1"/>
      <c r="ABB127" s="1"/>
      <c r="ABC127" s="1"/>
      <c r="ABD127" s="1"/>
      <c r="ABE127" s="1"/>
      <c r="ABF127" s="1"/>
      <c r="ABG127" s="1"/>
      <c r="ABH127" s="1"/>
      <c r="ABI127" s="1"/>
      <c r="ABJ127" s="1"/>
      <c r="ABK127" s="1"/>
      <c r="ABL127" s="1"/>
      <c r="ABM127" s="1"/>
      <c r="ABN127" s="1"/>
      <c r="ABO127" s="1"/>
      <c r="ABP127" s="1"/>
      <c r="ABQ127" s="1"/>
      <c r="ABR127" s="1"/>
      <c r="ABS127" s="1"/>
      <c r="ABT127" s="1"/>
      <c r="ABU127" s="1"/>
      <c r="ABV127" s="1"/>
      <c r="ABW127" s="1"/>
      <c r="ABX127" s="1"/>
      <c r="ABY127" s="1"/>
      <c r="ABZ127" s="1"/>
      <c r="ACA127" s="1"/>
      <c r="ACB127" s="1"/>
      <c r="ACC127" s="1"/>
      <c r="ACD127" s="1"/>
      <c r="ACE127" s="1"/>
      <c r="ACF127" s="1"/>
      <c r="ACG127" s="1"/>
      <c r="ACH127" s="1"/>
      <c r="ACI127" s="1"/>
      <c r="ACJ127" s="1"/>
      <c r="ACK127" s="1"/>
      <c r="ACL127" s="1"/>
      <c r="ACM127" s="1"/>
      <c r="ACN127" s="1"/>
      <c r="ACO127" s="1"/>
      <c r="ACP127" s="1"/>
      <c r="ACQ127" s="1"/>
      <c r="ACR127" s="1"/>
      <c r="ACS127" s="1"/>
      <c r="ACT127" s="1"/>
      <c r="ACU127" s="1"/>
      <c r="ACV127" s="1"/>
      <c r="ACW127" s="1"/>
      <c r="ACX127" s="1"/>
      <c r="ACY127" s="1"/>
      <c r="ACZ127" s="1"/>
      <c r="ADA127" s="1"/>
      <c r="ADB127" s="1"/>
      <c r="ADC127" s="1"/>
      <c r="ADD127" s="1"/>
      <c r="ADE127" s="1"/>
      <c r="ADF127" s="1"/>
      <c r="ADG127" s="1"/>
      <c r="ADH127" s="1"/>
      <c r="ADI127" s="1"/>
      <c r="ADJ127" s="1"/>
      <c r="ADK127" s="1"/>
      <c r="ADL127" s="1"/>
      <c r="ADM127" s="1"/>
      <c r="ADN127" s="1"/>
      <c r="ADO127" s="1"/>
      <c r="ADP127" s="1"/>
      <c r="ADQ127" s="1"/>
      <c r="ADR127" s="1"/>
      <c r="ADS127" s="1"/>
      <c r="ADT127" s="1"/>
      <c r="ADU127" s="1"/>
      <c r="ADV127" s="1"/>
      <c r="ADW127" s="1"/>
      <c r="ADX127" s="1"/>
      <c r="ADY127" s="1"/>
      <c r="ADZ127" s="1"/>
      <c r="AEA127" s="1"/>
      <c r="AEB127" s="1"/>
      <c r="AEC127" s="1"/>
      <c r="AED127" s="1"/>
      <c r="AEE127" s="1"/>
      <c r="AEF127" s="1"/>
      <c r="AEG127" s="1"/>
      <c r="AEH127" s="1"/>
      <c r="AEI127" s="1"/>
      <c r="AEJ127" s="1"/>
      <c r="AEK127" s="1"/>
      <c r="AEL127" s="1"/>
      <c r="AEM127" s="1"/>
      <c r="AEN127" s="1"/>
      <c r="AEO127" s="1"/>
      <c r="AEP127" s="1"/>
      <c r="AEQ127" s="1"/>
      <c r="AER127" s="1"/>
      <c r="AES127" s="1"/>
      <c r="AET127" s="1"/>
      <c r="AEU127" s="1"/>
      <c r="AEV127" s="1"/>
      <c r="AEW127" s="1"/>
      <c r="AEX127" s="1"/>
      <c r="AEY127" s="1"/>
      <c r="AEZ127" s="1"/>
      <c r="AFA127" s="1"/>
      <c r="AFB127" s="1"/>
      <c r="AFC127" s="1"/>
      <c r="AFD127" s="1"/>
      <c r="AFE127" s="1"/>
      <c r="AFF127" s="1"/>
      <c r="AFG127" s="1"/>
      <c r="AFH127" s="1"/>
      <c r="AFI127" s="1"/>
      <c r="AFJ127" s="1"/>
      <c r="AFK127" s="1"/>
      <c r="AFL127" s="1"/>
      <c r="AFM127" s="1"/>
      <c r="AFN127" s="1"/>
      <c r="AFO127" s="1"/>
      <c r="AFP127" s="1"/>
      <c r="AFQ127" s="1"/>
      <c r="AFR127" s="1"/>
      <c r="AFS127" s="1"/>
      <c r="AFT127" s="1"/>
      <c r="AFU127" s="1"/>
      <c r="AFV127" s="1"/>
      <c r="AFW127" s="1"/>
      <c r="AFX127" s="1"/>
      <c r="AFY127" s="1"/>
      <c r="AFZ127" s="1"/>
      <c r="AGA127" s="1"/>
      <c r="AGB127" s="1"/>
      <c r="AGC127" s="1"/>
      <c r="AGD127" s="1"/>
      <c r="AGE127" s="1"/>
      <c r="AGF127" s="1"/>
      <c r="AGG127" s="1"/>
      <c r="AGH127" s="1"/>
      <c r="AGI127" s="1"/>
      <c r="AGJ127" s="1"/>
      <c r="AGK127" s="1"/>
      <c r="AGL127" s="1"/>
      <c r="AGM127" s="1"/>
      <c r="AGN127" s="1"/>
      <c r="AGO127" s="1"/>
      <c r="AGP127" s="1"/>
      <c r="AGQ127" s="1"/>
      <c r="AGR127" s="1"/>
      <c r="AGS127" s="1"/>
      <c r="AGT127" s="1"/>
      <c r="AGU127" s="1"/>
      <c r="AGV127" s="1"/>
      <c r="AGW127" s="1"/>
      <c r="AGX127" s="1"/>
      <c r="AGY127" s="1"/>
      <c r="AGZ127" s="1"/>
      <c r="AHA127" s="1"/>
      <c r="AHB127" s="1"/>
      <c r="AHC127" s="1"/>
      <c r="AHD127" s="1"/>
      <c r="AHE127" s="1"/>
      <c r="AHF127" s="1"/>
      <c r="AHG127" s="1"/>
      <c r="AHH127" s="1"/>
      <c r="AHI127" s="1"/>
      <c r="AHJ127" s="1"/>
      <c r="AHK127" s="1"/>
      <c r="AHL127" s="1"/>
      <c r="AHM127" s="1"/>
      <c r="AHN127" s="1"/>
      <c r="AHO127" s="1"/>
      <c r="AHP127" s="1"/>
      <c r="AHQ127" s="1"/>
      <c r="AHR127" s="1"/>
      <c r="AHS127" s="1"/>
      <c r="AHT127" s="1"/>
      <c r="AHU127" s="1"/>
      <c r="AHV127" s="1"/>
      <c r="AHW127" s="1"/>
      <c r="AHX127" s="1"/>
      <c r="AHY127" s="1"/>
      <c r="AHZ127" s="1"/>
      <c r="AIA127" s="1"/>
      <c r="AIB127" s="1"/>
      <c r="AIC127" s="1"/>
      <c r="AID127" s="1"/>
      <c r="AIE127" s="1"/>
      <c r="AIF127" s="1"/>
      <c r="AIG127" s="1"/>
      <c r="AIH127" s="1"/>
      <c r="AII127" s="1"/>
      <c r="AIJ127" s="1"/>
      <c r="AIK127" s="1"/>
      <c r="AIL127" s="1"/>
      <c r="AIM127" s="1"/>
      <c r="AIN127" s="1"/>
      <c r="AIO127" s="1"/>
      <c r="AIP127" s="1"/>
      <c r="AIQ127" s="1"/>
      <c r="AIR127" s="1"/>
      <c r="AIS127" s="1"/>
      <c r="AIT127" s="1"/>
      <c r="AIU127" s="1"/>
      <c r="AIV127" s="1"/>
      <c r="AIW127" s="1"/>
      <c r="AIX127" s="1"/>
      <c r="AIY127" s="1"/>
      <c r="AIZ127" s="1"/>
      <c r="AJA127" s="1"/>
      <c r="AJB127" s="1"/>
      <c r="AJC127" s="1"/>
      <c r="AJD127" s="1"/>
      <c r="AJE127" s="1"/>
      <c r="AJF127" s="1"/>
      <c r="AJG127" s="1"/>
      <c r="AJH127" s="1"/>
      <c r="AJI127" s="1"/>
      <c r="AJJ127" s="1"/>
      <c r="AJK127" s="1"/>
      <c r="AJL127" s="1"/>
      <c r="AJM127" s="1"/>
      <c r="AJN127" s="1"/>
      <c r="AJO127" s="1"/>
      <c r="AJP127" s="1"/>
      <c r="AJQ127" s="1"/>
      <c r="AJR127" s="1"/>
      <c r="AJS127" s="1"/>
      <c r="AJT127" s="1"/>
      <c r="AJU127" s="1"/>
      <c r="AJV127" s="1"/>
      <c r="AJW127" s="1"/>
      <c r="AJX127" s="1"/>
      <c r="AJY127" s="1"/>
      <c r="AJZ127" s="1"/>
      <c r="AKA127" s="1"/>
      <c r="AKB127" s="1"/>
      <c r="AKC127" s="1"/>
      <c r="AKD127" s="1"/>
      <c r="AKE127" s="1"/>
      <c r="AKF127" s="1"/>
      <c r="AKG127" s="1"/>
      <c r="AKH127" s="1"/>
      <c r="AKI127" s="1"/>
      <c r="AKJ127" s="1"/>
      <c r="AKK127" s="1"/>
      <c r="AKL127" s="1"/>
      <c r="AKM127" s="1"/>
      <c r="AKN127" s="1"/>
      <c r="AKO127" s="1"/>
      <c r="AKP127" s="1"/>
      <c r="AKQ127" s="1"/>
      <c r="AKR127" s="1"/>
      <c r="AKS127" s="1"/>
      <c r="AKT127" s="1"/>
      <c r="AKU127" s="1"/>
      <c r="AKV127" s="1"/>
      <c r="AKW127" s="1"/>
      <c r="AKX127" s="1"/>
      <c r="AKY127" s="1"/>
      <c r="AKZ127" s="1"/>
      <c r="ALA127" s="1"/>
      <c r="ALB127" s="1"/>
      <c r="ALC127" s="1"/>
      <c r="ALD127" s="1"/>
      <c r="ALE127" s="1"/>
      <c r="ALF127" s="1"/>
      <c r="ALG127" s="1"/>
      <c r="ALH127" s="1"/>
      <c r="ALI127" s="1"/>
      <c r="ALJ127" s="1"/>
      <c r="ALK127" s="1"/>
      <c r="ALL127" s="1"/>
      <c r="ALM127" s="1"/>
      <c r="ALN127" s="1"/>
      <c r="ALO127" s="1"/>
      <c r="ALP127" s="1"/>
      <c r="ALQ127" s="1"/>
      <c r="ALR127" s="1"/>
      <c r="ALS127" s="1"/>
      <c r="ALT127" s="1"/>
      <c r="ALU127" s="1"/>
      <c r="ALV127" s="1"/>
      <c r="ALW127" s="1"/>
      <c r="ALX127" s="1"/>
      <c r="ALY127" s="1"/>
      <c r="ALZ127" s="1"/>
      <c r="AMA127" s="1"/>
      <c r="AMB127" s="1"/>
      <c r="AMC127" s="1"/>
      <c r="AMD127" s="1"/>
      <c r="AME127" s="1"/>
      <c r="AMF127" s="1"/>
      <c r="AMG127" s="1"/>
      <c r="AMH127" s="1"/>
      <c r="AMI127" s="1"/>
      <c r="AMJ127" s="1"/>
    </row>
    <row r="128" customFormat="false" ht="10.5" hidden="false" customHeight="true" outlineLevel="0" collapsed="false">
      <c r="A128" s="38"/>
      <c r="AO128" s="40"/>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c r="IX128" s="1"/>
      <c r="IY128" s="1"/>
      <c r="IZ128" s="1"/>
      <c r="JA128" s="1"/>
      <c r="JB128" s="1"/>
      <c r="JC128" s="1"/>
      <c r="JD128" s="1"/>
      <c r="JE128" s="1"/>
      <c r="JF128" s="1"/>
      <c r="JG128" s="1"/>
      <c r="JH128" s="1"/>
      <c r="JI128" s="1"/>
      <c r="JJ128" s="1"/>
      <c r="JK128" s="1"/>
      <c r="JL128" s="1"/>
      <c r="JM128" s="1"/>
      <c r="JN128" s="1"/>
      <c r="JO128" s="1"/>
      <c r="JP128" s="1"/>
      <c r="JQ128" s="1"/>
      <c r="JR128" s="1"/>
      <c r="JS128" s="1"/>
      <c r="JT128" s="1"/>
      <c r="JU128" s="1"/>
      <c r="JV128" s="1"/>
      <c r="JW128" s="1"/>
      <c r="JX128" s="1"/>
      <c r="JY128" s="1"/>
      <c r="JZ128" s="1"/>
      <c r="KA128" s="1"/>
      <c r="KB128" s="1"/>
      <c r="KC128" s="1"/>
      <c r="KD128" s="1"/>
      <c r="KE128" s="1"/>
      <c r="KF128" s="1"/>
      <c r="KG128" s="1"/>
      <c r="KH128" s="1"/>
      <c r="KI128" s="1"/>
      <c r="KJ128" s="1"/>
      <c r="KK128" s="1"/>
      <c r="KL128" s="1"/>
      <c r="KM128" s="1"/>
      <c r="KN128" s="1"/>
      <c r="KO128" s="1"/>
      <c r="KP128" s="1"/>
      <c r="KQ128" s="1"/>
      <c r="KR128" s="1"/>
      <c r="KS128" s="1"/>
      <c r="KT128" s="1"/>
      <c r="KU128" s="1"/>
      <c r="KV128" s="1"/>
      <c r="KW128" s="1"/>
      <c r="KX128" s="1"/>
      <c r="KY128" s="1"/>
      <c r="KZ128" s="1"/>
      <c r="LA128" s="1"/>
      <c r="LB128" s="1"/>
      <c r="LC128" s="1"/>
      <c r="LD128" s="1"/>
      <c r="LE128" s="1"/>
      <c r="LF128" s="1"/>
      <c r="LG128" s="1"/>
      <c r="LH128" s="1"/>
      <c r="LI128" s="1"/>
      <c r="LJ128" s="1"/>
      <c r="LK128" s="1"/>
      <c r="LL128" s="1"/>
      <c r="LM128" s="1"/>
      <c r="LN128" s="1"/>
      <c r="LO128" s="1"/>
      <c r="LP128" s="1"/>
      <c r="LQ128" s="1"/>
      <c r="LR128" s="1"/>
      <c r="LS128" s="1"/>
      <c r="LT128" s="1"/>
      <c r="LU128" s="1"/>
      <c r="LV128" s="1"/>
      <c r="LW128" s="1"/>
      <c r="LX128" s="1"/>
      <c r="LY128" s="1"/>
      <c r="LZ128" s="1"/>
      <c r="MA128" s="1"/>
      <c r="MB128" s="1"/>
      <c r="MC128" s="1"/>
      <c r="MD128" s="1"/>
      <c r="ME128" s="1"/>
      <c r="MF128" s="1"/>
      <c r="MG128" s="1"/>
      <c r="MH128" s="1"/>
      <c r="MI128" s="1"/>
      <c r="MJ128" s="1"/>
      <c r="MK128" s="1"/>
      <c r="ML128" s="1"/>
      <c r="MM128" s="1"/>
      <c r="MN128" s="1"/>
      <c r="MO128" s="1"/>
      <c r="MP128" s="1"/>
      <c r="MQ128" s="1"/>
      <c r="MR128" s="1"/>
      <c r="MS128" s="1"/>
      <c r="MT128" s="1"/>
      <c r="MU128" s="1"/>
      <c r="MV128" s="1"/>
      <c r="MW128" s="1"/>
      <c r="MX128" s="1"/>
      <c r="MY128" s="1"/>
      <c r="MZ128" s="1"/>
      <c r="NA128" s="1"/>
      <c r="NB128" s="1"/>
      <c r="NC128" s="1"/>
      <c r="ND128" s="1"/>
      <c r="NE128" s="1"/>
      <c r="NF128" s="1"/>
      <c r="NG128" s="1"/>
      <c r="NH128" s="1"/>
      <c r="NI128" s="1"/>
      <c r="NJ128" s="1"/>
      <c r="NK128" s="1"/>
      <c r="NL128" s="1"/>
      <c r="NM128" s="1"/>
      <c r="NN128" s="1"/>
      <c r="NO128" s="1"/>
      <c r="NP128" s="1"/>
      <c r="NQ128" s="1"/>
      <c r="NR128" s="1"/>
      <c r="NS128" s="1"/>
      <c r="NT128" s="1"/>
      <c r="NU128" s="1"/>
      <c r="NV128" s="1"/>
      <c r="NW128" s="1"/>
      <c r="NX128" s="1"/>
      <c r="NY128" s="1"/>
      <c r="NZ128" s="1"/>
      <c r="OA128" s="1"/>
      <c r="OB128" s="1"/>
      <c r="OC128" s="1"/>
      <c r="OD128" s="1"/>
      <c r="OE128" s="1"/>
      <c r="OF128" s="1"/>
      <c r="OG128" s="1"/>
      <c r="OH128" s="1"/>
      <c r="OI128" s="1"/>
      <c r="OJ128" s="1"/>
      <c r="OK128" s="1"/>
      <c r="OL128" s="1"/>
      <c r="OM128" s="1"/>
      <c r="ON128" s="1"/>
      <c r="OO128" s="1"/>
      <c r="OP128" s="1"/>
      <c r="OQ128" s="1"/>
      <c r="OR128" s="1"/>
      <c r="OS128" s="1"/>
      <c r="OT128" s="1"/>
      <c r="OU128" s="1"/>
      <c r="OV128" s="1"/>
      <c r="OW128" s="1"/>
      <c r="OX128" s="1"/>
      <c r="OY128" s="1"/>
      <c r="OZ128" s="1"/>
      <c r="PA128" s="1"/>
      <c r="PB128" s="1"/>
      <c r="PC128" s="1"/>
      <c r="PD128" s="1"/>
      <c r="PE128" s="1"/>
      <c r="PF128" s="1"/>
      <c r="PG128" s="1"/>
      <c r="PH128" s="1"/>
      <c r="PI128" s="1"/>
      <c r="PJ128" s="1"/>
      <c r="PK128" s="1"/>
      <c r="PL128" s="1"/>
      <c r="PM128" s="1"/>
      <c r="PN128" s="1"/>
      <c r="PO128" s="1"/>
      <c r="PP128" s="1"/>
      <c r="PQ128" s="1"/>
      <c r="PR128" s="1"/>
      <c r="PS128" s="1"/>
      <c r="PT128" s="1"/>
      <c r="PU128" s="1"/>
      <c r="PV128" s="1"/>
      <c r="PW128" s="1"/>
      <c r="PX128" s="1"/>
      <c r="PY128" s="1"/>
      <c r="PZ128" s="1"/>
      <c r="QA128" s="1"/>
      <c r="QB128" s="1"/>
      <c r="QC128" s="1"/>
      <c r="QD128" s="1"/>
      <c r="QE128" s="1"/>
      <c r="QF128" s="1"/>
      <c r="QG128" s="1"/>
      <c r="QH128" s="1"/>
      <c r="QI128" s="1"/>
      <c r="QJ128" s="1"/>
      <c r="QK128" s="1"/>
      <c r="QL128" s="1"/>
      <c r="QM128" s="1"/>
      <c r="QN128" s="1"/>
      <c r="QO128" s="1"/>
      <c r="QP128" s="1"/>
      <c r="QQ128" s="1"/>
      <c r="QR128" s="1"/>
      <c r="QS128" s="1"/>
      <c r="QT128" s="1"/>
      <c r="QU128" s="1"/>
      <c r="QV128" s="1"/>
      <c r="QW128" s="1"/>
      <c r="QX128" s="1"/>
      <c r="QY128" s="1"/>
      <c r="QZ128" s="1"/>
      <c r="RA128" s="1"/>
      <c r="RB128" s="1"/>
      <c r="RC128" s="1"/>
      <c r="RD128" s="1"/>
      <c r="RE128" s="1"/>
      <c r="RF128" s="1"/>
      <c r="RG128" s="1"/>
      <c r="RH128" s="1"/>
      <c r="RI128" s="1"/>
      <c r="RJ128" s="1"/>
      <c r="RK128" s="1"/>
      <c r="RL128" s="1"/>
      <c r="RM128" s="1"/>
      <c r="RN128" s="1"/>
      <c r="RO128" s="1"/>
      <c r="RP128" s="1"/>
      <c r="RQ128" s="1"/>
      <c r="RR128" s="1"/>
      <c r="RS128" s="1"/>
      <c r="RT128" s="1"/>
      <c r="RU128" s="1"/>
      <c r="RV128" s="1"/>
      <c r="RW128" s="1"/>
      <c r="RX128" s="1"/>
      <c r="RY128" s="1"/>
      <c r="RZ128" s="1"/>
      <c r="SA128" s="1"/>
      <c r="SB128" s="1"/>
      <c r="SC128" s="1"/>
      <c r="SD128" s="1"/>
      <c r="SE128" s="1"/>
      <c r="SF128" s="1"/>
      <c r="SG128" s="1"/>
      <c r="SH128" s="1"/>
      <c r="SI128" s="1"/>
      <c r="SJ128" s="1"/>
      <c r="SK128" s="1"/>
      <c r="SL128" s="1"/>
      <c r="SM128" s="1"/>
      <c r="SN128" s="1"/>
      <c r="SO128" s="1"/>
      <c r="SP128" s="1"/>
      <c r="SQ128" s="1"/>
      <c r="SR128" s="1"/>
      <c r="SS128" s="1"/>
      <c r="ST128" s="1"/>
      <c r="SU128" s="1"/>
      <c r="SV128" s="1"/>
      <c r="SW128" s="1"/>
      <c r="SX128" s="1"/>
      <c r="SY128" s="1"/>
      <c r="SZ128" s="1"/>
      <c r="TA128" s="1"/>
      <c r="TB128" s="1"/>
      <c r="TC128" s="1"/>
      <c r="TD128" s="1"/>
      <c r="TE128" s="1"/>
      <c r="TF128" s="1"/>
      <c r="TG128" s="1"/>
      <c r="TH128" s="1"/>
      <c r="TI128" s="1"/>
      <c r="TJ128" s="1"/>
      <c r="TK128" s="1"/>
      <c r="TL128" s="1"/>
      <c r="TM128" s="1"/>
      <c r="TN128" s="1"/>
      <c r="TO128" s="1"/>
      <c r="TP128" s="1"/>
      <c r="TQ128" s="1"/>
      <c r="TR128" s="1"/>
      <c r="TS128" s="1"/>
      <c r="TT128" s="1"/>
      <c r="TU128" s="1"/>
      <c r="TV128" s="1"/>
      <c r="TW128" s="1"/>
      <c r="TX128" s="1"/>
      <c r="TY128" s="1"/>
      <c r="TZ128" s="1"/>
      <c r="UA128" s="1"/>
      <c r="UB128" s="1"/>
      <c r="UC128" s="1"/>
      <c r="UD128" s="1"/>
      <c r="UE128" s="1"/>
      <c r="UF128" s="1"/>
      <c r="UG128" s="1"/>
      <c r="UH128" s="1"/>
      <c r="UI128" s="1"/>
      <c r="UJ128" s="1"/>
      <c r="UK128" s="1"/>
      <c r="UL128" s="1"/>
      <c r="UM128" s="1"/>
      <c r="UN128" s="1"/>
      <c r="UO128" s="1"/>
      <c r="UP128" s="1"/>
      <c r="UQ128" s="1"/>
      <c r="UR128" s="1"/>
      <c r="US128" s="1"/>
      <c r="UT128" s="1"/>
      <c r="UU128" s="1"/>
      <c r="UV128" s="1"/>
      <c r="UW128" s="1"/>
      <c r="UX128" s="1"/>
      <c r="UY128" s="1"/>
      <c r="UZ128" s="1"/>
      <c r="VA128" s="1"/>
      <c r="VB128" s="1"/>
      <c r="VC128" s="1"/>
      <c r="VD128" s="1"/>
      <c r="VE128" s="1"/>
      <c r="VF128" s="1"/>
      <c r="VG128" s="1"/>
      <c r="VH128" s="1"/>
      <c r="VI128" s="1"/>
      <c r="VJ128" s="1"/>
      <c r="VK128" s="1"/>
      <c r="VL128" s="1"/>
      <c r="VM128" s="1"/>
      <c r="VN128" s="1"/>
      <c r="VO128" s="1"/>
      <c r="VP128" s="1"/>
      <c r="VQ128" s="1"/>
      <c r="VR128" s="1"/>
      <c r="VS128" s="1"/>
      <c r="VT128" s="1"/>
      <c r="VU128" s="1"/>
      <c r="VV128" s="1"/>
      <c r="VW128" s="1"/>
      <c r="VX128" s="1"/>
      <c r="VY128" s="1"/>
      <c r="VZ128" s="1"/>
      <c r="WA128" s="1"/>
      <c r="WB128" s="1"/>
      <c r="WC128" s="1"/>
      <c r="WD128" s="1"/>
      <c r="WE128" s="1"/>
      <c r="WF128" s="1"/>
      <c r="WG128" s="1"/>
      <c r="WH128" s="1"/>
      <c r="WI128" s="1"/>
      <c r="WJ128" s="1"/>
      <c r="WK128" s="1"/>
      <c r="WL128" s="1"/>
      <c r="WM128" s="1"/>
      <c r="WN128" s="1"/>
      <c r="WO128" s="1"/>
      <c r="WP128" s="1"/>
      <c r="WQ128" s="1"/>
      <c r="WR128" s="1"/>
      <c r="WS128" s="1"/>
      <c r="WT128" s="1"/>
      <c r="WU128" s="1"/>
      <c r="WV128" s="1"/>
      <c r="WW128" s="1"/>
      <c r="WX128" s="1"/>
      <c r="WY128" s="1"/>
      <c r="WZ128" s="1"/>
      <c r="XA128" s="1"/>
      <c r="XB128" s="1"/>
      <c r="XC128" s="1"/>
      <c r="XD128" s="1"/>
      <c r="XE128" s="1"/>
      <c r="XF128" s="1"/>
      <c r="XG128" s="1"/>
      <c r="XH128" s="1"/>
      <c r="XI128" s="1"/>
      <c r="XJ128" s="1"/>
      <c r="XK128" s="1"/>
      <c r="XL128" s="1"/>
      <c r="XM128" s="1"/>
      <c r="XN128" s="1"/>
      <c r="XO128" s="1"/>
      <c r="XP128" s="1"/>
      <c r="XQ128" s="1"/>
      <c r="XR128" s="1"/>
      <c r="XS128" s="1"/>
      <c r="XT128" s="1"/>
      <c r="XU128" s="1"/>
      <c r="XV128" s="1"/>
      <c r="XW128" s="1"/>
      <c r="XX128" s="1"/>
      <c r="XY128" s="1"/>
      <c r="XZ128" s="1"/>
      <c r="YA128" s="1"/>
      <c r="YB128" s="1"/>
      <c r="YC128" s="1"/>
      <c r="YD128" s="1"/>
      <c r="YE128" s="1"/>
      <c r="YF128" s="1"/>
      <c r="YG128" s="1"/>
      <c r="YH128" s="1"/>
      <c r="YI128" s="1"/>
      <c r="YJ128" s="1"/>
      <c r="YK128" s="1"/>
      <c r="YL128" s="1"/>
      <c r="YM128" s="1"/>
      <c r="YN128" s="1"/>
      <c r="YO128" s="1"/>
      <c r="YP128" s="1"/>
      <c r="YQ128" s="1"/>
      <c r="YR128" s="1"/>
      <c r="YS128" s="1"/>
      <c r="YT128" s="1"/>
      <c r="YU128" s="1"/>
      <c r="YV128" s="1"/>
      <c r="YW128" s="1"/>
      <c r="YX128" s="1"/>
      <c r="YY128" s="1"/>
      <c r="YZ128" s="1"/>
      <c r="ZA128" s="1"/>
      <c r="ZB128" s="1"/>
      <c r="ZC128" s="1"/>
      <c r="ZD128" s="1"/>
      <c r="ZE128" s="1"/>
      <c r="ZF128" s="1"/>
      <c r="ZG128" s="1"/>
      <c r="ZH128" s="1"/>
      <c r="ZI128" s="1"/>
      <c r="ZJ128" s="1"/>
      <c r="ZK128" s="1"/>
      <c r="ZL128" s="1"/>
      <c r="ZM128" s="1"/>
      <c r="ZN128" s="1"/>
      <c r="ZO128" s="1"/>
      <c r="ZP128" s="1"/>
      <c r="ZQ128" s="1"/>
      <c r="ZR128" s="1"/>
      <c r="ZS128" s="1"/>
      <c r="ZT128" s="1"/>
      <c r="ZU128" s="1"/>
      <c r="ZV128" s="1"/>
      <c r="ZW128" s="1"/>
      <c r="ZX128" s="1"/>
      <c r="ZY128" s="1"/>
      <c r="ZZ128" s="1"/>
      <c r="AAA128" s="1"/>
      <c r="AAB128" s="1"/>
      <c r="AAC128" s="1"/>
      <c r="AAD128" s="1"/>
      <c r="AAE128" s="1"/>
      <c r="AAF128" s="1"/>
      <c r="AAG128" s="1"/>
      <c r="AAH128" s="1"/>
      <c r="AAI128" s="1"/>
      <c r="AAJ128" s="1"/>
      <c r="AAK128" s="1"/>
      <c r="AAL128" s="1"/>
      <c r="AAM128" s="1"/>
      <c r="AAN128" s="1"/>
      <c r="AAO128" s="1"/>
      <c r="AAP128" s="1"/>
      <c r="AAQ128" s="1"/>
      <c r="AAR128" s="1"/>
      <c r="AAS128" s="1"/>
      <c r="AAT128" s="1"/>
      <c r="AAU128" s="1"/>
      <c r="AAV128" s="1"/>
      <c r="AAW128" s="1"/>
      <c r="AAX128" s="1"/>
      <c r="AAY128" s="1"/>
      <c r="AAZ128" s="1"/>
      <c r="ABA128" s="1"/>
      <c r="ABB128" s="1"/>
      <c r="ABC128" s="1"/>
      <c r="ABD128" s="1"/>
      <c r="ABE128" s="1"/>
      <c r="ABF128" s="1"/>
      <c r="ABG128" s="1"/>
      <c r="ABH128" s="1"/>
      <c r="ABI128" s="1"/>
      <c r="ABJ128" s="1"/>
      <c r="ABK128" s="1"/>
      <c r="ABL128" s="1"/>
      <c r="ABM128" s="1"/>
      <c r="ABN128" s="1"/>
      <c r="ABO128" s="1"/>
      <c r="ABP128" s="1"/>
      <c r="ABQ128" s="1"/>
      <c r="ABR128" s="1"/>
      <c r="ABS128" s="1"/>
      <c r="ABT128" s="1"/>
      <c r="ABU128" s="1"/>
      <c r="ABV128" s="1"/>
      <c r="ABW128" s="1"/>
      <c r="ABX128" s="1"/>
      <c r="ABY128" s="1"/>
      <c r="ABZ128" s="1"/>
      <c r="ACA128" s="1"/>
      <c r="ACB128" s="1"/>
      <c r="ACC128" s="1"/>
      <c r="ACD128" s="1"/>
      <c r="ACE128" s="1"/>
      <c r="ACF128" s="1"/>
      <c r="ACG128" s="1"/>
      <c r="ACH128" s="1"/>
      <c r="ACI128" s="1"/>
      <c r="ACJ128" s="1"/>
      <c r="ACK128" s="1"/>
      <c r="ACL128" s="1"/>
      <c r="ACM128" s="1"/>
      <c r="ACN128" s="1"/>
      <c r="ACO128" s="1"/>
      <c r="ACP128" s="1"/>
      <c r="ACQ128" s="1"/>
      <c r="ACR128" s="1"/>
      <c r="ACS128" s="1"/>
      <c r="ACT128" s="1"/>
      <c r="ACU128" s="1"/>
      <c r="ACV128" s="1"/>
      <c r="ACW128" s="1"/>
      <c r="ACX128" s="1"/>
      <c r="ACY128" s="1"/>
      <c r="ACZ128" s="1"/>
      <c r="ADA128" s="1"/>
      <c r="ADB128" s="1"/>
      <c r="ADC128" s="1"/>
      <c r="ADD128" s="1"/>
      <c r="ADE128" s="1"/>
      <c r="ADF128" s="1"/>
      <c r="ADG128" s="1"/>
      <c r="ADH128" s="1"/>
      <c r="ADI128" s="1"/>
      <c r="ADJ128" s="1"/>
      <c r="ADK128" s="1"/>
      <c r="ADL128" s="1"/>
      <c r="ADM128" s="1"/>
      <c r="ADN128" s="1"/>
      <c r="ADO128" s="1"/>
      <c r="ADP128" s="1"/>
      <c r="ADQ128" s="1"/>
      <c r="ADR128" s="1"/>
      <c r="ADS128" s="1"/>
      <c r="ADT128" s="1"/>
      <c r="ADU128" s="1"/>
      <c r="ADV128" s="1"/>
      <c r="ADW128" s="1"/>
      <c r="ADX128" s="1"/>
      <c r="ADY128" s="1"/>
      <c r="ADZ128" s="1"/>
      <c r="AEA128" s="1"/>
      <c r="AEB128" s="1"/>
      <c r="AEC128" s="1"/>
      <c r="AED128" s="1"/>
      <c r="AEE128" s="1"/>
      <c r="AEF128" s="1"/>
      <c r="AEG128" s="1"/>
      <c r="AEH128" s="1"/>
      <c r="AEI128" s="1"/>
      <c r="AEJ128" s="1"/>
      <c r="AEK128" s="1"/>
      <c r="AEL128" s="1"/>
      <c r="AEM128" s="1"/>
      <c r="AEN128" s="1"/>
      <c r="AEO128" s="1"/>
      <c r="AEP128" s="1"/>
      <c r="AEQ128" s="1"/>
      <c r="AER128" s="1"/>
      <c r="AES128" s="1"/>
      <c r="AET128" s="1"/>
      <c r="AEU128" s="1"/>
      <c r="AEV128" s="1"/>
      <c r="AEW128" s="1"/>
      <c r="AEX128" s="1"/>
      <c r="AEY128" s="1"/>
      <c r="AEZ128" s="1"/>
      <c r="AFA128" s="1"/>
      <c r="AFB128" s="1"/>
      <c r="AFC128" s="1"/>
      <c r="AFD128" s="1"/>
      <c r="AFE128" s="1"/>
      <c r="AFF128" s="1"/>
      <c r="AFG128" s="1"/>
      <c r="AFH128" s="1"/>
      <c r="AFI128" s="1"/>
      <c r="AFJ128" s="1"/>
      <c r="AFK128" s="1"/>
      <c r="AFL128" s="1"/>
      <c r="AFM128" s="1"/>
      <c r="AFN128" s="1"/>
      <c r="AFO128" s="1"/>
      <c r="AFP128" s="1"/>
      <c r="AFQ128" s="1"/>
      <c r="AFR128" s="1"/>
      <c r="AFS128" s="1"/>
      <c r="AFT128" s="1"/>
      <c r="AFU128" s="1"/>
      <c r="AFV128" s="1"/>
      <c r="AFW128" s="1"/>
      <c r="AFX128" s="1"/>
      <c r="AFY128" s="1"/>
      <c r="AFZ128" s="1"/>
      <c r="AGA128" s="1"/>
      <c r="AGB128" s="1"/>
      <c r="AGC128" s="1"/>
      <c r="AGD128" s="1"/>
      <c r="AGE128" s="1"/>
      <c r="AGF128" s="1"/>
      <c r="AGG128" s="1"/>
      <c r="AGH128" s="1"/>
      <c r="AGI128" s="1"/>
      <c r="AGJ128" s="1"/>
      <c r="AGK128" s="1"/>
      <c r="AGL128" s="1"/>
      <c r="AGM128" s="1"/>
      <c r="AGN128" s="1"/>
      <c r="AGO128" s="1"/>
      <c r="AGP128" s="1"/>
      <c r="AGQ128" s="1"/>
      <c r="AGR128" s="1"/>
      <c r="AGS128" s="1"/>
      <c r="AGT128" s="1"/>
      <c r="AGU128" s="1"/>
      <c r="AGV128" s="1"/>
      <c r="AGW128" s="1"/>
      <c r="AGX128" s="1"/>
      <c r="AGY128" s="1"/>
      <c r="AGZ128" s="1"/>
      <c r="AHA128" s="1"/>
      <c r="AHB128" s="1"/>
      <c r="AHC128" s="1"/>
      <c r="AHD128" s="1"/>
      <c r="AHE128" s="1"/>
      <c r="AHF128" s="1"/>
      <c r="AHG128" s="1"/>
      <c r="AHH128" s="1"/>
      <c r="AHI128" s="1"/>
      <c r="AHJ128" s="1"/>
      <c r="AHK128" s="1"/>
      <c r="AHL128" s="1"/>
      <c r="AHM128" s="1"/>
      <c r="AHN128" s="1"/>
      <c r="AHO128" s="1"/>
      <c r="AHP128" s="1"/>
      <c r="AHQ128" s="1"/>
      <c r="AHR128" s="1"/>
      <c r="AHS128" s="1"/>
      <c r="AHT128" s="1"/>
      <c r="AHU128" s="1"/>
      <c r="AHV128" s="1"/>
      <c r="AHW128" s="1"/>
      <c r="AHX128" s="1"/>
      <c r="AHY128" s="1"/>
      <c r="AHZ128" s="1"/>
      <c r="AIA128" s="1"/>
      <c r="AIB128" s="1"/>
      <c r="AIC128" s="1"/>
      <c r="AID128" s="1"/>
      <c r="AIE128" s="1"/>
      <c r="AIF128" s="1"/>
      <c r="AIG128" s="1"/>
      <c r="AIH128" s="1"/>
      <c r="AII128" s="1"/>
      <c r="AIJ128" s="1"/>
      <c r="AIK128" s="1"/>
      <c r="AIL128" s="1"/>
      <c r="AIM128" s="1"/>
      <c r="AIN128" s="1"/>
      <c r="AIO128" s="1"/>
      <c r="AIP128" s="1"/>
      <c r="AIQ128" s="1"/>
      <c r="AIR128" s="1"/>
      <c r="AIS128" s="1"/>
      <c r="AIT128" s="1"/>
      <c r="AIU128" s="1"/>
      <c r="AIV128" s="1"/>
      <c r="AIW128" s="1"/>
      <c r="AIX128" s="1"/>
      <c r="AIY128" s="1"/>
      <c r="AIZ128" s="1"/>
      <c r="AJA128" s="1"/>
      <c r="AJB128" s="1"/>
      <c r="AJC128" s="1"/>
      <c r="AJD128" s="1"/>
      <c r="AJE128" s="1"/>
      <c r="AJF128" s="1"/>
      <c r="AJG128" s="1"/>
      <c r="AJH128" s="1"/>
      <c r="AJI128" s="1"/>
      <c r="AJJ128" s="1"/>
      <c r="AJK128" s="1"/>
      <c r="AJL128" s="1"/>
      <c r="AJM128" s="1"/>
      <c r="AJN128" s="1"/>
      <c r="AJO128" s="1"/>
      <c r="AJP128" s="1"/>
      <c r="AJQ128" s="1"/>
      <c r="AJR128" s="1"/>
      <c r="AJS128" s="1"/>
      <c r="AJT128" s="1"/>
      <c r="AJU128" s="1"/>
      <c r="AJV128" s="1"/>
      <c r="AJW128" s="1"/>
      <c r="AJX128" s="1"/>
      <c r="AJY128" s="1"/>
      <c r="AJZ128" s="1"/>
      <c r="AKA128" s="1"/>
      <c r="AKB128" s="1"/>
      <c r="AKC128" s="1"/>
      <c r="AKD128" s="1"/>
      <c r="AKE128" s="1"/>
      <c r="AKF128" s="1"/>
      <c r="AKG128" s="1"/>
      <c r="AKH128" s="1"/>
      <c r="AKI128" s="1"/>
      <c r="AKJ128" s="1"/>
      <c r="AKK128" s="1"/>
      <c r="AKL128" s="1"/>
      <c r="AKM128" s="1"/>
      <c r="AKN128" s="1"/>
      <c r="AKO128" s="1"/>
      <c r="AKP128" s="1"/>
      <c r="AKQ128" s="1"/>
      <c r="AKR128" s="1"/>
      <c r="AKS128" s="1"/>
      <c r="AKT128" s="1"/>
      <c r="AKU128" s="1"/>
      <c r="AKV128" s="1"/>
      <c r="AKW128" s="1"/>
      <c r="AKX128" s="1"/>
      <c r="AKY128" s="1"/>
      <c r="AKZ128" s="1"/>
      <c r="ALA128" s="1"/>
      <c r="ALB128" s="1"/>
      <c r="ALC128" s="1"/>
      <c r="ALD128" s="1"/>
      <c r="ALE128" s="1"/>
      <c r="ALF128" s="1"/>
      <c r="ALG128" s="1"/>
      <c r="ALH128" s="1"/>
      <c r="ALI128" s="1"/>
      <c r="ALJ128" s="1"/>
      <c r="ALK128" s="1"/>
      <c r="ALL128" s="1"/>
      <c r="ALM128" s="1"/>
      <c r="ALN128" s="1"/>
      <c r="ALO128" s="1"/>
      <c r="ALP128" s="1"/>
      <c r="ALQ128" s="1"/>
      <c r="ALR128" s="1"/>
      <c r="ALS128" s="1"/>
      <c r="ALT128" s="1"/>
      <c r="ALU128" s="1"/>
      <c r="ALV128" s="1"/>
      <c r="ALW128" s="1"/>
      <c r="ALX128" s="1"/>
      <c r="ALY128" s="1"/>
      <c r="ALZ128" s="1"/>
      <c r="AMA128" s="1"/>
      <c r="AMB128" s="1"/>
      <c r="AMC128" s="1"/>
      <c r="AMD128" s="1"/>
      <c r="AME128" s="1"/>
      <c r="AMF128" s="1"/>
      <c r="AMG128" s="1"/>
      <c r="AMH128" s="1"/>
      <c r="AMI128" s="1"/>
      <c r="AMJ128" s="1"/>
    </row>
    <row r="129" customFormat="false" ht="10.5" hidden="false" customHeight="true" outlineLevel="0" collapsed="false">
      <c r="A129" s="45"/>
      <c r="B129" s="46"/>
      <c r="C129" s="46"/>
      <c r="D129" s="46"/>
      <c r="E129" s="46"/>
      <c r="F129" s="46"/>
      <c r="G129" s="46"/>
      <c r="H129" s="46"/>
      <c r="I129" s="46"/>
      <c r="J129" s="46"/>
      <c r="K129" s="46"/>
      <c r="L129" s="46"/>
      <c r="M129" s="177" t="s">
        <v>253</v>
      </c>
      <c r="N129" s="177"/>
      <c r="O129" s="177"/>
      <c r="P129" s="177"/>
      <c r="Q129" s="177"/>
      <c r="R129" s="177"/>
      <c r="S129" s="178" t="n">
        <f aca="false">O127-AK127</f>
        <v>0</v>
      </c>
      <c r="T129" s="178"/>
      <c r="U129" s="178"/>
      <c r="V129" s="178"/>
      <c r="W129" s="46"/>
      <c r="X129" s="46"/>
      <c r="Y129" s="46"/>
      <c r="Z129" s="46"/>
      <c r="AA129" s="46"/>
      <c r="AB129" s="46"/>
      <c r="AC129" s="46"/>
      <c r="AD129" s="46"/>
      <c r="AE129" s="46"/>
      <c r="AF129" s="46"/>
      <c r="AG129" s="46"/>
      <c r="AH129" s="46"/>
      <c r="AI129" s="46"/>
      <c r="AJ129" s="46"/>
      <c r="AK129" s="46"/>
      <c r="AL129" s="46"/>
      <c r="AM129" s="46"/>
      <c r="AN129" s="46"/>
      <c r="AO129" s="47"/>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c r="IY129" s="1"/>
      <c r="IZ129" s="1"/>
      <c r="JA129" s="1"/>
      <c r="JB129" s="1"/>
      <c r="JC129" s="1"/>
      <c r="JD129" s="1"/>
      <c r="JE129" s="1"/>
      <c r="JF129" s="1"/>
      <c r="JG129" s="1"/>
      <c r="JH129" s="1"/>
      <c r="JI129" s="1"/>
      <c r="JJ129" s="1"/>
      <c r="JK129" s="1"/>
      <c r="JL129" s="1"/>
      <c r="JM129" s="1"/>
      <c r="JN129" s="1"/>
      <c r="JO129" s="1"/>
      <c r="JP129" s="1"/>
      <c r="JQ129" s="1"/>
      <c r="JR129" s="1"/>
      <c r="JS129" s="1"/>
      <c r="JT129" s="1"/>
      <c r="JU129" s="1"/>
      <c r="JV129" s="1"/>
      <c r="JW129" s="1"/>
      <c r="JX129" s="1"/>
      <c r="JY129" s="1"/>
      <c r="JZ129" s="1"/>
      <c r="KA129" s="1"/>
      <c r="KB129" s="1"/>
      <c r="KC129" s="1"/>
      <c r="KD129" s="1"/>
      <c r="KE129" s="1"/>
      <c r="KF129" s="1"/>
      <c r="KG129" s="1"/>
      <c r="KH129" s="1"/>
      <c r="KI129" s="1"/>
      <c r="KJ129" s="1"/>
      <c r="KK129" s="1"/>
      <c r="KL129" s="1"/>
      <c r="KM129" s="1"/>
      <c r="KN129" s="1"/>
      <c r="KO129" s="1"/>
      <c r="KP129" s="1"/>
      <c r="KQ129" s="1"/>
      <c r="KR129" s="1"/>
      <c r="KS129" s="1"/>
      <c r="KT129" s="1"/>
      <c r="KU129" s="1"/>
      <c r="KV129" s="1"/>
      <c r="KW129" s="1"/>
      <c r="KX129" s="1"/>
      <c r="KY129" s="1"/>
      <c r="KZ129" s="1"/>
      <c r="LA129" s="1"/>
      <c r="LB129" s="1"/>
      <c r="LC129" s="1"/>
      <c r="LD129" s="1"/>
      <c r="LE129" s="1"/>
      <c r="LF129" s="1"/>
      <c r="LG129" s="1"/>
      <c r="LH129" s="1"/>
      <c r="LI129" s="1"/>
      <c r="LJ129" s="1"/>
      <c r="LK129" s="1"/>
      <c r="LL129" s="1"/>
      <c r="LM129" s="1"/>
      <c r="LN129" s="1"/>
      <c r="LO129" s="1"/>
      <c r="LP129" s="1"/>
      <c r="LQ129" s="1"/>
      <c r="LR129" s="1"/>
      <c r="LS129" s="1"/>
      <c r="LT129" s="1"/>
      <c r="LU129" s="1"/>
      <c r="LV129" s="1"/>
      <c r="LW129" s="1"/>
      <c r="LX129" s="1"/>
      <c r="LY129" s="1"/>
      <c r="LZ129" s="1"/>
      <c r="MA129" s="1"/>
      <c r="MB129" s="1"/>
      <c r="MC129" s="1"/>
      <c r="MD129" s="1"/>
      <c r="ME129" s="1"/>
      <c r="MF129" s="1"/>
      <c r="MG129" s="1"/>
      <c r="MH129" s="1"/>
      <c r="MI129" s="1"/>
      <c r="MJ129" s="1"/>
      <c r="MK129" s="1"/>
      <c r="ML129" s="1"/>
      <c r="MM129" s="1"/>
      <c r="MN129" s="1"/>
      <c r="MO129" s="1"/>
      <c r="MP129" s="1"/>
      <c r="MQ129" s="1"/>
      <c r="MR129" s="1"/>
      <c r="MS129" s="1"/>
      <c r="MT129" s="1"/>
      <c r="MU129" s="1"/>
      <c r="MV129" s="1"/>
      <c r="MW129" s="1"/>
      <c r="MX129" s="1"/>
      <c r="MY129" s="1"/>
      <c r="MZ129" s="1"/>
      <c r="NA129" s="1"/>
      <c r="NB129" s="1"/>
      <c r="NC129" s="1"/>
      <c r="ND129" s="1"/>
      <c r="NE129" s="1"/>
      <c r="NF129" s="1"/>
      <c r="NG129" s="1"/>
      <c r="NH129" s="1"/>
      <c r="NI129" s="1"/>
      <c r="NJ129" s="1"/>
      <c r="NK129" s="1"/>
      <c r="NL129" s="1"/>
      <c r="NM129" s="1"/>
      <c r="NN129" s="1"/>
      <c r="NO129" s="1"/>
      <c r="NP129" s="1"/>
      <c r="NQ129" s="1"/>
      <c r="NR129" s="1"/>
      <c r="NS129" s="1"/>
      <c r="NT129" s="1"/>
      <c r="NU129" s="1"/>
      <c r="NV129" s="1"/>
      <c r="NW129" s="1"/>
      <c r="NX129" s="1"/>
      <c r="NY129" s="1"/>
      <c r="NZ129" s="1"/>
      <c r="OA129" s="1"/>
      <c r="OB129" s="1"/>
      <c r="OC129" s="1"/>
      <c r="OD129" s="1"/>
      <c r="OE129" s="1"/>
      <c r="OF129" s="1"/>
      <c r="OG129" s="1"/>
      <c r="OH129" s="1"/>
      <c r="OI129" s="1"/>
      <c r="OJ129" s="1"/>
      <c r="OK129" s="1"/>
      <c r="OL129" s="1"/>
      <c r="OM129" s="1"/>
      <c r="ON129" s="1"/>
      <c r="OO129" s="1"/>
      <c r="OP129" s="1"/>
      <c r="OQ129" s="1"/>
      <c r="OR129" s="1"/>
      <c r="OS129" s="1"/>
      <c r="OT129" s="1"/>
      <c r="OU129" s="1"/>
      <c r="OV129" s="1"/>
      <c r="OW129" s="1"/>
      <c r="OX129" s="1"/>
      <c r="OY129" s="1"/>
      <c r="OZ129" s="1"/>
      <c r="PA129" s="1"/>
      <c r="PB129" s="1"/>
      <c r="PC129" s="1"/>
      <c r="PD129" s="1"/>
      <c r="PE129" s="1"/>
      <c r="PF129" s="1"/>
      <c r="PG129" s="1"/>
      <c r="PH129" s="1"/>
      <c r="PI129" s="1"/>
      <c r="PJ129" s="1"/>
      <c r="PK129" s="1"/>
      <c r="PL129" s="1"/>
      <c r="PM129" s="1"/>
      <c r="PN129" s="1"/>
      <c r="PO129" s="1"/>
      <c r="PP129" s="1"/>
      <c r="PQ129" s="1"/>
      <c r="PR129" s="1"/>
      <c r="PS129" s="1"/>
      <c r="PT129" s="1"/>
      <c r="PU129" s="1"/>
      <c r="PV129" s="1"/>
      <c r="PW129" s="1"/>
      <c r="PX129" s="1"/>
      <c r="PY129" s="1"/>
      <c r="PZ129" s="1"/>
      <c r="QA129" s="1"/>
      <c r="QB129" s="1"/>
      <c r="QC129" s="1"/>
      <c r="QD129" s="1"/>
      <c r="QE129" s="1"/>
      <c r="QF129" s="1"/>
      <c r="QG129" s="1"/>
      <c r="QH129" s="1"/>
      <c r="QI129" s="1"/>
      <c r="QJ129" s="1"/>
      <c r="QK129" s="1"/>
      <c r="QL129" s="1"/>
      <c r="QM129" s="1"/>
      <c r="QN129" s="1"/>
      <c r="QO129" s="1"/>
      <c r="QP129" s="1"/>
      <c r="QQ129" s="1"/>
      <c r="QR129" s="1"/>
      <c r="QS129" s="1"/>
      <c r="QT129" s="1"/>
      <c r="QU129" s="1"/>
      <c r="QV129" s="1"/>
      <c r="QW129" s="1"/>
      <c r="QX129" s="1"/>
      <c r="QY129" s="1"/>
      <c r="QZ129" s="1"/>
      <c r="RA129" s="1"/>
      <c r="RB129" s="1"/>
      <c r="RC129" s="1"/>
      <c r="RD129" s="1"/>
      <c r="RE129" s="1"/>
      <c r="RF129" s="1"/>
      <c r="RG129" s="1"/>
      <c r="RH129" s="1"/>
      <c r="RI129" s="1"/>
      <c r="RJ129" s="1"/>
      <c r="RK129" s="1"/>
      <c r="RL129" s="1"/>
      <c r="RM129" s="1"/>
      <c r="RN129" s="1"/>
      <c r="RO129" s="1"/>
      <c r="RP129" s="1"/>
      <c r="RQ129" s="1"/>
      <c r="RR129" s="1"/>
      <c r="RS129" s="1"/>
      <c r="RT129" s="1"/>
      <c r="RU129" s="1"/>
      <c r="RV129" s="1"/>
      <c r="RW129" s="1"/>
      <c r="RX129" s="1"/>
      <c r="RY129" s="1"/>
      <c r="RZ129" s="1"/>
      <c r="SA129" s="1"/>
      <c r="SB129" s="1"/>
      <c r="SC129" s="1"/>
      <c r="SD129" s="1"/>
      <c r="SE129" s="1"/>
      <c r="SF129" s="1"/>
      <c r="SG129" s="1"/>
      <c r="SH129" s="1"/>
      <c r="SI129" s="1"/>
      <c r="SJ129" s="1"/>
      <c r="SK129" s="1"/>
      <c r="SL129" s="1"/>
      <c r="SM129" s="1"/>
      <c r="SN129" s="1"/>
      <c r="SO129" s="1"/>
      <c r="SP129" s="1"/>
      <c r="SQ129" s="1"/>
      <c r="SR129" s="1"/>
      <c r="SS129" s="1"/>
      <c r="ST129" s="1"/>
      <c r="SU129" s="1"/>
      <c r="SV129" s="1"/>
      <c r="SW129" s="1"/>
      <c r="SX129" s="1"/>
      <c r="SY129" s="1"/>
      <c r="SZ129" s="1"/>
      <c r="TA129" s="1"/>
      <c r="TB129" s="1"/>
      <c r="TC129" s="1"/>
      <c r="TD129" s="1"/>
      <c r="TE129" s="1"/>
      <c r="TF129" s="1"/>
      <c r="TG129" s="1"/>
      <c r="TH129" s="1"/>
      <c r="TI129" s="1"/>
      <c r="TJ129" s="1"/>
      <c r="TK129" s="1"/>
      <c r="TL129" s="1"/>
      <c r="TM129" s="1"/>
      <c r="TN129" s="1"/>
      <c r="TO129" s="1"/>
      <c r="TP129" s="1"/>
      <c r="TQ129" s="1"/>
      <c r="TR129" s="1"/>
      <c r="TS129" s="1"/>
      <c r="TT129" s="1"/>
      <c r="TU129" s="1"/>
      <c r="TV129" s="1"/>
      <c r="TW129" s="1"/>
      <c r="TX129" s="1"/>
      <c r="TY129" s="1"/>
      <c r="TZ129" s="1"/>
      <c r="UA129" s="1"/>
      <c r="UB129" s="1"/>
      <c r="UC129" s="1"/>
      <c r="UD129" s="1"/>
      <c r="UE129" s="1"/>
      <c r="UF129" s="1"/>
      <c r="UG129" s="1"/>
      <c r="UH129" s="1"/>
      <c r="UI129" s="1"/>
      <c r="UJ129" s="1"/>
      <c r="UK129" s="1"/>
      <c r="UL129" s="1"/>
      <c r="UM129" s="1"/>
      <c r="UN129" s="1"/>
      <c r="UO129" s="1"/>
      <c r="UP129" s="1"/>
      <c r="UQ129" s="1"/>
      <c r="UR129" s="1"/>
      <c r="US129" s="1"/>
      <c r="UT129" s="1"/>
      <c r="UU129" s="1"/>
      <c r="UV129" s="1"/>
      <c r="UW129" s="1"/>
      <c r="UX129" s="1"/>
      <c r="UY129" s="1"/>
      <c r="UZ129" s="1"/>
      <c r="VA129" s="1"/>
      <c r="VB129" s="1"/>
      <c r="VC129" s="1"/>
      <c r="VD129" s="1"/>
      <c r="VE129" s="1"/>
      <c r="VF129" s="1"/>
      <c r="VG129" s="1"/>
      <c r="VH129" s="1"/>
      <c r="VI129" s="1"/>
      <c r="VJ129" s="1"/>
      <c r="VK129" s="1"/>
      <c r="VL129" s="1"/>
      <c r="VM129" s="1"/>
      <c r="VN129" s="1"/>
      <c r="VO129" s="1"/>
      <c r="VP129" s="1"/>
      <c r="VQ129" s="1"/>
      <c r="VR129" s="1"/>
      <c r="VS129" s="1"/>
      <c r="VT129" s="1"/>
      <c r="VU129" s="1"/>
      <c r="VV129" s="1"/>
      <c r="VW129" s="1"/>
      <c r="VX129" s="1"/>
      <c r="VY129" s="1"/>
      <c r="VZ129" s="1"/>
      <c r="WA129" s="1"/>
      <c r="WB129" s="1"/>
      <c r="WC129" s="1"/>
      <c r="WD129" s="1"/>
      <c r="WE129" s="1"/>
      <c r="WF129" s="1"/>
      <c r="WG129" s="1"/>
      <c r="WH129" s="1"/>
      <c r="WI129" s="1"/>
      <c r="WJ129" s="1"/>
      <c r="WK129" s="1"/>
      <c r="WL129" s="1"/>
      <c r="WM129" s="1"/>
      <c r="WN129" s="1"/>
      <c r="WO129" s="1"/>
      <c r="WP129" s="1"/>
      <c r="WQ129" s="1"/>
      <c r="WR129" s="1"/>
      <c r="WS129" s="1"/>
      <c r="WT129" s="1"/>
      <c r="WU129" s="1"/>
      <c r="WV129" s="1"/>
      <c r="WW129" s="1"/>
      <c r="WX129" s="1"/>
      <c r="WY129" s="1"/>
      <c r="WZ129" s="1"/>
      <c r="XA129" s="1"/>
      <c r="XB129" s="1"/>
      <c r="XC129" s="1"/>
      <c r="XD129" s="1"/>
      <c r="XE129" s="1"/>
      <c r="XF129" s="1"/>
      <c r="XG129" s="1"/>
      <c r="XH129" s="1"/>
      <c r="XI129" s="1"/>
      <c r="XJ129" s="1"/>
      <c r="XK129" s="1"/>
      <c r="XL129" s="1"/>
      <c r="XM129" s="1"/>
      <c r="XN129" s="1"/>
      <c r="XO129" s="1"/>
      <c r="XP129" s="1"/>
      <c r="XQ129" s="1"/>
      <c r="XR129" s="1"/>
      <c r="XS129" s="1"/>
      <c r="XT129" s="1"/>
      <c r="XU129" s="1"/>
      <c r="XV129" s="1"/>
      <c r="XW129" s="1"/>
      <c r="XX129" s="1"/>
      <c r="XY129" s="1"/>
      <c r="XZ129" s="1"/>
      <c r="YA129" s="1"/>
      <c r="YB129" s="1"/>
      <c r="YC129" s="1"/>
      <c r="YD129" s="1"/>
      <c r="YE129" s="1"/>
      <c r="YF129" s="1"/>
      <c r="YG129" s="1"/>
      <c r="YH129" s="1"/>
      <c r="YI129" s="1"/>
      <c r="YJ129" s="1"/>
      <c r="YK129" s="1"/>
      <c r="YL129" s="1"/>
      <c r="YM129" s="1"/>
      <c r="YN129" s="1"/>
      <c r="YO129" s="1"/>
      <c r="YP129" s="1"/>
      <c r="YQ129" s="1"/>
      <c r="YR129" s="1"/>
      <c r="YS129" s="1"/>
      <c r="YT129" s="1"/>
      <c r="YU129" s="1"/>
      <c r="YV129" s="1"/>
      <c r="YW129" s="1"/>
      <c r="YX129" s="1"/>
      <c r="YY129" s="1"/>
      <c r="YZ129" s="1"/>
      <c r="ZA129" s="1"/>
      <c r="ZB129" s="1"/>
      <c r="ZC129" s="1"/>
      <c r="ZD129" s="1"/>
      <c r="ZE129" s="1"/>
      <c r="ZF129" s="1"/>
      <c r="ZG129" s="1"/>
      <c r="ZH129" s="1"/>
      <c r="ZI129" s="1"/>
      <c r="ZJ129" s="1"/>
      <c r="ZK129" s="1"/>
      <c r="ZL129" s="1"/>
      <c r="ZM129" s="1"/>
      <c r="ZN129" s="1"/>
      <c r="ZO129" s="1"/>
      <c r="ZP129" s="1"/>
      <c r="ZQ129" s="1"/>
      <c r="ZR129" s="1"/>
      <c r="ZS129" s="1"/>
      <c r="ZT129" s="1"/>
      <c r="ZU129" s="1"/>
      <c r="ZV129" s="1"/>
      <c r="ZW129" s="1"/>
      <c r="ZX129" s="1"/>
      <c r="ZY129" s="1"/>
      <c r="ZZ129" s="1"/>
      <c r="AAA129" s="1"/>
      <c r="AAB129" s="1"/>
      <c r="AAC129" s="1"/>
      <c r="AAD129" s="1"/>
      <c r="AAE129" s="1"/>
      <c r="AAF129" s="1"/>
      <c r="AAG129" s="1"/>
      <c r="AAH129" s="1"/>
      <c r="AAI129" s="1"/>
      <c r="AAJ129" s="1"/>
      <c r="AAK129" s="1"/>
      <c r="AAL129" s="1"/>
      <c r="AAM129" s="1"/>
      <c r="AAN129" s="1"/>
      <c r="AAO129" s="1"/>
      <c r="AAP129" s="1"/>
      <c r="AAQ129" s="1"/>
      <c r="AAR129" s="1"/>
      <c r="AAS129" s="1"/>
      <c r="AAT129" s="1"/>
      <c r="AAU129" s="1"/>
      <c r="AAV129" s="1"/>
      <c r="AAW129" s="1"/>
      <c r="AAX129" s="1"/>
      <c r="AAY129" s="1"/>
      <c r="AAZ129" s="1"/>
      <c r="ABA129" s="1"/>
      <c r="ABB129" s="1"/>
      <c r="ABC129" s="1"/>
      <c r="ABD129" s="1"/>
      <c r="ABE129" s="1"/>
      <c r="ABF129" s="1"/>
      <c r="ABG129" s="1"/>
      <c r="ABH129" s="1"/>
      <c r="ABI129" s="1"/>
      <c r="ABJ129" s="1"/>
      <c r="ABK129" s="1"/>
      <c r="ABL129" s="1"/>
      <c r="ABM129" s="1"/>
      <c r="ABN129" s="1"/>
      <c r="ABO129" s="1"/>
      <c r="ABP129" s="1"/>
      <c r="ABQ129" s="1"/>
      <c r="ABR129" s="1"/>
      <c r="ABS129" s="1"/>
      <c r="ABT129" s="1"/>
      <c r="ABU129" s="1"/>
      <c r="ABV129" s="1"/>
      <c r="ABW129" s="1"/>
      <c r="ABX129" s="1"/>
      <c r="ABY129" s="1"/>
      <c r="ABZ129" s="1"/>
      <c r="ACA129" s="1"/>
      <c r="ACB129" s="1"/>
      <c r="ACC129" s="1"/>
      <c r="ACD129" s="1"/>
      <c r="ACE129" s="1"/>
      <c r="ACF129" s="1"/>
      <c r="ACG129" s="1"/>
      <c r="ACH129" s="1"/>
      <c r="ACI129" s="1"/>
      <c r="ACJ129" s="1"/>
      <c r="ACK129" s="1"/>
      <c r="ACL129" s="1"/>
      <c r="ACM129" s="1"/>
      <c r="ACN129" s="1"/>
      <c r="ACO129" s="1"/>
      <c r="ACP129" s="1"/>
      <c r="ACQ129" s="1"/>
      <c r="ACR129" s="1"/>
      <c r="ACS129" s="1"/>
      <c r="ACT129" s="1"/>
      <c r="ACU129" s="1"/>
      <c r="ACV129" s="1"/>
      <c r="ACW129" s="1"/>
      <c r="ACX129" s="1"/>
      <c r="ACY129" s="1"/>
      <c r="ACZ129" s="1"/>
      <c r="ADA129" s="1"/>
      <c r="ADB129" s="1"/>
      <c r="ADC129" s="1"/>
      <c r="ADD129" s="1"/>
      <c r="ADE129" s="1"/>
      <c r="ADF129" s="1"/>
      <c r="ADG129" s="1"/>
      <c r="ADH129" s="1"/>
      <c r="ADI129" s="1"/>
      <c r="ADJ129" s="1"/>
      <c r="ADK129" s="1"/>
      <c r="ADL129" s="1"/>
      <c r="ADM129" s="1"/>
      <c r="ADN129" s="1"/>
      <c r="ADO129" s="1"/>
      <c r="ADP129" s="1"/>
      <c r="ADQ129" s="1"/>
      <c r="ADR129" s="1"/>
      <c r="ADS129" s="1"/>
      <c r="ADT129" s="1"/>
      <c r="ADU129" s="1"/>
      <c r="ADV129" s="1"/>
      <c r="ADW129" s="1"/>
      <c r="ADX129" s="1"/>
      <c r="ADY129" s="1"/>
      <c r="ADZ129" s="1"/>
      <c r="AEA129" s="1"/>
      <c r="AEB129" s="1"/>
      <c r="AEC129" s="1"/>
      <c r="AED129" s="1"/>
      <c r="AEE129" s="1"/>
      <c r="AEF129" s="1"/>
      <c r="AEG129" s="1"/>
      <c r="AEH129" s="1"/>
      <c r="AEI129" s="1"/>
      <c r="AEJ129" s="1"/>
      <c r="AEK129" s="1"/>
      <c r="AEL129" s="1"/>
      <c r="AEM129" s="1"/>
      <c r="AEN129" s="1"/>
      <c r="AEO129" s="1"/>
      <c r="AEP129" s="1"/>
      <c r="AEQ129" s="1"/>
      <c r="AER129" s="1"/>
      <c r="AES129" s="1"/>
      <c r="AET129" s="1"/>
      <c r="AEU129" s="1"/>
      <c r="AEV129" s="1"/>
      <c r="AEW129" s="1"/>
      <c r="AEX129" s="1"/>
      <c r="AEY129" s="1"/>
      <c r="AEZ129" s="1"/>
      <c r="AFA129" s="1"/>
      <c r="AFB129" s="1"/>
      <c r="AFC129" s="1"/>
      <c r="AFD129" s="1"/>
      <c r="AFE129" s="1"/>
      <c r="AFF129" s="1"/>
      <c r="AFG129" s="1"/>
      <c r="AFH129" s="1"/>
      <c r="AFI129" s="1"/>
      <c r="AFJ129" s="1"/>
      <c r="AFK129" s="1"/>
      <c r="AFL129" s="1"/>
      <c r="AFM129" s="1"/>
      <c r="AFN129" s="1"/>
      <c r="AFO129" s="1"/>
      <c r="AFP129" s="1"/>
      <c r="AFQ129" s="1"/>
      <c r="AFR129" s="1"/>
      <c r="AFS129" s="1"/>
      <c r="AFT129" s="1"/>
      <c r="AFU129" s="1"/>
      <c r="AFV129" s="1"/>
      <c r="AFW129" s="1"/>
      <c r="AFX129" s="1"/>
      <c r="AFY129" s="1"/>
      <c r="AFZ129" s="1"/>
      <c r="AGA129" s="1"/>
      <c r="AGB129" s="1"/>
      <c r="AGC129" s="1"/>
      <c r="AGD129" s="1"/>
      <c r="AGE129" s="1"/>
      <c r="AGF129" s="1"/>
      <c r="AGG129" s="1"/>
      <c r="AGH129" s="1"/>
      <c r="AGI129" s="1"/>
      <c r="AGJ129" s="1"/>
      <c r="AGK129" s="1"/>
      <c r="AGL129" s="1"/>
      <c r="AGM129" s="1"/>
      <c r="AGN129" s="1"/>
      <c r="AGO129" s="1"/>
      <c r="AGP129" s="1"/>
      <c r="AGQ129" s="1"/>
      <c r="AGR129" s="1"/>
      <c r="AGS129" s="1"/>
      <c r="AGT129" s="1"/>
      <c r="AGU129" s="1"/>
      <c r="AGV129" s="1"/>
      <c r="AGW129" s="1"/>
      <c r="AGX129" s="1"/>
      <c r="AGY129" s="1"/>
      <c r="AGZ129" s="1"/>
      <c r="AHA129" s="1"/>
      <c r="AHB129" s="1"/>
      <c r="AHC129" s="1"/>
      <c r="AHD129" s="1"/>
      <c r="AHE129" s="1"/>
      <c r="AHF129" s="1"/>
      <c r="AHG129" s="1"/>
      <c r="AHH129" s="1"/>
      <c r="AHI129" s="1"/>
      <c r="AHJ129" s="1"/>
      <c r="AHK129" s="1"/>
      <c r="AHL129" s="1"/>
      <c r="AHM129" s="1"/>
      <c r="AHN129" s="1"/>
      <c r="AHO129" s="1"/>
      <c r="AHP129" s="1"/>
      <c r="AHQ129" s="1"/>
      <c r="AHR129" s="1"/>
      <c r="AHS129" s="1"/>
      <c r="AHT129" s="1"/>
      <c r="AHU129" s="1"/>
      <c r="AHV129" s="1"/>
      <c r="AHW129" s="1"/>
      <c r="AHX129" s="1"/>
      <c r="AHY129" s="1"/>
      <c r="AHZ129" s="1"/>
      <c r="AIA129" s="1"/>
      <c r="AIB129" s="1"/>
      <c r="AIC129" s="1"/>
      <c r="AID129" s="1"/>
      <c r="AIE129" s="1"/>
      <c r="AIF129" s="1"/>
      <c r="AIG129" s="1"/>
      <c r="AIH129" s="1"/>
      <c r="AII129" s="1"/>
      <c r="AIJ129" s="1"/>
      <c r="AIK129" s="1"/>
      <c r="AIL129" s="1"/>
      <c r="AIM129" s="1"/>
      <c r="AIN129" s="1"/>
      <c r="AIO129" s="1"/>
      <c r="AIP129" s="1"/>
      <c r="AIQ129" s="1"/>
      <c r="AIR129" s="1"/>
      <c r="AIS129" s="1"/>
      <c r="AIT129" s="1"/>
      <c r="AIU129" s="1"/>
      <c r="AIV129" s="1"/>
      <c r="AIW129" s="1"/>
      <c r="AIX129" s="1"/>
      <c r="AIY129" s="1"/>
      <c r="AIZ129" s="1"/>
      <c r="AJA129" s="1"/>
      <c r="AJB129" s="1"/>
      <c r="AJC129" s="1"/>
      <c r="AJD129" s="1"/>
      <c r="AJE129" s="1"/>
      <c r="AJF129" s="1"/>
      <c r="AJG129" s="1"/>
      <c r="AJH129" s="1"/>
      <c r="AJI129" s="1"/>
      <c r="AJJ129" s="1"/>
      <c r="AJK129" s="1"/>
      <c r="AJL129" s="1"/>
      <c r="AJM129" s="1"/>
      <c r="AJN129" s="1"/>
      <c r="AJO129" s="1"/>
      <c r="AJP129" s="1"/>
      <c r="AJQ129" s="1"/>
      <c r="AJR129" s="1"/>
      <c r="AJS129" s="1"/>
      <c r="AJT129" s="1"/>
      <c r="AJU129" s="1"/>
      <c r="AJV129" s="1"/>
      <c r="AJW129" s="1"/>
      <c r="AJX129" s="1"/>
      <c r="AJY129" s="1"/>
      <c r="AJZ129" s="1"/>
      <c r="AKA129" s="1"/>
      <c r="AKB129" s="1"/>
      <c r="AKC129" s="1"/>
      <c r="AKD129" s="1"/>
      <c r="AKE129" s="1"/>
      <c r="AKF129" s="1"/>
      <c r="AKG129" s="1"/>
      <c r="AKH129" s="1"/>
      <c r="AKI129" s="1"/>
      <c r="AKJ129" s="1"/>
      <c r="AKK129" s="1"/>
      <c r="AKL129" s="1"/>
      <c r="AKM129" s="1"/>
      <c r="AKN129" s="1"/>
      <c r="AKO129" s="1"/>
      <c r="AKP129" s="1"/>
      <c r="AKQ129" s="1"/>
      <c r="AKR129" s="1"/>
      <c r="AKS129" s="1"/>
      <c r="AKT129" s="1"/>
      <c r="AKU129" s="1"/>
      <c r="AKV129" s="1"/>
      <c r="AKW129" s="1"/>
      <c r="AKX129" s="1"/>
      <c r="AKY129" s="1"/>
      <c r="AKZ129" s="1"/>
      <c r="ALA129" s="1"/>
      <c r="ALB129" s="1"/>
      <c r="ALC129" s="1"/>
      <c r="ALD129" s="1"/>
      <c r="ALE129" s="1"/>
      <c r="ALF129" s="1"/>
      <c r="ALG129" s="1"/>
      <c r="ALH129" s="1"/>
      <c r="ALI129" s="1"/>
      <c r="ALJ129" s="1"/>
      <c r="ALK129" s="1"/>
      <c r="ALL129" s="1"/>
      <c r="ALM129" s="1"/>
      <c r="ALN129" s="1"/>
      <c r="ALO129" s="1"/>
      <c r="ALP129" s="1"/>
      <c r="ALQ129" s="1"/>
      <c r="ALR129" s="1"/>
      <c r="ALS129" s="1"/>
      <c r="ALT129" s="1"/>
      <c r="ALU129" s="1"/>
      <c r="ALV129" s="1"/>
      <c r="ALW129" s="1"/>
      <c r="ALX129" s="1"/>
      <c r="ALY129" s="1"/>
      <c r="ALZ129" s="1"/>
      <c r="AMA129" s="1"/>
      <c r="AMB129" s="1"/>
      <c r="AMC129" s="1"/>
      <c r="AMD129" s="1"/>
      <c r="AME129" s="1"/>
      <c r="AMF129" s="1"/>
      <c r="AMG129" s="1"/>
      <c r="AMH129" s="1"/>
      <c r="AMI129" s="1"/>
      <c r="AMJ129" s="1"/>
    </row>
    <row r="130" customFormat="false" ht="10.5" hidden="false" customHeight="true" outlineLevel="0" collapsed="false">
      <c r="A130" s="45"/>
      <c r="B130" s="46"/>
      <c r="C130" s="46"/>
      <c r="D130" s="46"/>
      <c r="E130" s="46"/>
      <c r="F130" s="46"/>
      <c r="G130" s="46"/>
      <c r="H130" s="46"/>
      <c r="I130" s="46"/>
      <c r="J130" s="46"/>
      <c r="K130" s="46"/>
      <c r="L130" s="46"/>
      <c r="M130" s="128"/>
      <c r="N130" s="128"/>
      <c r="O130" s="128"/>
      <c r="P130" s="128"/>
      <c r="Q130" s="128"/>
      <c r="R130" s="128"/>
      <c r="S130" s="179"/>
      <c r="T130" s="128"/>
      <c r="U130" s="128"/>
      <c r="V130" s="128"/>
      <c r="W130" s="46"/>
      <c r="X130" s="46"/>
      <c r="Y130" s="46"/>
      <c r="Z130" s="46"/>
      <c r="AA130" s="46"/>
      <c r="AB130" s="46"/>
      <c r="AC130" s="46"/>
      <c r="AD130" s="46"/>
      <c r="AE130" s="46"/>
      <c r="AF130" s="46"/>
      <c r="AG130" s="46"/>
      <c r="AH130" s="46"/>
      <c r="AI130" s="46"/>
      <c r="AJ130" s="46"/>
      <c r="AK130" s="46"/>
      <c r="AL130" s="46"/>
      <c r="AM130" s="46"/>
      <c r="AN130" s="46"/>
      <c r="AO130" s="47"/>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c r="IY130" s="1"/>
      <c r="IZ130" s="1"/>
      <c r="JA130" s="1"/>
      <c r="JB130" s="1"/>
      <c r="JC130" s="1"/>
      <c r="JD130" s="1"/>
      <c r="JE130" s="1"/>
      <c r="JF130" s="1"/>
      <c r="JG130" s="1"/>
      <c r="JH130" s="1"/>
      <c r="JI130" s="1"/>
      <c r="JJ130" s="1"/>
      <c r="JK130" s="1"/>
      <c r="JL130" s="1"/>
      <c r="JM130" s="1"/>
      <c r="JN130" s="1"/>
      <c r="JO130" s="1"/>
      <c r="JP130" s="1"/>
      <c r="JQ130" s="1"/>
      <c r="JR130" s="1"/>
      <c r="JS130" s="1"/>
      <c r="JT130" s="1"/>
      <c r="JU130" s="1"/>
      <c r="JV130" s="1"/>
      <c r="JW130" s="1"/>
      <c r="JX130" s="1"/>
      <c r="JY130" s="1"/>
      <c r="JZ130" s="1"/>
      <c r="KA130" s="1"/>
      <c r="KB130" s="1"/>
      <c r="KC130" s="1"/>
      <c r="KD130" s="1"/>
      <c r="KE130" s="1"/>
      <c r="KF130" s="1"/>
      <c r="KG130" s="1"/>
      <c r="KH130" s="1"/>
      <c r="KI130" s="1"/>
      <c r="KJ130" s="1"/>
      <c r="KK130" s="1"/>
      <c r="KL130" s="1"/>
      <c r="KM130" s="1"/>
      <c r="KN130" s="1"/>
      <c r="KO130" s="1"/>
      <c r="KP130" s="1"/>
      <c r="KQ130" s="1"/>
      <c r="KR130" s="1"/>
      <c r="KS130" s="1"/>
      <c r="KT130" s="1"/>
      <c r="KU130" s="1"/>
      <c r="KV130" s="1"/>
      <c r="KW130" s="1"/>
      <c r="KX130" s="1"/>
      <c r="KY130" s="1"/>
      <c r="KZ130" s="1"/>
      <c r="LA130" s="1"/>
      <c r="LB130" s="1"/>
      <c r="LC130" s="1"/>
      <c r="LD130" s="1"/>
      <c r="LE130" s="1"/>
      <c r="LF130" s="1"/>
      <c r="LG130" s="1"/>
      <c r="LH130" s="1"/>
      <c r="LI130" s="1"/>
      <c r="LJ130" s="1"/>
      <c r="LK130" s="1"/>
      <c r="LL130" s="1"/>
      <c r="LM130" s="1"/>
      <c r="LN130" s="1"/>
      <c r="LO130" s="1"/>
      <c r="LP130" s="1"/>
      <c r="LQ130" s="1"/>
      <c r="LR130" s="1"/>
      <c r="LS130" s="1"/>
      <c r="LT130" s="1"/>
      <c r="LU130" s="1"/>
      <c r="LV130" s="1"/>
      <c r="LW130" s="1"/>
      <c r="LX130" s="1"/>
      <c r="LY130" s="1"/>
      <c r="LZ130" s="1"/>
      <c r="MA130" s="1"/>
      <c r="MB130" s="1"/>
      <c r="MC130" s="1"/>
      <c r="MD130" s="1"/>
      <c r="ME130" s="1"/>
      <c r="MF130" s="1"/>
      <c r="MG130" s="1"/>
      <c r="MH130" s="1"/>
      <c r="MI130" s="1"/>
      <c r="MJ130" s="1"/>
      <c r="MK130" s="1"/>
      <c r="ML130" s="1"/>
      <c r="MM130" s="1"/>
      <c r="MN130" s="1"/>
      <c r="MO130" s="1"/>
      <c r="MP130" s="1"/>
      <c r="MQ130" s="1"/>
      <c r="MR130" s="1"/>
      <c r="MS130" s="1"/>
      <c r="MT130" s="1"/>
      <c r="MU130" s="1"/>
      <c r="MV130" s="1"/>
      <c r="MW130" s="1"/>
      <c r="MX130" s="1"/>
      <c r="MY130" s="1"/>
      <c r="MZ130" s="1"/>
      <c r="NA130" s="1"/>
      <c r="NB130" s="1"/>
      <c r="NC130" s="1"/>
      <c r="ND130" s="1"/>
      <c r="NE130" s="1"/>
      <c r="NF130" s="1"/>
      <c r="NG130" s="1"/>
      <c r="NH130" s="1"/>
      <c r="NI130" s="1"/>
      <c r="NJ130" s="1"/>
      <c r="NK130" s="1"/>
      <c r="NL130" s="1"/>
      <c r="NM130" s="1"/>
      <c r="NN130" s="1"/>
      <c r="NO130" s="1"/>
      <c r="NP130" s="1"/>
      <c r="NQ130" s="1"/>
      <c r="NR130" s="1"/>
      <c r="NS130" s="1"/>
      <c r="NT130" s="1"/>
      <c r="NU130" s="1"/>
      <c r="NV130" s="1"/>
      <c r="NW130" s="1"/>
      <c r="NX130" s="1"/>
      <c r="NY130" s="1"/>
      <c r="NZ130" s="1"/>
      <c r="OA130" s="1"/>
      <c r="OB130" s="1"/>
      <c r="OC130" s="1"/>
      <c r="OD130" s="1"/>
      <c r="OE130" s="1"/>
      <c r="OF130" s="1"/>
      <c r="OG130" s="1"/>
      <c r="OH130" s="1"/>
      <c r="OI130" s="1"/>
      <c r="OJ130" s="1"/>
      <c r="OK130" s="1"/>
      <c r="OL130" s="1"/>
      <c r="OM130" s="1"/>
      <c r="ON130" s="1"/>
      <c r="OO130" s="1"/>
      <c r="OP130" s="1"/>
      <c r="OQ130" s="1"/>
      <c r="OR130" s="1"/>
      <c r="OS130" s="1"/>
      <c r="OT130" s="1"/>
      <c r="OU130" s="1"/>
      <c r="OV130" s="1"/>
      <c r="OW130" s="1"/>
      <c r="OX130" s="1"/>
      <c r="OY130" s="1"/>
      <c r="OZ130" s="1"/>
      <c r="PA130" s="1"/>
      <c r="PB130" s="1"/>
      <c r="PC130" s="1"/>
      <c r="PD130" s="1"/>
      <c r="PE130" s="1"/>
      <c r="PF130" s="1"/>
      <c r="PG130" s="1"/>
      <c r="PH130" s="1"/>
      <c r="PI130" s="1"/>
      <c r="PJ130" s="1"/>
      <c r="PK130" s="1"/>
      <c r="PL130" s="1"/>
      <c r="PM130" s="1"/>
      <c r="PN130" s="1"/>
      <c r="PO130" s="1"/>
      <c r="PP130" s="1"/>
      <c r="PQ130" s="1"/>
      <c r="PR130" s="1"/>
      <c r="PS130" s="1"/>
      <c r="PT130" s="1"/>
      <c r="PU130" s="1"/>
      <c r="PV130" s="1"/>
      <c r="PW130" s="1"/>
      <c r="PX130" s="1"/>
      <c r="PY130" s="1"/>
      <c r="PZ130" s="1"/>
      <c r="QA130" s="1"/>
      <c r="QB130" s="1"/>
      <c r="QC130" s="1"/>
      <c r="QD130" s="1"/>
      <c r="QE130" s="1"/>
      <c r="QF130" s="1"/>
      <c r="QG130" s="1"/>
      <c r="QH130" s="1"/>
      <c r="QI130" s="1"/>
      <c r="QJ130" s="1"/>
      <c r="QK130" s="1"/>
      <c r="QL130" s="1"/>
      <c r="QM130" s="1"/>
      <c r="QN130" s="1"/>
      <c r="QO130" s="1"/>
      <c r="QP130" s="1"/>
      <c r="QQ130" s="1"/>
      <c r="QR130" s="1"/>
      <c r="QS130" s="1"/>
      <c r="QT130" s="1"/>
      <c r="QU130" s="1"/>
      <c r="QV130" s="1"/>
      <c r="QW130" s="1"/>
      <c r="QX130" s="1"/>
      <c r="QY130" s="1"/>
      <c r="QZ130" s="1"/>
      <c r="RA130" s="1"/>
      <c r="RB130" s="1"/>
      <c r="RC130" s="1"/>
      <c r="RD130" s="1"/>
      <c r="RE130" s="1"/>
      <c r="RF130" s="1"/>
      <c r="RG130" s="1"/>
      <c r="RH130" s="1"/>
      <c r="RI130" s="1"/>
      <c r="RJ130" s="1"/>
      <c r="RK130" s="1"/>
      <c r="RL130" s="1"/>
      <c r="RM130" s="1"/>
      <c r="RN130" s="1"/>
      <c r="RO130" s="1"/>
      <c r="RP130" s="1"/>
      <c r="RQ130" s="1"/>
      <c r="RR130" s="1"/>
      <c r="RS130" s="1"/>
      <c r="RT130" s="1"/>
      <c r="RU130" s="1"/>
      <c r="RV130" s="1"/>
      <c r="RW130" s="1"/>
      <c r="RX130" s="1"/>
      <c r="RY130" s="1"/>
      <c r="RZ130" s="1"/>
      <c r="SA130" s="1"/>
      <c r="SB130" s="1"/>
      <c r="SC130" s="1"/>
      <c r="SD130" s="1"/>
      <c r="SE130" s="1"/>
      <c r="SF130" s="1"/>
      <c r="SG130" s="1"/>
      <c r="SH130" s="1"/>
      <c r="SI130" s="1"/>
      <c r="SJ130" s="1"/>
      <c r="SK130" s="1"/>
      <c r="SL130" s="1"/>
      <c r="SM130" s="1"/>
      <c r="SN130" s="1"/>
      <c r="SO130" s="1"/>
      <c r="SP130" s="1"/>
      <c r="SQ130" s="1"/>
      <c r="SR130" s="1"/>
      <c r="SS130" s="1"/>
      <c r="ST130" s="1"/>
      <c r="SU130" s="1"/>
      <c r="SV130" s="1"/>
      <c r="SW130" s="1"/>
      <c r="SX130" s="1"/>
      <c r="SY130" s="1"/>
      <c r="SZ130" s="1"/>
      <c r="TA130" s="1"/>
      <c r="TB130" s="1"/>
      <c r="TC130" s="1"/>
      <c r="TD130" s="1"/>
      <c r="TE130" s="1"/>
      <c r="TF130" s="1"/>
      <c r="TG130" s="1"/>
      <c r="TH130" s="1"/>
      <c r="TI130" s="1"/>
      <c r="TJ130" s="1"/>
      <c r="TK130" s="1"/>
      <c r="TL130" s="1"/>
      <c r="TM130" s="1"/>
      <c r="TN130" s="1"/>
      <c r="TO130" s="1"/>
      <c r="TP130" s="1"/>
      <c r="TQ130" s="1"/>
      <c r="TR130" s="1"/>
      <c r="TS130" s="1"/>
      <c r="TT130" s="1"/>
      <c r="TU130" s="1"/>
      <c r="TV130" s="1"/>
      <c r="TW130" s="1"/>
      <c r="TX130" s="1"/>
      <c r="TY130" s="1"/>
      <c r="TZ130" s="1"/>
      <c r="UA130" s="1"/>
      <c r="UB130" s="1"/>
      <c r="UC130" s="1"/>
      <c r="UD130" s="1"/>
      <c r="UE130" s="1"/>
      <c r="UF130" s="1"/>
      <c r="UG130" s="1"/>
      <c r="UH130" s="1"/>
      <c r="UI130" s="1"/>
      <c r="UJ130" s="1"/>
      <c r="UK130" s="1"/>
      <c r="UL130" s="1"/>
      <c r="UM130" s="1"/>
      <c r="UN130" s="1"/>
      <c r="UO130" s="1"/>
      <c r="UP130" s="1"/>
      <c r="UQ130" s="1"/>
      <c r="UR130" s="1"/>
      <c r="US130" s="1"/>
      <c r="UT130" s="1"/>
      <c r="UU130" s="1"/>
      <c r="UV130" s="1"/>
      <c r="UW130" s="1"/>
      <c r="UX130" s="1"/>
      <c r="UY130" s="1"/>
      <c r="UZ130" s="1"/>
      <c r="VA130" s="1"/>
      <c r="VB130" s="1"/>
      <c r="VC130" s="1"/>
      <c r="VD130" s="1"/>
      <c r="VE130" s="1"/>
      <c r="VF130" s="1"/>
      <c r="VG130" s="1"/>
      <c r="VH130" s="1"/>
      <c r="VI130" s="1"/>
      <c r="VJ130" s="1"/>
      <c r="VK130" s="1"/>
      <c r="VL130" s="1"/>
      <c r="VM130" s="1"/>
      <c r="VN130" s="1"/>
      <c r="VO130" s="1"/>
      <c r="VP130" s="1"/>
      <c r="VQ130" s="1"/>
      <c r="VR130" s="1"/>
      <c r="VS130" s="1"/>
      <c r="VT130" s="1"/>
      <c r="VU130" s="1"/>
      <c r="VV130" s="1"/>
      <c r="VW130" s="1"/>
      <c r="VX130" s="1"/>
      <c r="VY130" s="1"/>
      <c r="VZ130" s="1"/>
      <c r="WA130" s="1"/>
      <c r="WB130" s="1"/>
      <c r="WC130" s="1"/>
      <c r="WD130" s="1"/>
      <c r="WE130" s="1"/>
      <c r="WF130" s="1"/>
      <c r="WG130" s="1"/>
      <c r="WH130" s="1"/>
      <c r="WI130" s="1"/>
      <c r="WJ130" s="1"/>
      <c r="WK130" s="1"/>
      <c r="WL130" s="1"/>
      <c r="WM130" s="1"/>
      <c r="WN130" s="1"/>
      <c r="WO130" s="1"/>
      <c r="WP130" s="1"/>
      <c r="WQ130" s="1"/>
      <c r="WR130" s="1"/>
      <c r="WS130" s="1"/>
      <c r="WT130" s="1"/>
      <c r="WU130" s="1"/>
      <c r="WV130" s="1"/>
      <c r="WW130" s="1"/>
      <c r="WX130" s="1"/>
      <c r="WY130" s="1"/>
      <c r="WZ130" s="1"/>
      <c r="XA130" s="1"/>
      <c r="XB130" s="1"/>
      <c r="XC130" s="1"/>
      <c r="XD130" s="1"/>
      <c r="XE130" s="1"/>
      <c r="XF130" s="1"/>
      <c r="XG130" s="1"/>
      <c r="XH130" s="1"/>
      <c r="XI130" s="1"/>
      <c r="XJ130" s="1"/>
      <c r="XK130" s="1"/>
      <c r="XL130" s="1"/>
      <c r="XM130" s="1"/>
      <c r="XN130" s="1"/>
      <c r="XO130" s="1"/>
      <c r="XP130" s="1"/>
      <c r="XQ130" s="1"/>
      <c r="XR130" s="1"/>
      <c r="XS130" s="1"/>
      <c r="XT130" s="1"/>
      <c r="XU130" s="1"/>
      <c r="XV130" s="1"/>
      <c r="XW130" s="1"/>
      <c r="XX130" s="1"/>
      <c r="XY130" s="1"/>
      <c r="XZ130" s="1"/>
      <c r="YA130" s="1"/>
      <c r="YB130" s="1"/>
      <c r="YC130" s="1"/>
      <c r="YD130" s="1"/>
      <c r="YE130" s="1"/>
      <c r="YF130" s="1"/>
      <c r="YG130" s="1"/>
      <c r="YH130" s="1"/>
      <c r="YI130" s="1"/>
      <c r="YJ130" s="1"/>
      <c r="YK130" s="1"/>
      <c r="YL130" s="1"/>
      <c r="YM130" s="1"/>
      <c r="YN130" s="1"/>
      <c r="YO130" s="1"/>
      <c r="YP130" s="1"/>
      <c r="YQ130" s="1"/>
      <c r="YR130" s="1"/>
      <c r="YS130" s="1"/>
      <c r="YT130" s="1"/>
      <c r="YU130" s="1"/>
      <c r="YV130" s="1"/>
      <c r="YW130" s="1"/>
      <c r="YX130" s="1"/>
      <c r="YY130" s="1"/>
      <c r="YZ130" s="1"/>
      <c r="ZA130" s="1"/>
      <c r="ZB130" s="1"/>
      <c r="ZC130" s="1"/>
      <c r="ZD130" s="1"/>
      <c r="ZE130" s="1"/>
      <c r="ZF130" s="1"/>
      <c r="ZG130" s="1"/>
      <c r="ZH130" s="1"/>
      <c r="ZI130" s="1"/>
      <c r="ZJ130" s="1"/>
      <c r="ZK130" s="1"/>
      <c r="ZL130" s="1"/>
      <c r="ZM130" s="1"/>
      <c r="ZN130" s="1"/>
      <c r="ZO130" s="1"/>
      <c r="ZP130" s="1"/>
      <c r="ZQ130" s="1"/>
      <c r="ZR130" s="1"/>
      <c r="ZS130" s="1"/>
      <c r="ZT130" s="1"/>
      <c r="ZU130" s="1"/>
      <c r="ZV130" s="1"/>
      <c r="ZW130" s="1"/>
      <c r="ZX130" s="1"/>
      <c r="ZY130" s="1"/>
      <c r="ZZ130" s="1"/>
      <c r="AAA130" s="1"/>
      <c r="AAB130" s="1"/>
      <c r="AAC130" s="1"/>
      <c r="AAD130" s="1"/>
      <c r="AAE130" s="1"/>
      <c r="AAF130" s="1"/>
      <c r="AAG130" s="1"/>
      <c r="AAH130" s="1"/>
      <c r="AAI130" s="1"/>
      <c r="AAJ130" s="1"/>
      <c r="AAK130" s="1"/>
      <c r="AAL130" s="1"/>
      <c r="AAM130" s="1"/>
      <c r="AAN130" s="1"/>
      <c r="AAO130" s="1"/>
      <c r="AAP130" s="1"/>
      <c r="AAQ130" s="1"/>
      <c r="AAR130" s="1"/>
      <c r="AAS130" s="1"/>
      <c r="AAT130" s="1"/>
      <c r="AAU130" s="1"/>
      <c r="AAV130" s="1"/>
      <c r="AAW130" s="1"/>
      <c r="AAX130" s="1"/>
      <c r="AAY130" s="1"/>
      <c r="AAZ130" s="1"/>
      <c r="ABA130" s="1"/>
      <c r="ABB130" s="1"/>
      <c r="ABC130" s="1"/>
      <c r="ABD130" s="1"/>
      <c r="ABE130" s="1"/>
      <c r="ABF130" s="1"/>
      <c r="ABG130" s="1"/>
      <c r="ABH130" s="1"/>
      <c r="ABI130" s="1"/>
      <c r="ABJ130" s="1"/>
      <c r="ABK130" s="1"/>
      <c r="ABL130" s="1"/>
      <c r="ABM130" s="1"/>
      <c r="ABN130" s="1"/>
      <c r="ABO130" s="1"/>
      <c r="ABP130" s="1"/>
      <c r="ABQ130" s="1"/>
      <c r="ABR130" s="1"/>
      <c r="ABS130" s="1"/>
      <c r="ABT130" s="1"/>
      <c r="ABU130" s="1"/>
      <c r="ABV130" s="1"/>
      <c r="ABW130" s="1"/>
      <c r="ABX130" s="1"/>
      <c r="ABY130" s="1"/>
      <c r="ABZ130" s="1"/>
      <c r="ACA130" s="1"/>
      <c r="ACB130" s="1"/>
      <c r="ACC130" s="1"/>
      <c r="ACD130" s="1"/>
      <c r="ACE130" s="1"/>
      <c r="ACF130" s="1"/>
      <c r="ACG130" s="1"/>
      <c r="ACH130" s="1"/>
      <c r="ACI130" s="1"/>
      <c r="ACJ130" s="1"/>
      <c r="ACK130" s="1"/>
      <c r="ACL130" s="1"/>
      <c r="ACM130" s="1"/>
      <c r="ACN130" s="1"/>
      <c r="ACO130" s="1"/>
      <c r="ACP130" s="1"/>
      <c r="ACQ130" s="1"/>
      <c r="ACR130" s="1"/>
      <c r="ACS130" s="1"/>
      <c r="ACT130" s="1"/>
      <c r="ACU130" s="1"/>
      <c r="ACV130" s="1"/>
      <c r="ACW130" s="1"/>
      <c r="ACX130" s="1"/>
      <c r="ACY130" s="1"/>
      <c r="ACZ130" s="1"/>
      <c r="ADA130" s="1"/>
      <c r="ADB130" s="1"/>
      <c r="ADC130" s="1"/>
      <c r="ADD130" s="1"/>
      <c r="ADE130" s="1"/>
      <c r="ADF130" s="1"/>
      <c r="ADG130" s="1"/>
      <c r="ADH130" s="1"/>
      <c r="ADI130" s="1"/>
      <c r="ADJ130" s="1"/>
      <c r="ADK130" s="1"/>
      <c r="ADL130" s="1"/>
      <c r="ADM130" s="1"/>
      <c r="ADN130" s="1"/>
      <c r="ADO130" s="1"/>
      <c r="ADP130" s="1"/>
      <c r="ADQ130" s="1"/>
      <c r="ADR130" s="1"/>
      <c r="ADS130" s="1"/>
      <c r="ADT130" s="1"/>
      <c r="ADU130" s="1"/>
      <c r="ADV130" s="1"/>
      <c r="ADW130" s="1"/>
      <c r="ADX130" s="1"/>
      <c r="ADY130" s="1"/>
      <c r="ADZ130" s="1"/>
      <c r="AEA130" s="1"/>
      <c r="AEB130" s="1"/>
      <c r="AEC130" s="1"/>
      <c r="AED130" s="1"/>
      <c r="AEE130" s="1"/>
      <c r="AEF130" s="1"/>
      <c r="AEG130" s="1"/>
      <c r="AEH130" s="1"/>
      <c r="AEI130" s="1"/>
      <c r="AEJ130" s="1"/>
      <c r="AEK130" s="1"/>
      <c r="AEL130" s="1"/>
      <c r="AEM130" s="1"/>
      <c r="AEN130" s="1"/>
      <c r="AEO130" s="1"/>
      <c r="AEP130" s="1"/>
      <c r="AEQ130" s="1"/>
      <c r="AER130" s="1"/>
      <c r="AES130" s="1"/>
      <c r="AET130" s="1"/>
      <c r="AEU130" s="1"/>
      <c r="AEV130" s="1"/>
      <c r="AEW130" s="1"/>
      <c r="AEX130" s="1"/>
      <c r="AEY130" s="1"/>
      <c r="AEZ130" s="1"/>
      <c r="AFA130" s="1"/>
      <c r="AFB130" s="1"/>
      <c r="AFC130" s="1"/>
      <c r="AFD130" s="1"/>
      <c r="AFE130" s="1"/>
      <c r="AFF130" s="1"/>
      <c r="AFG130" s="1"/>
      <c r="AFH130" s="1"/>
      <c r="AFI130" s="1"/>
      <c r="AFJ130" s="1"/>
      <c r="AFK130" s="1"/>
      <c r="AFL130" s="1"/>
      <c r="AFM130" s="1"/>
      <c r="AFN130" s="1"/>
      <c r="AFO130" s="1"/>
      <c r="AFP130" s="1"/>
      <c r="AFQ130" s="1"/>
      <c r="AFR130" s="1"/>
      <c r="AFS130" s="1"/>
      <c r="AFT130" s="1"/>
      <c r="AFU130" s="1"/>
      <c r="AFV130" s="1"/>
      <c r="AFW130" s="1"/>
      <c r="AFX130" s="1"/>
      <c r="AFY130" s="1"/>
      <c r="AFZ130" s="1"/>
      <c r="AGA130" s="1"/>
      <c r="AGB130" s="1"/>
      <c r="AGC130" s="1"/>
      <c r="AGD130" s="1"/>
      <c r="AGE130" s="1"/>
      <c r="AGF130" s="1"/>
      <c r="AGG130" s="1"/>
      <c r="AGH130" s="1"/>
      <c r="AGI130" s="1"/>
      <c r="AGJ130" s="1"/>
      <c r="AGK130" s="1"/>
      <c r="AGL130" s="1"/>
      <c r="AGM130" s="1"/>
      <c r="AGN130" s="1"/>
      <c r="AGO130" s="1"/>
      <c r="AGP130" s="1"/>
      <c r="AGQ130" s="1"/>
      <c r="AGR130" s="1"/>
      <c r="AGS130" s="1"/>
      <c r="AGT130" s="1"/>
      <c r="AGU130" s="1"/>
      <c r="AGV130" s="1"/>
      <c r="AGW130" s="1"/>
      <c r="AGX130" s="1"/>
      <c r="AGY130" s="1"/>
      <c r="AGZ130" s="1"/>
      <c r="AHA130" s="1"/>
      <c r="AHB130" s="1"/>
      <c r="AHC130" s="1"/>
      <c r="AHD130" s="1"/>
      <c r="AHE130" s="1"/>
      <c r="AHF130" s="1"/>
      <c r="AHG130" s="1"/>
      <c r="AHH130" s="1"/>
      <c r="AHI130" s="1"/>
      <c r="AHJ130" s="1"/>
      <c r="AHK130" s="1"/>
      <c r="AHL130" s="1"/>
      <c r="AHM130" s="1"/>
      <c r="AHN130" s="1"/>
      <c r="AHO130" s="1"/>
      <c r="AHP130" s="1"/>
      <c r="AHQ130" s="1"/>
      <c r="AHR130" s="1"/>
      <c r="AHS130" s="1"/>
      <c r="AHT130" s="1"/>
      <c r="AHU130" s="1"/>
      <c r="AHV130" s="1"/>
      <c r="AHW130" s="1"/>
      <c r="AHX130" s="1"/>
      <c r="AHY130" s="1"/>
      <c r="AHZ130" s="1"/>
      <c r="AIA130" s="1"/>
      <c r="AIB130" s="1"/>
      <c r="AIC130" s="1"/>
      <c r="AID130" s="1"/>
      <c r="AIE130" s="1"/>
      <c r="AIF130" s="1"/>
      <c r="AIG130" s="1"/>
      <c r="AIH130" s="1"/>
      <c r="AII130" s="1"/>
      <c r="AIJ130" s="1"/>
      <c r="AIK130" s="1"/>
      <c r="AIL130" s="1"/>
      <c r="AIM130" s="1"/>
      <c r="AIN130" s="1"/>
      <c r="AIO130" s="1"/>
      <c r="AIP130" s="1"/>
      <c r="AIQ130" s="1"/>
      <c r="AIR130" s="1"/>
      <c r="AIS130" s="1"/>
      <c r="AIT130" s="1"/>
      <c r="AIU130" s="1"/>
      <c r="AIV130" s="1"/>
      <c r="AIW130" s="1"/>
      <c r="AIX130" s="1"/>
      <c r="AIY130" s="1"/>
      <c r="AIZ130" s="1"/>
      <c r="AJA130" s="1"/>
      <c r="AJB130" s="1"/>
      <c r="AJC130" s="1"/>
      <c r="AJD130" s="1"/>
      <c r="AJE130" s="1"/>
      <c r="AJF130" s="1"/>
      <c r="AJG130" s="1"/>
      <c r="AJH130" s="1"/>
      <c r="AJI130" s="1"/>
      <c r="AJJ130" s="1"/>
      <c r="AJK130" s="1"/>
      <c r="AJL130" s="1"/>
      <c r="AJM130" s="1"/>
      <c r="AJN130" s="1"/>
      <c r="AJO130" s="1"/>
      <c r="AJP130" s="1"/>
      <c r="AJQ130" s="1"/>
      <c r="AJR130" s="1"/>
      <c r="AJS130" s="1"/>
      <c r="AJT130" s="1"/>
      <c r="AJU130" s="1"/>
      <c r="AJV130" s="1"/>
      <c r="AJW130" s="1"/>
      <c r="AJX130" s="1"/>
      <c r="AJY130" s="1"/>
      <c r="AJZ130" s="1"/>
      <c r="AKA130" s="1"/>
      <c r="AKB130" s="1"/>
      <c r="AKC130" s="1"/>
      <c r="AKD130" s="1"/>
      <c r="AKE130" s="1"/>
      <c r="AKF130" s="1"/>
      <c r="AKG130" s="1"/>
      <c r="AKH130" s="1"/>
      <c r="AKI130" s="1"/>
      <c r="AKJ130" s="1"/>
      <c r="AKK130" s="1"/>
      <c r="AKL130" s="1"/>
      <c r="AKM130" s="1"/>
      <c r="AKN130" s="1"/>
      <c r="AKO130" s="1"/>
      <c r="AKP130" s="1"/>
      <c r="AKQ130" s="1"/>
      <c r="AKR130" s="1"/>
      <c r="AKS130" s="1"/>
      <c r="AKT130" s="1"/>
      <c r="AKU130" s="1"/>
      <c r="AKV130" s="1"/>
      <c r="AKW130" s="1"/>
      <c r="AKX130" s="1"/>
      <c r="AKY130" s="1"/>
      <c r="AKZ130" s="1"/>
      <c r="ALA130" s="1"/>
      <c r="ALB130" s="1"/>
      <c r="ALC130" s="1"/>
      <c r="ALD130" s="1"/>
      <c r="ALE130" s="1"/>
      <c r="ALF130" s="1"/>
      <c r="ALG130" s="1"/>
      <c r="ALH130" s="1"/>
      <c r="ALI130" s="1"/>
      <c r="ALJ130" s="1"/>
      <c r="ALK130" s="1"/>
      <c r="ALL130" s="1"/>
      <c r="ALM130" s="1"/>
      <c r="ALN130" s="1"/>
      <c r="ALO130" s="1"/>
      <c r="ALP130" s="1"/>
      <c r="ALQ130" s="1"/>
      <c r="ALR130" s="1"/>
      <c r="ALS130" s="1"/>
      <c r="ALT130" s="1"/>
      <c r="ALU130" s="1"/>
      <c r="ALV130" s="1"/>
      <c r="ALW130" s="1"/>
      <c r="ALX130" s="1"/>
      <c r="ALY130" s="1"/>
      <c r="ALZ130" s="1"/>
      <c r="AMA130" s="1"/>
      <c r="AMB130" s="1"/>
      <c r="AMC130" s="1"/>
      <c r="AMD130" s="1"/>
      <c r="AME130" s="1"/>
      <c r="AMF130" s="1"/>
      <c r="AMG130" s="1"/>
      <c r="AMH130" s="1"/>
      <c r="AMI130" s="1"/>
      <c r="AMJ130" s="1"/>
    </row>
    <row r="131" customFormat="false" ht="10.5" hidden="false" customHeight="true" outlineLevel="0" collapsed="false">
      <c r="A131" s="48" t="s">
        <v>254</v>
      </c>
      <c r="B131" s="48"/>
      <c r="C131" s="48"/>
      <c r="D131" s="48"/>
      <c r="E131" s="48"/>
      <c r="F131" s="48"/>
      <c r="G131" s="48"/>
      <c r="H131" s="48"/>
      <c r="I131" s="48"/>
      <c r="J131" s="48"/>
      <c r="K131" s="48"/>
      <c r="L131" s="48"/>
      <c r="M131" s="48"/>
      <c r="N131" s="48"/>
      <c r="O131" s="48"/>
      <c r="P131" s="48"/>
      <c r="Q131" s="48"/>
      <c r="R131" s="48"/>
      <c r="S131" s="48"/>
      <c r="T131" s="48"/>
      <c r="U131" s="48"/>
      <c r="V131" s="48"/>
      <c r="W131" s="48"/>
      <c r="X131" s="48"/>
      <c r="Y131" s="48"/>
      <c r="Z131" s="48"/>
      <c r="AA131" s="48"/>
      <c r="AB131" s="48"/>
      <c r="AC131" s="48"/>
      <c r="AD131" s="48"/>
      <c r="AE131" s="48"/>
      <c r="AF131" s="48"/>
      <c r="AG131" s="48"/>
      <c r="AH131" s="48"/>
      <c r="AI131" s="48"/>
      <c r="AJ131" s="48"/>
      <c r="AK131" s="48"/>
      <c r="AL131" s="48"/>
      <c r="AM131" s="48"/>
      <c r="AN131" s="48"/>
      <c r="AO131" s="48"/>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1"/>
      <c r="DJ131" s="1"/>
      <c r="DK131" s="1"/>
      <c r="DL131" s="1"/>
      <c r="DM131" s="1"/>
      <c r="DN131" s="1"/>
      <c r="DO131" s="1"/>
      <c r="DP131" s="1"/>
      <c r="DQ131" s="1"/>
      <c r="DR131" s="1"/>
      <c r="DS131" s="1"/>
      <c r="DT131" s="1"/>
      <c r="DU131" s="1"/>
      <c r="DV131" s="1"/>
      <c r="DW131" s="1"/>
      <c r="DX131" s="1"/>
      <c r="DY131" s="1"/>
      <c r="DZ131" s="1"/>
      <c r="EA131" s="1"/>
      <c r="EB131" s="1"/>
      <c r="EC131" s="1"/>
      <c r="ED131" s="1"/>
      <c r="EE131" s="1"/>
      <c r="EF131" s="1"/>
      <c r="EG131" s="1"/>
      <c r="EH131" s="1"/>
      <c r="EI131" s="1"/>
      <c r="EJ131" s="1"/>
      <c r="EK131" s="1"/>
      <c r="EL131" s="1"/>
      <c r="EM131" s="1"/>
      <c r="EN131" s="1"/>
      <c r="EO131" s="1"/>
      <c r="EP131" s="1"/>
      <c r="EQ131" s="1"/>
      <c r="ER131" s="1"/>
      <c r="ES131" s="1"/>
      <c r="ET131" s="1"/>
      <c r="EU131" s="1"/>
      <c r="EV131" s="1"/>
      <c r="EW131" s="1"/>
      <c r="EX131" s="1"/>
      <c r="EY131" s="1"/>
      <c r="EZ131" s="1"/>
      <c r="FA131" s="1"/>
      <c r="FB131" s="1"/>
      <c r="FC131" s="1"/>
      <c r="FD131" s="1"/>
      <c r="FE131" s="1"/>
      <c r="FF131" s="1"/>
      <c r="FG131" s="1"/>
      <c r="FH131" s="1"/>
      <c r="FI131" s="1"/>
      <c r="FJ131" s="1"/>
      <c r="FK131" s="1"/>
      <c r="FL131" s="1"/>
      <c r="FM131" s="1"/>
      <c r="FN131" s="1"/>
      <c r="FO131" s="1"/>
      <c r="FP131" s="1"/>
      <c r="FQ131" s="1"/>
      <c r="FR131" s="1"/>
      <c r="FS131" s="1"/>
      <c r="FT131" s="1"/>
      <c r="FU131" s="1"/>
      <c r="FV131" s="1"/>
      <c r="FW131" s="1"/>
      <c r="FX131" s="1"/>
      <c r="FY131" s="1"/>
      <c r="FZ131" s="1"/>
      <c r="GA131" s="1"/>
      <c r="GB131" s="1"/>
      <c r="GC131" s="1"/>
      <c r="GD131" s="1"/>
      <c r="GE131" s="1"/>
      <c r="GF131" s="1"/>
      <c r="GG131" s="1"/>
      <c r="GH131" s="1"/>
      <c r="GI131" s="1"/>
      <c r="GJ131" s="1"/>
      <c r="GK131" s="1"/>
      <c r="GL131" s="1"/>
      <c r="GM131" s="1"/>
      <c r="GN131" s="1"/>
      <c r="GO131" s="1"/>
      <c r="GP131" s="1"/>
      <c r="GQ131" s="1"/>
      <c r="GR131" s="1"/>
      <c r="GS131" s="1"/>
      <c r="GT131" s="1"/>
      <c r="GU131" s="1"/>
      <c r="GV131" s="1"/>
      <c r="GW131" s="1"/>
      <c r="GX131" s="1"/>
      <c r="GY131" s="1"/>
      <c r="GZ131" s="1"/>
      <c r="HA131" s="1"/>
      <c r="HB131" s="1"/>
      <c r="HC131" s="1"/>
      <c r="HD131" s="1"/>
      <c r="HE131" s="1"/>
      <c r="HF131" s="1"/>
      <c r="HG131" s="1"/>
      <c r="HH131" s="1"/>
      <c r="HI131" s="1"/>
      <c r="HJ131" s="1"/>
      <c r="HK131" s="1"/>
      <c r="HL131" s="1"/>
      <c r="HM131" s="1"/>
      <c r="HN131" s="1"/>
      <c r="HO131" s="1"/>
      <c r="HP131" s="1"/>
      <c r="HQ131" s="1"/>
      <c r="HR131" s="1"/>
      <c r="HS131" s="1"/>
      <c r="HT131" s="1"/>
      <c r="HU131" s="1"/>
      <c r="HV131" s="1"/>
      <c r="HW131" s="1"/>
      <c r="HX131" s="1"/>
      <c r="HY131" s="1"/>
      <c r="HZ131" s="1"/>
      <c r="IA131" s="1"/>
      <c r="IB131" s="1"/>
      <c r="IC131" s="1"/>
      <c r="ID131" s="1"/>
      <c r="IE131" s="1"/>
      <c r="IF131" s="1"/>
      <c r="IG131" s="1"/>
      <c r="IH131" s="1"/>
      <c r="II131" s="1"/>
      <c r="IJ131" s="1"/>
      <c r="IK131" s="1"/>
      <c r="IL131" s="1"/>
      <c r="IM131" s="1"/>
      <c r="IN131" s="1"/>
      <c r="IO131" s="1"/>
      <c r="IP131" s="1"/>
      <c r="IQ131" s="1"/>
      <c r="IR131" s="1"/>
      <c r="IS131" s="1"/>
      <c r="IT131" s="1"/>
      <c r="IU131" s="1"/>
      <c r="IV131" s="1"/>
      <c r="IW131" s="1"/>
      <c r="IX131" s="1"/>
      <c r="IY131" s="1"/>
      <c r="IZ131" s="1"/>
      <c r="JA131" s="1"/>
      <c r="JB131" s="1"/>
      <c r="JC131" s="1"/>
      <c r="JD131" s="1"/>
      <c r="JE131" s="1"/>
      <c r="JF131" s="1"/>
      <c r="JG131" s="1"/>
      <c r="JH131" s="1"/>
      <c r="JI131" s="1"/>
      <c r="JJ131" s="1"/>
      <c r="JK131" s="1"/>
      <c r="JL131" s="1"/>
      <c r="JM131" s="1"/>
      <c r="JN131" s="1"/>
      <c r="JO131" s="1"/>
      <c r="JP131" s="1"/>
      <c r="JQ131" s="1"/>
      <c r="JR131" s="1"/>
      <c r="JS131" s="1"/>
      <c r="JT131" s="1"/>
      <c r="JU131" s="1"/>
      <c r="JV131" s="1"/>
      <c r="JW131" s="1"/>
      <c r="JX131" s="1"/>
      <c r="JY131" s="1"/>
      <c r="JZ131" s="1"/>
      <c r="KA131" s="1"/>
      <c r="KB131" s="1"/>
      <c r="KC131" s="1"/>
      <c r="KD131" s="1"/>
      <c r="KE131" s="1"/>
      <c r="KF131" s="1"/>
      <c r="KG131" s="1"/>
      <c r="KH131" s="1"/>
      <c r="KI131" s="1"/>
      <c r="KJ131" s="1"/>
      <c r="KK131" s="1"/>
      <c r="KL131" s="1"/>
      <c r="KM131" s="1"/>
      <c r="KN131" s="1"/>
      <c r="KO131" s="1"/>
      <c r="KP131" s="1"/>
      <c r="KQ131" s="1"/>
      <c r="KR131" s="1"/>
      <c r="KS131" s="1"/>
      <c r="KT131" s="1"/>
      <c r="KU131" s="1"/>
      <c r="KV131" s="1"/>
      <c r="KW131" s="1"/>
      <c r="KX131" s="1"/>
      <c r="KY131" s="1"/>
      <c r="KZ131" s="1"/>
      <c r="LA131" s="1"/>
      <c r="LB131" s="1"/>
      <c r="LC131" s="1"/>
      <c r="LD131" s="1"/>
      <c r="LE131" s="1"/>
      <c r="LF131" s="1"/>
      <c r="LG131" s="1"/>
      <c r="LH131" s="1"/>
      <c r="LI131" s="1"/>
      <c r="LJ131" s="1"/>
      <c r="LK131" s="1"/>
      <c r="LL131" s="1"/>
      <c r="LM131" s="1"/>
      <c r="LN131" s="1"/>
      <c r="LO131" s="1"/>
      <c r="LP131" s="1"/>
      <c r="LQ131" s="1"/>
      <c r="LR131" s="1"/>
      <c r="LS131" s="1"/>
      <c r="LT131" s="1"/>
      <c r="LU131" s="1"/>
      <c r="LV131" s="1"/>
      <c r="LW131" s="1"/>
      <c r="LX131" s="1"/>
      <c r="LY131" s="1"/>
      <c r="LZ131" s="1"/>
      <c r="MA131" s="1"/>
      <c r="MB131" s="1"/>
      <c r="MC131" s="1"/>
      <c r="MD131" s="1"/>
      <c r="ME131" s="1"/>
      <c r="MF131" s="1"/>
      <c r="MG131" s="1"/>
      <c r="MH131" s="1"/>
      <c r="MI131" s="1"/>
      <c r="MJ131" s="1"/>
      <c r="MK131" s="1"/>
      <c r="ML131" s="1"/>
      <c r="MM131" s="1"/>
      <c r="MN131" s="1"/>
      <c r="MO131" s="1"/>
      <c r="MP131" s="1"/>
      <c r="MQ131" s="1"/>
      <c r="MR131" s="1"/>
      <c r="MS131" s="1"/>
      <c r="MT131" s="1"/>
      <c r="MU131" s="1"/>
      <c r="MV131" s="1"/>
      <c r="MW131" s="1"/>
      <c r="MX131" s="1"/>
      <c r="MY131" s="1"/>
      <c r="MZ131" s="1"/>
      <c r="NA131" s="1"/>
      <c r="NB131" s="1"/>
      <c r="NC131" s="1"/>
      <c r="ND131" s="1"/>
      <c r="NE131" s="1"/>
      <c r="NF131" s="1"/>
      <c r="NG131" s="1"/>
      <c r="NH131" s="1"/>
      <c r="NI131" s="1"/>
      <c r="NJ131" s="1"/>
      <c r="NK131" s="1"/>
      <c r="NL131" s="1"/>
      <c r="NM131" s="1"/>
      <c r="NN131" s="1"/>
      <c r="NO131" s="1"/>
      <c r="NP131" s="1"/>
      <c r="NQ131" s="1"/>
      <c r="NR131" s="1"/>
      <c r="NS131" s="1"/>
      <c r="NT131" s="1"/>
      <c r="NU131" s="1"/>
      <c r="NV131" s="1"/>
      <c r="NW131" s="1"/>
      <c r="NX131" s="1"/>
      <c r="NY131" s="1"/>
      <c r="NZ131" s="1"/>
      <c r="OA131" s="1"/>
      <c r="OB131" s="1"/>
      <c r="OC131" s="1"/>
      <c r="OD131" s="1"/>
      <c r="OE131" s="1"/>
      <c r="OF131" s="1"/>
      <c r="OG131" s="1"/>
      <c r="OH131" s="1"/>
      <c r="OI131" s="1"/>
      <c r="OJ131" s="1"/>
      <c r="OK131" s="1"/>
      <c r="OL131" s="1"/>
      <c r="OM131" s="1"/>
      <c r="ON131" s="1"/>
      <c r="OO131" s="1"/>
      <c r="OP131" s="1"/>
      <c r="OQ131" s="1"/>
      <c r="OR131" s="1"/>
      <c r="OS131" s="1"/>
      <c r="OT131" s="1"/>
      <c r="OU131" s="1"/>
      <c r="OV131" s="1"/>
      <c r="OW131" s="1"/>
      <c r="OX131" s="1"/>
      <c r="OY131" s="1"/>
      <c r="OZ131" s="1"/>
      <c r="PA131" s="1"/>
      <c r="PB131" s="1"/>
      <c r="PC131" s="1"/>
      <c r="PD131" s="1"/>
      <c r="PE131" s="1"/>
      <c r="PF131" s="1"/>
      <c r="PG131" s="1"/>
      <c r="PH131" s="1"/>
      <c r="PI131" s="1"/>
      <c r="PJ131" s="1"/>
      <c r="PK131" s="1"/>
      <c r="PL131" s="1"/>
      <c r="PM131" s="1"/>
      <c r="PN131" s="1"/>
      <c r="PO131" s="1"/>
      <c r="PP131" s="1"/>
      <c r="PQ131" s="1"/>
      <c r="PR131" s="1"/>
      <c r="PS131" s="1"/>
      <c r="PT131" s="1"/>
      <c r="PU131" s="1"/>
      <c r="PV131" s="1"/>
      <c r="PW131" s="1"/>
      <c r="PX131" s="1"/>
      <c r="PY131" s="1"/>
      <c r="PZ131" s="1"/>
      <c r="QA131" s="1"/>
      <c r="QB131" s="1"/>
      <c r="QC131" s="1"/>
      <c r="QD131" s="1"/>
      <c r="QE131" s="1"/>
      <c r="QF131" s="1"/>
      <c r="QG131" s="1"/>
      <c r="QH131" s="1"/>
      <c r="QI131" s="1"/>
      <c r="QJ131" s="1"/>
      <c r="QK131" s="1"/>
      <c r="QL131" s="1"/>
      <c r="QM131" s="1"/>
      <c r="QN131" s="1"/>
      <c r="QO131" s="1"/>
      <c r="QP131" s="1"/>
      <c r="QQ131" s="1"/>
      <c r="QR131" s="1"/>
      <c r="QS131" s="1"/>
      <c r="QT131" s="1"/>
      <c r="QU131" s="1"/>
      <c r="QV131" s="1"/>
      <c r="QW131" s="1"/>
      <c r="QX131" s="1"/>
      <c r="QY131" s="1"/>
      <c r="QZ131" s="1"/>
      <c r="RA131" s="1"/>
      <c r="RB131" s="1"/>
      <c r="RC131" s="1"/>
      <c r="RD131" s="1"/>
      <c r="RE131" s="1"/>
      <c r="RF131" s="1"/>
      <c r="RG131" s="1"/>
      <c r="RH131" s="1"/>
      <c r="RI131" s="1"/>
      <c r="RJ131" s="1"/>
      <c r="RK131" s="1"/>
      <c r="RL131" s="1"/>
      <c r="RM131" s="1"/>
      <c r="RN131" s="1"/>
      <c r="RO131" s="1"/>
      <c r="RP131" s="1"/>
      <c r="RQ131" s="1"/>
      <c r="RR131" s="1"/>
      <c r="RS131" s="1"/>
      <c r="RT131" s="1"/>
      <c r="RU131" s="1"/>
      <c r="RV131" s="1"/>
      <c r="RW131" s="1"/>
      <c r="RX131" s="1"/>
      <c r="RY131" s="1"/>
      <c r="RZ131" s="1"/>
      <c r="SA131" s="1"/>
      <c r="SB131" s="1"/>
      <c r="SC131" s="1"/>
      <c r="SD131" s="1"/>
      <c r="SE131" s="1"/>
      <c r="SF131" s="1"/>
      <c r="SG131" s="1"/>
      <c r="SH131" s="1"/>
      <c r="SI131" s="1"/>
      <c r="SJ131" s="1"/>
      <c r="SK131" s="1"/>
      <c r="SL131" s="1"/>
      <c r="SM131" s="1"/>
      <c r="SN131" s="1"/>
      <c r="SO131" s="1"/>
      <c r="SP131" s="1"/>
      <c r="SQ131" s="1"/>
      <c r="SR131" s="1"/>
      <c r="SS131" s="1"/>
      <c r="ST131" s="1"/>
      <c r="SU131" s="1"/>
      <c r="SV131" s="1"/>
      <c r="SW131" s="1"/>
      <c r="SX131" s="1"/>
      <c r="SY131" s="1"/>
      <c r="SZ131" s="1"/>
      <c r="TA131" s="1"/>
      <c r="TB131" s="1"/>
      <c r="TC131" s="1"/>
      <c r="TD131" s="1"/>
      <c r="TE131" s="1"/>
      <c r="TF131" s="1"/>
      <c r="TG131" s="1"/>
      <c r="TH131" s="1"/>
      <c r="TI131" s="1"/>
      <c r="TJ131" s="1"/>
      <c r="TK131" s="1"/>
      <c r="TL131" s="1"/>
      <c r="TM131" s="1"/>
      <c r="TN131" s="1"/>
      <c r="TO131" s="1"/>
      <c r="TP131" s="1"/>
      <c r="TQ131" s="1"/>
      <c r="TR131" s="1"/>
      <c r="TS131" s="1"/>
      <c r="TT131" s="1"/>
      <c r="TU131" s="1"/>
      <c r="TV131" s="1"/>
      <c r="TW131" s="1"/>
      <c r="TX131" s="1"/>
      <c r="TY131" s="1"/>
      <c r="TZ131" s="1"/>
      <c r="UA131" s="1"/>
      <c r="UB131" s="1"/>
      <c r="UC131" s="1"/>
      <c r="UD131" s="1"/>
      <c r="UE131" s="1"/>
      <c r="UF131" s="1"/>
      <c r="UG131" s="1"/>
      <c r="UH131" s="1"/>
      <c r="UI131" s="1"/>
      <c r="UJ131" s="1"/>
      <c r="UK131" s="1"/>
      <c r="UL131" s="1"/>
      <c r="UM131" s="1"/>
      <c r="UN131" s="1"/>
      <c r="UO131" s="1"/>
      <c r="UP131" s="1"/>
      <c r="UQ131" s="1"/>
      <c r="UR131" s="1"/>
      <c r="US131" s="1"/>
      <c r="UT131" s="1"/>
      <c r="UU131" s="1"/>
      <c r="UV131" s="1"/>
      <c r="UW131" s="1"/>
      <c r="UX131" s="1"/>
      <c r="UY131" s="1"/>
      <c r="UZ131" s="1"/>
      <c r="VA131" s="1"/>
      <c r="VB131" s="1"/>
      <c r="VC131" s="1"/>
      <c r="VD131" s="1"/>
      <c r="VE131" s="1"/>
      <c r="VF131" s="1"/>
      <c r="VG131" s="1"/>
      <c r="VH131" s="1"/>
      <c r="VI131" s="1"/>
      <c r="VJ131" s="1"/>
      <c r="VK131" s="1"/>
      <c r="VL131" s="1"/>
      <c r="VM131" s="1"/>
      <c r="VN131" s="1"/>
      <c r="VO131" s="1"/>
      <c r="VP131" s="1"/>
      <c r="VQ131" s="1"/>
      <c r="VR131" s="1"/>
      <c r="VS131" s="1"/>
      <c r="VT131" s="1"/>
      <c r="VU131" s="1"/>
      <c r="VV131" s="1"/>
      <c r="VW131" s="1"/>
      <c r="VX131" s="1"/>
      <c r="VY131" s="1"/>
      <c r="VZ131" s="1"/>
      <c r="WA131" s="1"/>
      <c r="WB131" s="1"/>
      <c r="WC131" s="1"/>
      <c r="WD131" s="1"/>
      <c r="WE131" s="1"/>
      <c r="WF131" s="1"/>
      <c r="WG131" s="1"/>
      <c r="WH131" s="1"/>
      <c r="WI131" s="1"/>
      <c r="WJ131" s="1"/>
      <c r="WK131" s="1"/>
      <c r="WL131" s="1"/>
      <c r="WM131" s="1"/>
      <c r="WN131" s="1"/>
      <c r="WO131" s="1"/>
      <c r="WP131" s="1"/>
      <c r="WQ131" s="1"/>
      <c r="WR131" s="1"/>
      <c r="WS131" s="1"/>
      <c r="WT131" s="1"/>
      <c r="WU131" s="1"/>
      <c r="WV131" s="1"/>
      <c r="WW131" s="1"/>
      <c r="WX131" s="1"/>
      <c r="WY131" s="1"/>
      <c r="WZ131" s="1"/>
      <c r="XA131" s="1"/>
      <c r="XB131" s="1"/>
      <c r="XC131" s="1"/>
      <c r="XD131" s="1"/>
      <c r="XE131" s="1"/>
      <c r="XF131" s="1"/>
      <c r="XG131" s="1"/>
      <c r="XH131" s="1"/>
      <c r="XI131" s="1"/>
      <c r="XJ131" s="1"/>
      <c r="XK131" s="1"/>
      <c r="XL131" s="1"/>
      <c r="XM131" s="1"/>
      <c r="XN131" s="1"/>
      <c r="XO131" s="1"/>
      <c r="XP131" s="1"/>
      <c r="XQ131" s="1"/>
      <c r="XR131" s="1"/>
      <c r="XS131" s="1"/>
      <c r="XT131" s="1"/>
      <c r="XU131" s="1"/>
      <c r="XV131" s="1"/>
      <c r="XW131" s="1"/>
      <c r="XX131" s="1"/>
      <c r="XY131" s="1"/>
      <c r="XZ131" s="1"/>
      <c r="YA131" s="1"/>
      <c r="YB131" s="1"/>
      <c r="YC131" s="1"/>
      <c r="YD131" s="1"/>
      <c r="YE131" s="1"/>
      <c r="YF131" s="1"/>
      <c r="YG131" s="1"/>
      <c r="YH131" s="1"/>
      <c r="YI131" s="1"/>
      <c r="YJ131" s="1"/>
      <c r="YK131" s="1"/>
      <c r="YL131" s="1"/>
      <c r="YM131" s="1"/>
      <c r="YN131" s="1"/>
      <c r="YO131" s="1"/>
      <c r="YP131" s="1"/>
      <c r="YQ131" s="1"/>
      <c r="YR131" s="1"/>
      <c r="YS131" s="1"/>
      <c r="YT131" s="1"/>
      <c r="YU131" s="1"/>
      <c r="YV131" s="1"/>
      <c r="YW131" s="1"/>
      <c r="YX131" s="1"/>
      <c r="YY131" s="1"/>
      <c r="YZ131" s="1"/>
      <c r="ZA131" s="1"/>
      <c r="ZB131" s="1"/>
      <c r="ZC131" s="1"/>
      <c r="ZD131" s="1"/>
      <c r="ZE131" s="1"/>
      <c r="ZF131" s="1"/>
      <c r="ZG131" s="1"/>
      <c r="ZH131" s="1"/>
      <c r="ZI131" s="1"/>
      <c r="ZJ131" s="1"/>
      <c r="ZK131" s="1"/>
      <c r="ZL131" s="1"/>
      <c r="ZM131" s="1"/>
      <c r="ZN131" s="1"/>
      <c r="ZO131" s="1"/>
      <c r="ZP131" s="1"/>
      <c r="ZQ131" s="1"/>
      <c r="ZR131" s="1"/>
      <c r="ZS131" s="1"/>
      <c r="ZT131" s="1"/>
      <c r="ZU131" s="1"/>
      <c r="ZV131" s="1"/>
      <c r="ZW131" s="1"/>
      <c r="ZX131" s="1"/>
      <c r="ZY131" s="1"/>
      <c r="ZZ131" s="1"/>
      <c r="AAA131" s="1"/>
      <c r="AAB131" s="1"/>
      <c r="AAC131" s="1"/>
      <c r="AAD131" s="1"/>
      <c r="AAE131" s="1"/>
      <c r="AAF131" s="1"/>
      <c r="AAG131" s="1"/>
      <c r="AAH131" s="1"/>
      <c r="AAI131" s="1"/>
      <c r="AAJ131" s="1"/>
      <c r="AAK131" s="1"/>
      <c r="AAL131" s="1"/>
      <c r="AAM131" s="1"/>
      <c r="AAN131" s="1"/>
      <c r="AAO131" s="1"/>
      <c r="AAP131" s="1"/>
      <c r="AAQ131" s="1"/>
      <c r="AAR131" s="1"/>
      <c r="AAS131" s="1"/>
      <c r="AAT131" s="1"/>
      <c r="AAU131" s="1"/>
      <c r="AAV131" s="1"/>
      <c r="AAW131" s="1"/>
      <c r="AAX131" s="1"/>
      <c r="AAY131" s="1"/>
      <c r="AAZ131" s="1"/>
      <c r="ABA131" s="1"/>
      <c r="ABB131" s="1"/>
      <c r="ABC131" s="1"/>
      <c r="ABD131" s="1"/>
      <c r="ABE131" s="1"/>
      <c r="ABF131" s="1"/>
      <c r="ABG131" s="1"/>
      <c r="ABH131" s="1"/>
      <c r="ABI131" s="1"/>
      <c r="ABJ131" s="1"/>
      <c r="ABK131" s="1"/>
      <c r="ABL131" s="1"/>
      <c r="ABM131" s="1"/>
      <c r="ABN131" s="1"/>
      <c r="ABO131" s="1"/>
      <c r="ABP131" s="1"/>
      <c r="ABQ131" s="1"/>
      <c r="ABR131" s="1"/>
      <c r="ABS131" s="1"/>
      <c r="ABT131" s="1"/>
      <c r="ABU131" s="1"/>
      <c r="ABV131" s="1"/>
      <c r="ABW131" s="1"/>
      <c r="ABX131" s="1"/>
      <c r="ABY131" s="1"/>
      <c r="ABZ131" s="1"/>
      <c r="ACA131" s="1"/>
      <c r="ACB131" s="1"/>
      <c r="ACC131" s="1"/>
      <c r="ACD131" s="1"/>
      <c r="ACE131" s="1"/>
      <c r="ACF131" s="1"/>
      <c r="ACG131" s="1"/>
      <c r="ACH131" s="1"/>
      <c r="ACI131" s="1"/>
      <c r="ACJ131" s="1"/>
      <c r="ACK131" s="1"/>
      <c r="ACL131" s="1"/>
      <c r="ACM131" s="1"/>
      <c r="ACN131" s="1"/>
      <c r="ACO131" s="1"/>
      <c r="ACP131" s="1"/>
      <c r="ACQ131" s="1"/>
      <c r="ACR131" s="1"/>
      <c r="ACS131" s="1"/>
      <c r="ACT131" s="1"/>
      <c r="ACU131" s="1"/>
      <c r="ACV131" s="1"/>
      <c r="ACW131" s="1"/>
      <c r="ACX131" s="1"/>
      <c r="ACY131" s="1"/>
      <c r="ACZ131" s="1"/>
      <c r="ADA131" s="1"/>
      <c r="ADB131" s="1"/>
      <c r="ADC131" s="1"/>
      <c r="ADD131" s="1"/>
      <c r="ADE131" s="1"/>
      <c r="ADF131" s="1"/>
      <c r="ADG131" s="1"/>
      <c r="ADH131" s="1"/>
      <c r="ADI131" s="1"/>
      <c r="ADJ131" s="1"/>
      <c r="ADK131" s="1"/>
      <c r="ADL131" s="1"/>
      <c r="ADM131" s="1"/>
      <c r="ADN131" s="1"/>
      <c r="ADO131" s="1"/>
      <c r="ADP131" s="1"/>
      <c r="ADQ131" s="1"/>
      <c r="ADR131" s="1"/>
      <c r="ADS131" s="1"/>
      <c r="ADT131" s="1"/>
      <c r="ADU131" s="1"/>
      <c r="ADV131" s="1"/>
      <c r="ADW131" s="1"/>
      <c r="ADX131" s="1"/>
      <c r="ADY131" s="1"/>
      <c r="ADZ131" s="1"/>
      <c r="AEA131" s="1"/>
      <c r="AEB131" s="1"/>
      <c r="AEC131" s="1"/>
      <c r="AED131" s="1"/>
      <c r="AEE131" s="1"/>
      <c r="AEF131" s="1"/>
      <c r="AEG131" s="1"/>
      <c r="AEH131" s="1"/>
      <c r="AEI131" s="1"/>
      <c r="AEJ131" s="1"/>
      <c r="AEK131" s="1"/>
      <c r="AEL131" s="1"/>
      <c r="AEM131" s="1"/>
      <c r="AEN131" s="1"/>
      <c r="AEO131" s="1"/>
      <c r="AEP131" s="1"/>
      <c r="AEQ131" s="1"/>
      <c r="AER131" s="1"/>
      <c r="AES131" s="1"/>
      <c r="AET131" s="1"/>
      <c r="AEU131" s="1"/>
      <c r="AEV131" s="1"/>
      <c r="AEW131" s="1"/>
      <c r="AEX131" s="1"/>
      <c r="AEY131" s="1"/>
      <c r="AEZ131" s="1"/>
      <c r="AFA131" s="1"/>
      <c r="AFB131" s="1"/>
      <c r="AFC131" s="1"/>
      <c r="AFD131" s="1"/>
      <c r="AFE131" s="1"/>
      <c r="AFF131" s="1"/>
      <c r="AFG131" s="1"/>
      <c r="AFH131" s="1"/>
      <c r="AFI131" s="1"/>
      <c r="AFJ131" s="1"/>
      <c r="AFK131" s="1"/>
      <c r="AFL131" s="1"/>
      <c r="AFM131" s="1"/>
      <c r="AFN131" s="1"/>
      <c r="AFO131" s="1"/>
      <c r="AFP131" s="1"/>
      <c r="AFQ131" s="1"/>
      <c r="AFR131" s="1"/>
      <c r="AFS131" s="1"/>
      <c r="AFT131" s="1"/>
      <c r="AFU131" s="1"/>
      <c r="AFV131" s="1"/>
      <c r="AFW131" s="1"/>
      <c r="AFX131" s="1"/>
      <c r="AFY131" s="1"/>
      <c r="AFZ131" s="1"/>
      <c r="AGA131" s="1"/>
      <c r="AGB131" s="1"/>
      <c r="AGC131" s="1"/>
      <c r="AGD131" s="1"/>
      <c r="AGE131" s="1"/>
      <c r="AGF131" s="1"/>
      <c r="AGG131" s="1"/>
      <c r="AGH131" s="1"/>
      <c r="AGI131" s="1"/>
      <c r="AGJ131" s="1"/>
      <c r="AGK131" s="1"/>
      <c r="AGL131" s="1"/>
      <c r="AGM131" s="1"/>
      <c r="AGN131" s="1"/>
      <c r="AGO131" s="1"/>
      <c r="AGP131" s="1"/>
      <c r="AGQ131" s="1"/>
      <c r="AGR131" s="1"/>
      <c r="AGS131" s="1"/>
      <c r="AGT131" s="1"/>
      <c r="AGU131" s="1"/>
      <c r="AGV131" s="1"/>
      <c r="AGW131" s="1"/>
      <c r="AGX131" s="1"/>
      <c r="AGY131" s="1"/>
      <c r="AGZ131" s="1"/>
      <c r="AHA131" s="1"/>
      <c r="AHB131" s="1"/>
      <c r="AHC131" s="1"/>
      <c r="AHD131" s="1"/>
      <c r="AHE131" s="1"/>
      <c r="AHF131" s="1"/>
      <c r="AHG131" s="1"/>
      <c r="AHH131" s="1"/>
      <c r="AHI131" s="1"/>
      <c r="AHJ131" s="1"/>
      <c r="AHK131" s="1"/>
      <c r="AHL131" s="1"/>
      <c r="AHM131" s="1"/>
      <c r="AHN131" s="1"/>
      <c r="AHO131" s="1"/>
      <c r="AHP131" s="1"/>
      <c r="AHQ131" s="1"/>
      <c r="AHR131" s="1"/>
      <c r="AHS131" s="1"/>
      <c r="AHT131" s="1"/>
      <c r="AHU131" s="1"/>
      <c r="AHV131" s="1"/>
      <c r="AHW131" s="1"/>
      <c r="AHX131" s="1"/>
      <c r="AHY131" s="1"/>
      <c r="AHZ131" s="1"/>
      <c r="AIA131" s="1"/>
      <c r="AIB131" s="1"/>
      <c r="AIC131" s="1"/>
      <c r="AID131" s="1"/>
      <c r="AIE131" s="1"/>
      <c r="AIF131" s="1"/>
      <c r="AIG131" s="1"/>
      <c r="AIH131" s="1"/>
      <c r="AII131" s="1"/>
      <c r="AIJ131" s="1"/>
      <c r="AIK131" s="1"/>
      <c r="AIL131" s="1"/>
      <c r="AIM131" s="1"/>
      <c r="AIN131" s="1"/>
      <c r="AIO131" s="1"/>
      <c r="AIP131" s="1"/>
      <c r="AIQ131" s="1"/>
      <c r="AIR131" s="1"/>
      <c r="AIS131" s="1"/>
      <c r="AIT131" s="1"/>
      <c r="AIU131" s="1"/>
      <c r="AIV131" s="1"/>
      <c r="AIW131" s="1"/>
      <c r="AIX131" s="1"/>
      <c r="AIY131" s="1"/>
      <c r="AIZ131" s="1"/>
      <c r="AJA131" s="1"/>
      <c r="AJB131" s="1"/>
      <c r="AJC131" s="1"/>
      <c r="AJD131" s="1"/>
      <c r="AJE131" s="1"/>
      <c r="AJF131" s="1"/>
      <c r="AJG131" s="1"/>
      <c r="AJH131" s="1"/>
      <c r="AJI131" s="1"/>
      <c r="AJJ131" s="1"/>
      <c r="AJK131" s="1"/>
      <c r="AJL131" s="1"/>
      <c r="AJM131" s="1"/>
      <c r="AJN131" s="1"/>
      <c r="AJO131" s="1"/>
      <c r="AJP131" s="1"/>
      <c r="AJQ131" s="1"/>
      <c r="AJR131" s="1"/>
      <c r="AJS131" s="1"/>
      <c r="AJT131" s="1"/>
      <c r="AJU131" s="1"/>
      <c r="AJV131" s="1"/>
      <c r="AJW131" s="1"/>
      <c r="AJX131" s="1"/>
      <c r="AJY131" s="1"/>
      <c r="AJZ131" s="1"/>
      <c r="AKA131" s="1"/>
      <c r="AKB131" s="1"/>
      <c r="AKC131" s="1"/>
      <c r="AKD131" s="1"/>
      <c r="AKE131" s="1"/>
      <c r="AKF131" s="1"/>
      <c r="AKG131" s="1"/>
      <c r="AKH131" s="1"/>
      <c r="AKI131" s="1"/>
      <c r="AKJ131" s="1"/>
      <c r="AKK131" s="1"/>
      <c r="AKL131" s="1"/>
      <c r="AKM131" s="1"/>
      <c r="AKN131" s="1"/>
      <c r="AKO131" s="1"/>
      <c r="AKP131" s="1"/>
      <c r="AKQ131" s="1"/>
      <c r="AKR131" s="1"/>
      <c r="AKS131" s="1"/>
      <c r="AKT131" s="1"/>
      <c r="AKU131" s="1"/>
      <c r="AKV131" s="1"/>
      <c r="AKW131" s="1"/>
      <c r="AKX131" s="1"/>
      <c r="AKY131" s="1"/>
      <c r="AKZ131" s="1"/>
      <c r="ALA131" s="1"/>
      <c r="ALB131" s="1"/>
      <c r="ALC131" s="1"/>
      <c r="ALD131" s="1"/>
      <c r="ALE131" s="1"/>
      <c r="ALF131" s="1"/>
      <c r="ALG131" s="1"/>
      <c r="ALH131" s="1"/>
      <c r="ALI131" s="1"/>
      <c r="ALJ131" s="1"/>
      <c r="ALK131" s="1"/>
      <c r="ALL131" s="1"/>
      <c r="ALM131" s="1"/>
      <c r="ALN131" s="1"/>
      <c r="ALO131" s="1"/>
      <c r="ALP131" s="1"/>
      <c r="ALQ131" s="1"/>
      <c r="ALR131" s="1"/>
      <c r="ALS131" s="1"/>
      <c r="ALT131" s="1"/>
      <c r="ALU131" s="1"/>
      <c r="ALV131" s="1"/>
      <c r="ALW131" s="1"/>
      <c r="ALX131" s="1"/>
      <c r="ALY131" s="1"/>
      <c r="ALZ131" s="1"/>
      <c r="AMA131" s="1"/>
      <c r="AMB131" s="1"/>
      <c r="AMC131" s="1"/>
      <c r="AMD131" s="1"/>
      <c r="AME131" s="1"/>
      <c r="AMF131" s="1"/>
      <c r="AMG131" s="1"/>
      <c r="AMH131" s="1"/>
      <c r="AMI131" s="1"/>
      <c r="AMJ131" s="1"/>
    </row>
    <row r="132" s="89" customFormat="true" ht="10.5" hidden="false" customHeight="true" outlineLevel="0" collapsed="false">
      <c r="A132" s="73" t="s">
        <v>255</v>
      </c>
      <c r="B132" s="73"/>
      <c r="C132" s="73"/>
      <c r="D132" s="73"/>
      <c r="E132" s="180"/>
      <c r="F132" s="180"/>
      <c r="G132" s="180"/>
      <c r="H132" s="180"/>
      <c r="I132" s="180"/>
      <c r="J132" s="180"/>
      <c r="K132" s="180"/>
      <c r="L132" s="180"/>
      <c r="M132" s="180"/>
      <c r="N132" s="180"/>
      <c r="O132" s="180"/>
      <c r="P132" s="180"/>
      <c r="Q132" s="180"/>
      <c r="R132" s="180"/>
      <c r="S132" s="181"/>
      <c r="T132" s="73" t="s">
        <v>256</v>
      </c>
      <c r="U132" s="73"/>
      <c r="V132" s="73"/>
      <c r="W132" s="73"/>
      <c r="X132" s="182"/>
      <c r="Y132" s="182"/>
      <c r="Z132" s="182"/>
      <c r="AA132" s="182"/>
      <c r="AB132" s="182"/>
      <c r="AC132" s="182"/>
      <c r="AD132" s="182"/>
      <c r="AE132" s="182"/>
      <c r="AF132" s="182"/>
      <c r="AG132" s="182"/>
      <c r="AH132" s="182"/>
      <c r="AI132" s="182"/>
      <c r="AJ132" s="182"/>
      <c r="AK132" s="182"/>
      <c r="AL132" s="182"/>
      <c r="AM132" s="182"/>
      <c r="AN132" s="182"/>
      <c r="AO132" s="182"/>
      <c r="AP132" s="7"/>
      <c r="AQ132" s="7"/>
      <c r="AR132" s="7"/>
      <c r="AS132" s="7"/>
      <c r="AT132" s="7"/>
      <c r="AU132" s="7"/>
      <c r="AV132" s="7"/>
      <c r="AW132" s="7"/>
      <c r="AX132" s="7"/>
      <c r="AY132" s="7"/>
      <c r="AZ132" s="7"/>
      <c r="BA132" s="7"/>
      <c r="BB132" s="7"/>
      <c r="BC132" s="7"/>
    </row>
    <row r="133" s="89" customFormat="true" ht="10.5" hidden="false" customHeight="true" outlineLevel="0" collapsed="false">
      <c r="A133" s="183" t="s">
        <v>257</v>
      </c>
      <c r="B133" s="183"/>
      <c r="C133" s="183"/>
      <c r="D133" s="183"/>
      <c r="E133" s="183"/>
      <c r="F133" s="183"/>
      <c r="G133" s="183"/>
      <c r="H133" s="183"/>
      <c r="I133" s="183"/>
      <c r="J133" s="78" t="s">
        <v>247</v>
      </c>
      <c r="K133" s="78"/>
      <c r="L133" s="78"/>
      <c r="M133" s="78" t="s">
        <v>258</v>
      </c>
      <c r="N133" s="78"/>
      <c r="O133" s="78"/>
      <c r="P133" s="78" t="s">
        <v>259</v>
      </c>
      <c r="Q133" s="78"/>
      <c r="R133" s="78"/>
      <c r="S133" s="181"/>
      <c r="T133" s="184" t="s">
        <v>257</v>
      </c>
      <c r="U133" s="184"/>
      <c r="V133" s="184"/>
      <c r="W133" s="184"/>
      <c r="X133" s="184"/>
      <c r="Y133" s="184"/>
      <c r="Z133" s="184"/>
      <c r="AA133" s="184"/>
      <c r="AB133" s="184"/>
      <c r="AC133" s="184"/>
      <c r="AD133" s="184"/>
      <c r="AE133" s="78" t="s">
        <v>247</v>
      </c>
      <c r="AF133" s="78"/>
      <c r="AG133" s="78"/>
      <c r="AH133" s="78" t="s">
        <v>258</v>
      </c>
      <c r="AI133" s="78"/>
      <c r="AJ133" s="78"/>
      <c r="AK133" s="78"/>
      <c r="AL133" s="79" t="s">
        <v>259</v>
      </c>
      <c r="AM133" s="79"/>
      <c r="AN133" s="79"/>
      <c r="AO133" s="79"/>
      <c r="AP133" s="7"/>
      <c r="AQ133" s="7"/>
      <c r="AR133" s="7"/>
      <c r="AS133" s="7"/>
      <c r="AT133" s="7"/>
      <c r="AU133" s="7"/>
      <c r="AV133" s="7"/>
      <c r="AW133" s="7"/>
      <c r="AX133" s="7"/>
      <c r="AY133" s="7"/>
      <c r="AZ133" s="7"/>
      <c r="BA133" s="7"/>
      <c r="BB133" s="7"/>
      <c r="BC133" s="7"/>
    </row>
    <row r="134" customFormat="false" ht="10.5" hidden="false" customHeight="true" outlineLevel="0" collapsed="false">
      <c r="A134" s="162"/>
      <c r="B134" s="162"/>
      <c r="C134" s="162"/>
      <c r="D134" s="162"/>
      <c r="E134" s="162"/>
      <c r="F134" s="162"/>
      <c r="G134" s="162"/>
      <c r="H134" s="162"/>
      <c r="I134" s="162"/>
      <c r="J134" s="19"/>
      <c r="K134" s="19"/>
      <c r="L134" s="19"/>
      <c r="M134" s="185"/>
      <c r="N134" s="185"/>
      <c r="O134" s="185"/>
      <c r="P134" s="186" t="n">
        <f aca="false">J134*M134</f>
        <v>0</v>
      </c>
      <c r="Q134" s="186"/>
      <c r="R134" s="186"/>
      <c r="S134" s="181"/>
      <c r="T134" s="166"/>
      <c r="U134" s="166"/>
      <c r="V134" s="166"/>
      <c r="W134" s="166"/>
      <c r="X134" s="166"/>
      <c r="Y134" s="166"/>
      <c r="Z134" s="166"/>
      <c r="AA134" s="166"/>
      <c r="AB134" s="166"/>
      <c r="AC134" s="166"/>
      <c r="AD134" s="166"/>
      <c r="AE134" s="19"/>
      <c r="AF134" s="19"/>
      <c r="AG134" s="19"/>
      <c r="AH134" s="185"/>
      <c r="AI134" s="185"/>
      <c r="AJ134" s="185"/>
      <c r="AK134" s="185"/>
      <c r="AL134" s="186" t="n">
        <f aca="false">AE134*AH134</f>
        <v>0</v>
      </c>
      <c r="AM134" s="186"/>
      <c r="AN134" s="186"/>
      <c r="AO134" s="186"/>
      <c r="BE134" s="1"/>
      <c r="BF134" s="1"/>
      <c r="BG134" s="1"/>
      <c r="BH134" s="1"/>
      <c r="BI134" s="1"/>
      <c r="BJ134" s="1"/>
      <c r="BK134" s="1"/>
      <c r="BL134" s="1"/>
      <c r="BM134" s="1"/>
      <c r="BN134" s="1"/>
      <c r="BO134" s="1"/>
      <c r="BP134" s="1"/>
      <c r="BQ134" s="1"/>
      <c r="BR134" s="1"/>
      <c r="BS134" s="1"/>
      <c r="BT134" s="1"/>
      <c r="BU134" s="1"/>
      <c r="BV134" s="1"/>
      <c r="BW134" s="1"/>
      <c r="BX134" s="1"/>
      <c r="BY134" s="1"/>
      <c r="BZ134" s="1"/>
      <c r="CA134" s="1"/>
      <c r="CB134" s="1"/>
      <c r="CC134" s="1"/>
      <c r="CD134" s="1"/>
      <c r="CE134" s="1"/>
      <c r="CF134" s="1"/>
      <c r="CG134" s="1"/>
      <c r="CH134" s="1"/>
      <c r="CI134" s="1"/>
      <c r="CJ134" s="1"/>
      <c r="CK134" s="1"/>
      <c r="CL134" s="1"/>
      <c r="CM134" s="1"/>
      <c r="CN134" s="1"/>
      <c r="CO134" s="1"/>
      <c r="CP134" s="1"/>
      <c r="CQ134" s="1"/>
      <c r="CR134" s="1"/>
      <c r="CS134" s="1"/>
      <c r="CT134" s="1"/>
      <c r="CU134" s="1"/>
      <c r="CV134" s="1"/>
      <c r="CW134" s="1"/>
      <c r="CX134" s="1"/>
      <c r="CY134" s="1"/>
      <c r="CZ134" s="1"/>
      <c r="DA134" s="1"/>
      <c r="DB134" s="1"/>
      <c r="DC134" s="1"/>
      <c r="DD134" s="1"/>
      <c r="DE134" s="1"/>
      <c r="DF134" s="1"/>
      <c r="DG134" s="1"/>
      <c r="DH134" s="1"/>
      <c r="DI134" s="1"/>
      <c r="DJ134" s="1"/>
      <c r="DK134" s="1"/>
      <c r="DL134" s="1"/>
      <c r="DM134" s="1"/>
      <c r="DN134" s="1"/>
      <c r="DO134" s="1"/>
      <c r="DP134" s="1"/>
      <c r="DQ134" s="1"/>
      <c r="DR134" s="1"/>
      <c r="DS134" s="1"/>
      <c r="DT134" s="1"/>
      <c r="DU134" s="1"/>
      <c r="DV134" s="1"/>
      <c r="DW134" s="1"/>
      <c r="DX134" s="1"/>
      <c r="DY134" s="1"/>
      <c r="DZ134" s="1"/>
      <c r="EA134" s="1"/>
      <c r="EB134" s="1"/>
      <c r="EC134" s="1"/>
      <c r="ED134" s="1"/>
      <c r="EE134" s="1"/>
      <c r="EF134" s="1"/>
      <c r="EG134" s="1"/>
      <c r="EH134" s="1"/>
      <c r="EI134" s="1"/>
      <c r="EJ134" s="1"/>
      <c r="EK134" s="1"/>
      <c r="EL134" s="1"/>
      <c r="EM134" s="1"/>
      <c r="EN134" s="1"/>
      <c r="EO134" s="1"/>
      <c r="EP134" s="1"/>
      <c r="EQ134" s="1"/>
      <c r="ER134" s="1"/>
      <c r="ES134" s="1"/>
      <c r="ET134" s="1"/>
      <c r="EU134" s="1"/>
      <c r="EV134" s="1"/>
      <c r="EW134" s="1"/>
      <c r="EX134" s="1"/>
      <c r="EY134" s="1"/>
      <c r="EZ134" s="1"/>
      <c r="FA134" s="1"/>
      <c r="FB134" s="1"/>
      <c r="FC134" s="1"/>
      <c r="FD134" s="1"/>
      <c r="FE134" s="1"/>
      <c r="FF134" s="1"/>
      <c r="FG134" s="1"/>
      <c r="FH134" s="1"/>
      <c r="FI134" s="1"/>
      <c r="FJ134" s="1"/>
      <c r="FK134" s="1"/>
      <c r="FL134" s="1"/>
      <c r="FM134" s="1"/>
      <c r="FN134" s="1"/>
      <c r="FO134" s="1"/>
      <c r="FP134" s="1"/>
      <c r="FQ134" s="1"/>
      <c r="FR134" s="1"/>
      <c r="FS134" s="1"/>
      <c r="FT134" s="1"/>
      <c r="FU134" s="1"/>
      <c r="FV134" s="1"/>
      <c r="FW134" s="1"/>
      <c r="FX134" s="1"/>
      <c r="FY134" s="1"/>
      <c r="FZ134" s="1"/>
      <c r="GA134" s="1"/>
      <c r="GB134" s="1"/>
      <c r="GC134" s="1"/>
      <c r="GD134" s="1"/>
      <c r="GE134" s="1"/>
      <c r="GF134" s="1"/>
      <c r="GG134" s="1"/>
      <c r="GH134" s="1"/>
      <c r="GI134" s="1"/>
      <c r="GJ134" s="1"/>
      <c r="GK134" s="1"/>
      <c r="GL134" s="1"/>
      <c r="GM134" s="1"/>
      <c r="GN134" s="1"/>
      <c r="GO134" s="1"/>
      <c r="GP134" s="1"/>
      <c r="GQ134" s="1"/>
      <c r="GR134" s="1"/>
      <c r="GS134" s="1"/>
      <c r="GT134" s="1"/>
      <c r="GU134" s="1"/>
      <c r="GV134" s="1"/>
      <c r="GW134" s="1"/>
      <c r="GX134" s="1"/>
      <c r="GY134" s="1"/>
      <c r="GZ134" s="1"/>
      <c r="HA134" s="1"/>
      <c r="HB134" s="1"/>
      <c r="HC134" s="1"/>
      <c r="HD134" s="1"/>
      <c r="HE134" s="1"/>
      <c r="HF134" s="1"/>
      <c r="HG134" s="1"/>
      <c r="HH134" s="1"/>
      <c r="HI134" s="1"/>
      <c r="HJ134" s="1"/>
      <c r="HK134" s="1"/>
      <c r="HL134" s="1"/>
      <c r="HM134" s="1"/>
      <c r="HN134" s="1"/>
      <c r="HO134" s="1"/>
      <c r="HP134" s="1"/>
      <c r="HQ134" s="1"/>
      <c r="HR134" s="1"/>
      <c r="HS134" s="1"/>
      <c r="HT134" s="1"/>
      <c r="HU134" s="1"/>
      <c r="HV134" s="1"/>
      <c r="HW134" s="1"/>
      <c r="HX134" s="1"/>
      <c r="HY134" s="1"/>
      <c r="HZ134" s="1"/>
      <c r="IA134" s="1"/>
      <c r="IB134" s="1"/>
      <c r="IC134" s="1"/>
      <c r="ID134" s="1"/>
      <c r="IE134" s="1"/>
      <c r="IF134" s="1"/>
      <c r="IG134" s="1"/>
      <c r="IH134" s="1"/>
      <c r="II134" s="1"/>
      <c r="IJ134" s="1"/>
      <c r="IK134" s="1"/>
      <c r="IL134" s="1"/>
      <c r="IM134" s="1"/>
      <c r="IN134" s="1"/>
      <c r="IO134" s="1"/>
      <c r="IP134" s="1"/>
      <c r="IQ134" s="1"/>
      <c r="IR134" s="1"/>
      <c r="IS134" s="1"/>
      <c r="IT134" s="1"/>
      <c r="IU134" s="1"/>
      <c r="IV134" s="1"/>
      <c r="IW134" s="1"/>
      <c r="IX134" s="1"/>
      <c r="IY134" s="1"/>
      <c r="IZ134" s="1"/>
      <c r="JA134" s="1"/>
      <c r="JB134" s="1"/>
      <c r="JC134" s="1"/>
      <c r="JD134" s="1"/>
      <c r="JE134" s="1"/>
      <c r="JF134" s="1"/>
      <c r="JG134" s="1"/>
      <c r="JH134" s="1"/>
      <c r="JI134" s="1"/>
      <c r="JJ134" s="1"/>
      <c r="JK134" s="1"/>
      <c r="JL134" s="1"/>
      <c r="JM134" s="1"/>
      <c r="JN134" s="1"/>
      <c r="JO134" s="1"/>
      <c r="JP134" s="1"/>
      <c r="JQ134" s="1"/>
      <c r="JR134" s="1"/>
      <c r="JS134" s="1"/>
      <c r="JT134" s="1"/>
      <c r="JU134" s="1"/>
      <c r="JV134" s="1"/>
      <c r="JW134" s="1"/>
      <c r="JX134" s="1"/>
      <c r="JY134" s="1"/>
      <c r="JZ134" s="1"/>
      <c r="KA134" s="1"/>
      <c r="KB134" s="1"/>
      <c r="KC134" s="1"/>
      <c r="KD134" s="1"/>
      <c r="KE134" s="1"/>
      <c r="KF134" s="1"/>
      <c r="KG134" s="1"/>
      <c r="KH134" s="1"/>
      <c r="KI134" s="1"/>
      <c r="KJ134" s="1"/>
      <c r="KK134" s="1"/>
      <c r="KL134" s="1"/>
      <c r="KM134" s="1"/>
      <c r="KN134" s="1"/>
      <c r="KO134" s="1"/>
      <c r="KP134" s="1"/>
      <c r="KQ134" s="1"/>
      <c r="KR134" s="1"/>
      <c r="KS134" s="1"/>
      <c r="KT134" s="1"/>
      <c r="KU134" s="1"/>
      <c r="KV134" s="1"/>
      <c r="KW134" s="1"/>
      <c r="KX134" s="1"/>
      <c r="KY134" s="1"/>
      <c r="KZ134" s="1"/>
      <c r="LA134" s="1"/>
      <c r="LB134" s="1"/>
      <c r="LC134" s="1"/>
      <c r="LD134" s="1"/>
      <c r="LE134" s="1"/>
      <c r="LF134" s="1"/>
      <c r="LG134" s="1"/>
      <c r="LH134" s="1"/>
      <c r="LI134" s="1"/>
      <c r="LJ134" s="1"/>
      <c r="LK134" s="1"/>
      <c r="LL134" s="1"/>
      <c r="LM134" s="1"/>
      <c r="LN134" s="1"/>
      <c r="LO134" s="1"/>
      <c r="LP134" s="1"/>
      <c r="LQ134" s="1"/>
      <c r="LR134" s="1"/>
      <c r="LS134" s="1"/>
      <c r="LT134" s="1"/>
      <c r="LU134" s="1"/>
      <c r="LV134" s="1"/>
      <c r="LW134" s="1"/>
      <c r="LX134" s="1"/>
      <c r="LY134" s="1"/>
      <c r="LZ134" s="1"/>
      <c r="MA134" s="1"/>
      <c r="MB134" s="1"/>
      <c r="MC134" s="1"/>
      <c r="MD134" s="1"/>
      <c r="ME134" s="1"/>
      <c r="MF134" s="1"/>
      <c r="MG134" s="1"/>
      <c r="MH134" s="1"/>
      <c r="MI134" s="1"/>
      <c r="MJ134" s="1"/>
      <c r="MK134" s="1"/>
      <c r="ML134" s="1"/>
      <c r="MM134" s="1"/>
      <c r="MN134" s="1"/>
      <c r="MO134" s="1"/>
      <c r="MP134" s="1"/>
      <c r="MQ134" s="1"/>
      <c r="MR134" s="1"/>
      <c r="MS134" s="1"/>
      <c r="MT134" s="1"/>
      <c r="MU134" s="1"/>
      <c r="MV134" s="1"/>
      <c r="MW134" s="1"/>
      <c r="MX134" s="1"/>
      <c r="MY134" s="1"/>
      <c r="MZ134" s="1"/>
      <c r="NA134" s="1"/>
      <c r="NB134" s="1"/>
      <c r="NC134" s="1"/>
      <c r="ND134" s="1"/>
      <c r="NE134" s="1"/>
      <c r="NF134" s="1"/>
      <c r="NG134" s="1"/>
      <c r="NH134" s="1"/>
      <c r="NI134" s="1"/>
      <c r="NJ134" s="1"/>
      <c r="NK134" s="1"/>
      <c r="NL134" s="1"/>
      <c r="NM134" s="1"/>
      <c r="NN134" s="1"/>
      <c r="NO134" s="1"/>
      <c r="NP134" s="1"/>
      <c r="NQ134" s="1"/>
      <c r="NR134" s="1"/>
      <c r="NS134" s="1"/>
      <c r="NT134" s="1"/>
      <c r="NU134" s="1"/>
      <c r="NV134" s="1"/>
      <c r="NW134" s="1"/>
      <c r="NX134" s="1"/>
      <c r="NY134" s="1"/>
      <c r="NZ134" s="1"/>
      <c r="OA134" s="1"/>
      <c r="OB134" s="1"/>
      <c r="OC134" s="1"/>
      <c r="OD134" s="1"/>
      <c r="OE134" s="1"/>
      <c r="OF134" s="1"/>
      <c r="OG134" s="1"/>
      <c r="OH134" s="1"/>
      <c r="OI134" s="1"/>
      <c r="OJ134" s="1"/>
      <c r="OK134" s="1"/>
      <c r="OL134" s="1"/>
      <c r="OM134" s="1"/>
      <c r="ON134" s="1"/>
      <c r="OO134" s="1"/>
      <c r="OP134" s="1"/>
      <c r="OQ134" s="1"/>
      <c r="OR134" s="1"/>
      <c r="OS134" s="1"/>
      <c r="OT134" s="1"/>
      <c r="OU134" s="1"/>
      <c r="OV134" s="1"/>
      <c r="OW134" s="1"/>
      <c r="OX134" s="1"/>
      <c r="OY134" s="1"/>
      <c r="OZ134" s="1"/>
      <c r="PA134" s="1"/>
      <c r="PB134" s="1"/>
      <c r="PC134" s="1"/>
      <c r="PD134" s="1"/>
      <c r="PE134" s="1"/>
      <c r="PF134" s="1"/>
      <c r="PG134" s="1"/>
      <c r="PH134" s="1"/>
      <c r="PI134" s="1"/>
      <c r="PJ134" s="1"/>
      <c r="PK134" s="1"/>
      <c r="PL134" s="1"/>
      <c r="PM134" s="1"/>
      <c r="PN134" s="1"/>
      <c r="PO134" s="1"/>
      <c r="PP134" s="1"/>
      <c r="PQ134" s="1"/>
      <c r="PR134" s="1"/>
      <c r="PS134" s="1"/>
      <c r="PT134" s="1"/>
      <c r="PU134" s="1"/>
      <c r="PV134" s="1"/>
      <c r="PW134" s="1"/>
      <c r="PX134" s="1"/>
      <c r="PY134" s="1"/>
      <c r="PZ134" s="1"/>
      <c r="QA134" s="1"/>
      <c r="QB134" s="1"/>
      <c r="QC134" s="1"/>
      <c r="QD134" s="1"/>
      <c r="QE134" s="1"/>
      <c r="QF134" s="1"/>
      <c r="QG134" s="1"/>
      <c r="QH134" s="1"/>
      <c r="QI134" s="1"/>
      <c r="QJ134" s="1"/>
      <c r="QK134" s="1"/>
      <c r="QL134" s="1"/>
      <c r="QM134" s="1"/>
      <c r="QN134" s="1"/>
      <c r="QO134" s="1"/>
      <c r="QP134" s="1"/>
      <c r="QQ134" s="1"/>
      <c r="QR134" s="1"/>
      <c r="QS134" s="1"/>
      <c r="QT134" s="1"/>
      <c r="QU134" s="1"/>
      <c r="QV134" s="1"/>
      <c r="QW134" s="1"/>
      <c r="QX134" s="1"/>
      <c r="QY134" s="1"/>
      <c r="QZ134" s="1"/>
      <c r="RA134" s="1"/>
      <c r="RB134" s="1"/>
      <c r="RC134" s="1"/>
      <c r="RD134" s="1"/>
      <c r="RE134" s="1"/>
      <c r="RF134" s="1"/>
      <c r="RG134" s="1"/>
      <c r="RH134" s="1"/>
      <c r="RI134" s="1"/>
      <c r="RJ134" s="1"/>
      <c r="RK134" s="1"/>
      <c r="RL134" s="1"/>
      <c r="RM134" s="1"/>
      <c r="RN134" s="1"/>
      <c r="RO134" s="1"/>
      <c r="RP134" s="1"/>
      <c r="RQ134" s="1"/>
      <c r="RR134" s="1"/>
      <c r="RS134" s="1"/>
      <c r="RT134" s="1"/>
      <c r="RU134" s="1"/>
      <c r="RV134" s="1"/>
      <c r="RW134" s="1"/>
      <c r="RX134" s="1"/>
      <c r="RY134" s="1"/>
      <c r="RZ134" s="1"/>
      <c r="SA134" s="1"/>
      <c r="SB134" s="1"/>
      <c r="SC134" s="1"/>
      <c r="SD134" s="1"/>
      <c r="SE134" s="1"/>
      <c r="SF134" s="1"/>
      <c r="SG134" s="1"/>
      <c r="SH134" s="1"/>
      <c r="SI134" s="1"/>
      <c r="SJ134" s="1"/>
      <c r="SK134" s="1"/>
      <c r="SL134" s="1"/>
      <c r="SM134" s="1"/>
      <c r="SN134" s="1"/>
      <c r="SO134" s="1"/>
      <c r="SP134" s="1"/>
      <c r="SQ134" s="1"/>
      <c r="SR134" s="1"/>
      <c r="SS134" s="1"/>
      <c r="ST134" s="1"/>
      <c r="SU134" s="1"/>
      <c r="SV134" s="1"/>
      <c r="SW134" s="1"/>
      <c r="SX134" s="1"/>
      <c r="SY134" s="1"/>
      <c r="SZ134" s="1"/>
      <c r="TA134" s="1"/>
      <c r="TB134" s="1"/>
      <c r="TC134" s="1"/>
      <c r="TD134" s="1"/>
      <c r="TE134" s="1"/>
      <c r="TF134" s="1"/>
      <c r="TG134" s="1"/>
      <c r="TH134" s="1"/>
      <c r="TI134" s="1"/>
      <c r="TJ134" s="1"/>
      <c r="TK134" s="1"/>
      <c r="TL134" s="1"/>
      <c r="TM134" s="1"/>
      <c r="TN134" s="1"/>
      <c r="TO134" s="1"/>
      <c r="TP134" s="1"/>
      <c r="TQ134" s="1"/>
      <c r="TR134" s="1"/>
      <c r="TS134" s="1"/>
      <c r="TT134" s="1"/>
      <c r="TU134" s="1"/>
      <c r="TV134" s="1"/>
      <c r="TW134" s="1"/>
      <c r="TX134" s="1"/>
      <c r="TY134" s="1"/>
      <c r="TZ134" s="1"/>
      <c r="UA134" s="1"/>
      <c r="UB134" s="1"/>
      <c r="UC134" s="1"/>
      <c r="UD134" s="1"/>
      <c r="UE134" s="1"/>
      <c r="UF134" s="1"/>
      <c r="UG134" s="1"/>
      <c r="UH134" s="1"/>
      <c r="UI134" s="1"/>
      <c r="UJ134" s="1"/>
      <c r="UK134" s="1"/>
      <c r="UL134" s="1"/>
      <c r="UM134" s="1"/>
      <c r="UN134" s="1"/>
      <c r="UO134" s="1"/>
      <c r="UP134" s="1"/>
      <c r="UQ134" s="1"/>
      <c r="UR134" s="1"/>
      <c r="US134" s="1"/>
      <c r="UT134" s="1"/>
      <c r="UU134" s="1"/>
      <c r="UV134" s="1"/>
      <c r="UW134" s="1"/>
      <c r="UX134" s="1"/>
      <c r="UY134" s="1"/>
      <c r="UZ134" s="1"/>
      <c r="VA134" s="1"/>
      <c r="VB134" s="1"/>
      <c r="VC134" s="1"/>
      <c r="VD134" s="1"/>
      <c r="VE134" s="1"/>
      <c r="VF134" s="1"/>
      <c r="VG134" s="1"/>
      <c r="VH134" s="1"/>
      <c r="VI134" s="1"/>
      <c r="VJ134" s="1"/>
      <c r="VK134" s="1"/>
      <c r="VL134" s="1"/>
      <c r="VM134" s="1"/>
      <c r="VN134" s="1"/>
      <c r="VO134" s="1"/>
      <c r="VP134" s="1"/>
      <c r="VQ134" s="1"/>
      <c r="VR134" s="1"/>
      <c r="VS134" s="1"/>
      <c r="VT134" s="1"/>
      <c r="VU134" s="1"/>
      <c r="VV134" s="1"/>
      <c r="VW134" s="1"/>
      <c r="VX134" s="1"/>
      <c r="VY134" s="1"/>
      <c r="VZ134" s="1"/>
      <c r="WA134" s="1"/>
      <c r="WB134" s="1"/>
      <c r="WC134" s="1"/>
      <c r="WD134" s="1"/>
      <c r="WE134" s="1"/>
      <c r="WF134" s="1"/>
      <c r="WG134" s="1"/>
      <c r="WH134" s="1"/>
      <c r="WI134" s="1"/>
      <c r="WJ134" s="1"/>
      <c r="WK134" s="1"/>
      <c r="WL134" s="1"/>
      <c r="WM134" s="1"/>
      <c r="WN134" s="1"/>
      <c r="WO134" s="1"/>
      <c r="WP134" s="1"/>
      <c r="WQ134" s="1"/>
      <c r="WR134" s="1"/>
      <c r="WS134" s="1"/>
      <c r="WT134" s="1"/>
      <c r="WU134" s="1"/>
      <c r="WV134" s="1"/>
      <c r="WW134" s="1"/>
      <c r="WX134" s="1"/>
      <c r="WY134" s="1"/>
      <c r="WZ134" s="1"/>
      <c r="XA134" s="1"/>
      <c r="XB134" s="1"/>
      <c r="XC134" s="1"/>
      <c r="XD134" s="1"/>
      <c r="XE134" s="1"/>
      <c r="XF134" s="1"/>
      <c r="XG134" s="1"/>
      <c r="XH134" s="1"/>
      <c r="XI134" s="1"/>
      <c r="XJ134" s="1"/>
      <c r="XK134" s="1"/>
      <c r="XL134" s="1"/>
      <c r="XM134" s="1"/>
      <c r="XN134" s="1"/>
      <c r="XO134" s="1"/>
      <c r="XP134" s="1"/>
      <c r="XQ134" s="1"/>
      <c r="XR134" s="1"/>
      <c r="XS134" s="1"/>
      <c r="XT134" s="1"/>
      <c r="XU134" s="1"/>
      <c r="XV134" s="1"/>
      <c r="XW134" s="1"/>
      <c r="XX134" s="1"/>
      <c r="XY134" s="1"/>
      <c r="XZ134" s="1"/>
      <c r="YA134" s="1"/>
      <c r="YB134" s="1"/>
      <c r="YC134" s="1"/>
      <c r="YD134" s="1"/>
      <c r="YE134" s="1"/>
      <c r="YF134" s="1"/>
      <c r="YG134" s="1"/>
      <c r="YH134" s="1"/>
      <c r="YI134" s="1"/>
      <c r="YJ134" s="1"/>
      <c r="YK134" s="1"/>
      <c r="YL134" s="1"/>
      <c r="YM134" s="1"/>
      <c r="YN134" s="1"/>
      <c r="YO134" s="1"/>
      <c r="YP134" s="1"/>
      <c r="YQ134" s="1"/>
      <c r="YR134" s="1"/>
      <c r="YS134" s="1"/>
      <c r="YT134" s="1"/>
      <c r="YU134" s="1"/>
      <c r="YV134" s="1"/>
      <c r="YW134" s="1"/>
      <c r="YX134" s="1"/>
      <c r="YY134" s="1"/>
      <c r="YZ134" s="1"/>
      <c r="ZA134" s="1"/>
      <c r="ZB134" s="1"/>
      <c r="ZC134" s="1"/>
      <c r="ZD134" s="1"/>
      <c r="ZE134" s="1"/>
      <c r="ZF134" s="1"/>
      <c r="ZG134" s="1"/>
      <c r="ZH134" s="1"/>
      <c r="ZI134" s="1"/>
      <c r="ZJ134" s="1"/>
      <c r="ZK134" s="1"/>
      <c r="ZL134" s="1"/>
      <c r="ZM134" s="1"/>
      <c r="ZN134" s="1"/>
      <c r="ZO134" s="1"/>
      <c r="ZP134" s="1"/>
      <c r="ZQ134" s="1"/>
      <c r="ZR134" s="1"/>
      <c r="ZS134" s="1"/>
      <c r="ZT134" s="1"/>
      <c r="ZU134" s="1"/>
      <c r="ZV134" s="1"/>
      <c r="ZW134" s="1"/>
      <c r="ZX134" s="1"/>
      <c r="ZY134" s="1"/>
      <c r="ZZ134" s="1"/>
      <c r="AAA134" s="1"/>
      <c r="AAB134" s="1"/>
      <c r="AAC134" s="1"/>
      <c r="AAD134" s="1"/>
      <c r="AAE134" s="1"/>
      <c r="AAF134" s="1"/>
      <c r="AAG134" s="1"/>
      <c r="AAH134" s="1"/>
      <c r="AAI134" s="1"/>
      <c r="AAJ134" s="1"/>
      <c r="AAK134" s="1"/>
      <c r="AAL134" s="1"/>
      <c r="AAM134" s="1"/>
      <c r="AAN134" s="1"/>
      <c r="AAO134" s="1"/>
      <c r="AAP134" s="1"/>
      <c r="AAQ134" s="1"/>
      <c r="AAR134" s="1"/>
      <c r="AAS134" s="1"/>
      <c r="AAT134" s="1"/>
      <c r="AAU134" s="1"/>
      <c r="AAV134" s="1"/>
      <c r="AAW134" s="1"/>
      <c r="AAX134" s="1"/>
      <c r="AAY134" s="1"/>
      <c r="AAZ134" s="1"/>
      <c r="ABA134" s="1"/>
      <c r="ABB134" s="1"/>
      <c r="ABC134" s="1"/>
      <c r="ABD134" s="1"/>
      <c r="ABE134" s="1"/>
      <c r="ABF134" s="1"/>
      <c r="ABG134" s="1"/>
      <c r="ABH134" s="1"/>
      <c r="ABI134" s="1"/>
      <c r="ABJ134" s="1"/>
      <c r="ABK134" s="1"/>
      <c r="ABL134" s="1"/>
      <c r="ABM134" s="1"/>
      <c r="ABN134" s="1"/>
      <c r="ABO134" s="1"/>
      <c r="ABP134" s="1"/>
      <c r="ABQ134" s="1"/>
      <c r="ABR134" s="1"/>
      <c r="ABS134" s="1"/>
      <c r="ABT134" s="1"/>
      <c r="ABU134" s="1"/>
      <c r="ABV134" s="1"/>
      <c r="ABW134" s="1"/>
      <c r="ABX134" s="1"/>
      <c r="ABY134" s="1"/>
      <c r="ABZ134" s="1"/>
      <c r="ACA134" s="1"/>
      <c r="ACB134" s="1"/>
      <c r="ACC134" s="1"/>
      <c r="ACD134" s="1"/>
      <c r="ACE134" s="1"/>
      <c r="ACF134" s="1"/>
      <c r="ACG134" s="1"/>
      <c r="ACH134" s="1"/>
      <c r="ACI134" s="1"/>
      <c r="ACJ134" s="1"/>
      <c r="ACK134" s="1"/>
      <c r="ACL134" s="1"/>
      <c r="ACM134" s="1"/>
      <c r="ACN134" s="1"/>
      <c r="ACO134" s="1"/>
      <c r="ACP134" s="1"/>
      <c r="ACQ134" s="1"/>
      <c r="ACR134" s="1"/>
      <c r="ACS134" s="1"/>
      <c r="ACT134" s="1"/>
      <c r="ACU134" s="1"/>
      <c r="ACV134" s="1"/>
      <c r="ACW134" s="1"/>
      <c r="ACX134" s="1"/>
      <c r="ACY134" s="1"/>
      <c r="ACZ134" s="1"/>
      <c r="ADA134" s="1"/>
      <c r="ADB134" s="1"/>
      <c r="ADC134" s="1"/>
      <c r="ADD134" s="1"/>
      <c r="ADE134" s="1"/>
      <c r="ADF134" s="1"/>
      <c r="ADG134" s="1"/>
      <c r="ADH134" s="1"/>
      <c r="ADI134" s="1"/>
      <c r="ADJ134" s="1"/>
      <c r="ADK134" s="1"/>
      <c r="ADL134" s="1"/>
      <c r="ADM134" s="1"/>
      <c r="ADN134" s="1"/>
      <c r="ADO134" s="1"/>
      <c r="ADP134" s="1"/>
      <c r="ADQ134" s="1"/>
      <c r="ADR134" s="1"/>
      <c r="ADS134" s="1"/>
      <c r="ADT134" s="1"/>
      <c r="ADU134" s="1"/>
      <c r="ADV134" s="1"/>
      <c r="ADW134" s="1"/>
      <c r="ADX134" s="1"/>
      <c r="ADY134" s="1"/>
      <c r="ADZ134" s="1"/>
      <c r="AEA134" s="1"/>
      <c r="AEB134" s="1"/>
      <c r="AEC134" s="1"/>
      <c r="AED134" s="1"/>
      <c r="AEE134" s="1"/>
      <c r="AEF134" s="1"/>
      <c r="AEG134" s="1"/>
      <c r="AEH134" s="1"/>
      <c r="AEI134" s="1"/>
      <c r="AEJ134" s="1"/>
      <c r="AEK134" s="1"/>
      <c r="AEL134" s="1"/>
      <c r="AEM134" s="1"/>
      <c r="AEN134" s="1"/>
      <c r="AEO134" s="1"/>
      <c r="AEP134" s="1"/>
      <c r="AEQ134" s="1"/>
      <c r="AER134" s="1"/>
      <c r="AES134" s="1"/>
      <c r="AET134" s="1"/>
      <c r="AEU134" s="1"/>
      <c r="AEV134" s="1"/>
      <c r="AEW134" s="1"/>
      <c r="AEX134" s="1"/>
      <c r="AEY134" s="1"/>
      <c r="AEZ134" s="1"/>
      <c r="AFA134" s="1"/>
      <c r="AFB134" s="1"/>
      <c r="AFC134" s="1"/>
      <c r="AFD134" s="1"/>
      <c r="AFE134" s="1"/>
      <c r="AFF134" s="1"/>
      <c r="AFG134" s="1"/>
      <c r="AFH134" s="1"/>
      <c r="AFI134" s="1"/>
      <c r="AFJ134" s="1"/>
      <c r="AFK134" s="1"/>
      <c r="AFL134" s="1"/>
      <c r="AFM134" s="1"/>
      <c r="AFN134" s="1"/>
      <c r="AFO134" s="1"/>
      <c r="AFP134" s="1"/>
      <c r="AFQ134" s="1"/>
      <c r="AFR134" s="1"/>
      <c r="AFS134" s="1"/>
      <c r="AFT134" s="1"/>
      <c r="AFU134" s="1"/>
      <c r="AFV134" s="1"/>
      <c r="AFW134" s="1"/>
      <c r="AFX134" s="1"/>
      <c r="AFY134" s="1"/>
      <c r="AFZ134" s="1"/>
      <c r="AGA134" s="1"/>
      <c r="AGB134" s="1"/>
      <c r="AGC134" s="1"/>
      <c r="AGD134" s="1"/>
      <c r="AGE134" s="1"/>
      <c r="AGF134" s="1"/>
      <c r="AGG134" s="1"/>
      <c r="AGH134" s="1"/>
      <c r="AGI134" s="1"/>
      <c r="AGJ134" s="1"/>
      <c r="AGK134" s="1"/>
      <c r="AGL134" s="1"/>
      <c r="AGM134" s="1"/>
      <c r="AGN134" s="1"/>
      <c r="AGO134" s="1"/>
      <c r="AGP134" s="1"/>
      <c r="AGQ134" s="1"/>
      <c r="AGR134" s="1"/>
      <c r="AGS134" s="1"/>
      <c r="AGT134" s="1"/>
      <c r="AGU134" s="1"/>
      <c r="AGV134" s="1"/>
      <c r="AGW134" s="1"/>
      <c r="AGX134" s="1"/>
      <c r="AGY134" s="1"/>
      <c r="AGZ134" s="1"/>
      <c r="AHA134" s="1"/>
      <c r="AHB134" s="1"/>
      <c r="AHC134" s="1"/>
      <c r="AHD134" s="1"/>
      <c r="AHE134" s="1"/>
      <c r="AHF134" s="1"/>
      <c r="AHG134" s="1"/>
      <c r="AHH134" s="1"/>
      <c r="AHI134" s="1"/>
      <c r="AHJ134" s="1"/>
      <c r="AHK134" s="1"/>
      <c r="AHL134" s="1"/>
      <c r="AHM134" s="1"/>
      <c r="AHN134" s="1"/>
      <c r="AHO134" s="1"/>
      <c r="AHP134" s="1"/>
      <c r="AHQ134" s="1"/>
      <c r="AHR134" s="1"/>
      <c r="AHS134" s="1"/>
      <c r="AHT134" s="1"/>
      <c r="AHU134" s="1"/>
      <c r="AHV134" s="1"/>
      <c r="AHW134" s="1"/>
      <c r="AHX134" s="1"/>
      <c r="AHY134" s="1"/>
      <c r="AHZ134" s="1"/>
      <c r="AIA134" s="1"/>
      <c r="AIB134" s="1"/>
      <c r="AIC134" s="1"/>
      <c r="AID134" s="1"/>
      <c r="AIE134" s="1"/>
      <c r="AIF134" s="1"/>
      <c r="AIG134" s="1"/>
      <c r="AIH134" s="1"/>
      <c r="AII134" s="1"/>
      <c r="AIJ134" s="1"/>
      <c r="AIK134" s="1"/>
      <c r="AIL134" s="1"/>
      <c r="AIM134" s="1"/>
      <c r="AIN134" s="1"/>
      <c r="AIO134" s="1"/>
      <c r="AIP134" s="1"/>
      <c r="AIQ134" s="1"/>
      <c r="AIR134" s="1"/>
      <c r="AIS134" s="1"/>
      <c r="AIT134" s="1"/>
      <c r="AIU134" s="1"/>
      <c r="AIV134" s="1"/>
      <c r="AIW134" s="1"/>
      <c r="AIX134" s="1"/>
      <c r="AIY134" s="1"/>
      <c r="AIZ134" s="1"/>
      <c r="AJA134" s="1"/>
      <c r="AJB134" s="1"/>
      <c r="AJC134" s="1"/>
      <c r="AJD134" s="1"/>
      <c r="AJE134" s="1"/>
      <c r="AJF134" s="1"/>
      <c r="AJG134" s="1"/>
      <c r="AJH134" s="1"/>
      <c r="AJI134" s="1"/>
      <c r="AJJ134" s="1"/>
      <c r="AJK134" s="1"/>
      <c r="AJL134" s="1"/>
      <c r="AJM134" s="1"/>
      <c r="AJN134" s="1"/>
      <c r="AJO134" s="1"/>
      <c r="AJP134" s="1"/>
      <c r="AJQ134" s="1"/>
      <c r="AJR134" s="1"/>
      <c r="AJS134" s="1"/>
      <c r="AJT134" s="1"/>
      <c r="AJU134" s="1"/>
      <c r="AJV134" s="1"/>
      <c r="AJW134" s="1"/>
      <c r="AJX134" s="1"/>
      <c r="AJY134" s="1"/>
      <c r="AJZ134" s="1"/>
      <c r="AKA134" s="1"/>
      <c r="AKB134" s="1"/>
      <c r="AKC134" s="1"/>
      <c r="AKD134" s="1"/>
      <c r="AKE134" s="1"/>
      <c r="AKF134" s="1"/>
      <c r="AKG134" s="1"/>
      <c r="AKH134" s="1"/>
      <c r="AKI134" s="1"/>
      <c r="AKJ134" s="1"/>
      <c r="AKK134" s="1"/>
      <c r="AKL134" s="1"/>
      <c r="AKM134" s="1"/>
      <c r="AKN134" s="1"/>
      <c r="AKO134" s="1"/>
      <c r="AKP134" s="1"/>
      <c r="AKQ134" s="1"/>
      <c r="AKR134" s="1"/>
      <c r="AKS134" s="1"/>
      <c r="AKT134" s="1"/>
      <c r="AKU134" s="1"/>
      <c r="AKV134" s="1"/>
      <c r="AKW134" s="1"/>
      <c r="AKX134" s="1"/>
      <c r="AKY134" s="1"/>
      <c r="AKZ134" s="1"/>
      <c r="ALA134" s="1"/>
      <c r="ALB134" s="1"/>
      <c r="ALC134" s="1"/>
      <c r="ALD134" s="1"/>
      <c r="ALE134" s="1"/>
      <c r="ALF134" s="1"/>
      <c r="ALG134" s="1"/>
      <c r="ALH134" s="1"/>
      <c r="ALI134" s="1"/>
      <c r="ALJ134" s="1"/>
      <c r="ALK134" s="1"/>
      <c r="ALL134" s="1"/>
      <c r="ALM134" s="1"/>
      <c r="ALN134" s="1"/>
      <c r="ALO134" s="1"/>
      <c r="ALP134" s="1"/>
      <c r="ALQ134" s="1"/>
      <c r="ALR134" s="1"/>
      <c r="ALS134" s="1"/>
      <c r="ALT134" s="1"/>
      <c r="ALU134" s="1"/>
      <c r="ALV134" s="1"/>
      <c r="ALW134" s="1"/>
      <c r="ALX134" s="1"/>
      <c r="ALY134" s="1"/>
      <c r="ALZ134" s="1"/>
      <c r="AMA134" s="1"/>
      <c r="AMB134" s="1"/>
      <c r="AMC134" s="1"/>
      <c r="AMD134" s="1"/>
      <c r="AME134" s="1"/>
      <c r="AMF134" s="1"/>
      <c r="AMG134" s="1"/>
      <c r="AMH134" s="1"/>
      <c r="AMI134" s="1"/>
      <c r="AMJ134" s="1"/>
    </row>
    <row r="135" customFormat="false" ht="10.5" hidden="false" customHeight="true" outlineLevel="0" collapsed="false">
      <c r="A135" s="162"/>
      <c r="B135" s="162"/>
      <c r="C135" s="162"/>
      <c r="D135" s="162"/>
      <c r="E135" s="162"/>
      <c r="F135" s="162"/>
      <c r="G135" s="162"/>
      <c r="H135" s="162"/>
      <c r="I135" s="162"/>
      <c r="J135" s="19"/>
      <c r="K135" s="19"/>
      <c r="L135" s="19"/>
      <c r="M135" s="185"/>
      <c r="N135" s="185"/>
      <c r="O135" s="185"/>
      <c r="P135" s="186" t="n">
        <f aca="false">J135*M135</f>
        <v>0</v>
      </c>
      <c r="Q135" s="186"/>
      <c r="R135" s="186"/>
      <c r="S135" s="181"/>
      <c r="T135" s="166"/>
      <c r="U135" s="166"/>
      <c r="V135" s="166"/>
      <c r="W135" s="166"/>
      <c r="X135" s="166"/>
      <c r="Y135" s="166"/>
      <c r="Z135" s="166"/>
      <c r="AA135" s="166"/>
      <c r="AB135" s="166"/>
      <c r="AC135" s="166"/>
      <c r="AD135" s="166"/>
      <c r="AE135" s="19"/>
      <c r="AF135" s="19"/>
      <c r="AG135" s="19"/>
      <c r="AH135" s="185"/>
      <c r="AI135" s="185"/>
      <c r="AJ135" s="185"/>
      <c r="AK135" s="185"/>
      <c r="AL135" s="186" t="n">
        <f aca="false">AE135*AH135</f>
        <v>0</v>
      </c>
      <c r="AM135" s="186"/>
      <c r="AN135" s="186"/>
      <c r="AO135" s="186"/>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c r="DZ135" s="1"/>
      <c r="EA135" s="1"/>
      <c r="EB135" s="1"/>
      <c r="EC135" s="1"/>
      <c r="ED135" s="1"/>
      <c r="EE135" s="1"/>
      <c r="EF135" s="1"/>
      <c r="EG135" s="1"/>
      <c r="EH135" s="1"/>
      <c r="EI135" s="1"/>
      <c r="EJ135" s="1"/>
      <c r="EK135" s="1"/>
      <c r="EL135" s="1"/>
      <c r="EM135" s="1"/>
      <c r="EN135" s="1"/>
      <c r="EO135" s="1"/>
      <c r="EP135" s="1"/>
      <c r="EQ135" s="1"/>
      <c r="ER135" s="1"/>
      <c r="ES135" s="1"/>
      <c r="ET135" s="1"/>
      <c r="EU135" s="1"/>
      <c r="EV135" s="1"/>
      <c r="EW135" s="1"/>
      <c r="EX135" s="1"/>
      <c r="EY135" s="1"/>
      <c r="EZ135" s="1"/>
      <c r="FA135" s="1"/>
      <c r="FB135" s="1"/>
      <c r="FC135" s="1"/>
      <c r="FD135" s="1"/>
      <c r="FE135" s="1"/>
      <c r="FF135" s="1"/>
      <c r="FG135" s="1"/>
      <c r="FH135" s="1"/>
      <c r="FI135" s="1"/>
      <c r="FJ135" s="1"/>
      <c r="FK135" s="1"/>
      <c r="FL135" s="1"/>
      <c r="FM135" s="1"/>
      <c r="FN135" s="1"/>
      <c r="FO135" s="1"/>
      <c r="FP135" s="1"/>
      <c r="FQ135" s="1"/>
      <c r="FR135" s="1"/>
      <c r="FS135" s="1"/>
      <c r="FT135" s="1"/>
      <c r="FU135" s="1"/>
      <c r="FV135" s="1"/>
      <c r="FW135" s="1"/>
      <c r="FX135" s="1"/>
      <c r="FY135" s="1"/>
      <c r="FZ135" s="1"/>
      <c r="GA135" s="1"/>
      <c r="GB135" s="1"/>
      <c r="GC135" s="1"/>
      <c r="GD135" s="1"/>
      <c r="GE135" s="1"/>
      <c r="GF135" s="1"/>
      <c r="GG135" s="1"/>
      <c r="GH135" s="1"/>
      <c r="GI135" s="1"/>
      <c r="GJ135" s="1"/>
      <c r="GK135" s="1"/>
      <c r="GL135" s="1"/>
      <c r="GM135" s="1"/>
      <c r="GN135" s="1"/>
      <c r="GO135" s="1"/>
      <c r="GP135" s="1"/>
      <c r="GQ135" s="1"/>
      <c r="GR135" s="1"/>
      <c r="GS135" s="1"/>
      <c r="GT135" s="1"/>
      <c r="GU135" s="1"/>
      <c r="GV135" s="1"/>
      <c r="GW135" s="1"/>
      <c r="GX135" s="1"/>
      <c r="GY135" s="1"/>
      <c r="GZ135" s="1"/>
      <c r="HA135" s="1"/>
      <c r="HB135" s="1"/>
      <c r="HC135" s="1"/>
      <c r="HD135" s="1"/>
      <c r="HE135" s="1"/>
      <c r="HF135" s="1"/>
      <c r="HG135" s="1"/>
      <c r="HH135" s="1"/>
      <c r="HI135" s="1"/>
      <c r="HJ135" s="1"/>
      <c r="HK135" s="1"/>
      <c r="HL135" s="1"/>
      <c r="HM135" s="1"/>
      <c r="HN135" s="1"/>
      <c r="HO135" s="1"/>
      <c r="HP135" s="1"/>
      <c r="HQ135" s="1"/>
      <c r="HR135" s="1"/>
      <c r="HS135" s="1"/>
      <c r="HT135" s="1"/>
      <c r="HU135" s="1"/>
      <c r="HV135" s="1"/>
      <c r="HW135" s="1"/>
      <c r="HX135" s="1"/>
      <c r="HY135" s="1"/>
      <c r="HZ135" s="1"/>
      <c r="IA135" s="1"/>
      <c r="IB135" s="1"/>
      <c r="IC135" s="1"/>
      <c r="ID135" s="1"/>
      <c r="IE135" s="1"/>
      <c r="IF135" s="1"/>
      <c r="IG135" s="1"/>
      <c r="IH135" s="1"/>
      <c r="II135" s="1"/>
      <c r="IJ135" s="1"/>
      <c r="IK135" s="1"/>
      <c r="IL135" s="1"/>
      <c r="IM135" s="1"/>
      <c r="IN135" s="1"/>
      <c r="IO135" s="1"/>
      <c r="IP135" s="1"/>
      <c r="IQ135" s="1"/>
      <c r="IR135" s="1"/>
      <c r="IS135" s="1"/>
      <c r="IT135" s="1"/>
      <c r="IU135" s="1"/>
      <c r="IV135" s="1"/>
      <c r="IW135" s="1"/>
      <c r="IX135" s="1"/>
      <c r="IY135" s="1"/>
      <c r="IZ135" s="1"/>
      <c r="JA135" s="1"/>
      <c r="JB135" s="1"/>
      <c r="JC135" s="1"/>
      <c r="JD135" s="1"/>
      <c r="JE135" s="1"/>
      <c r="JF135" s="1"/>
      <c r="JG135" s="1"/>
      <c r="JH135" s="1"/>
      <c r="JI135" s="1"/>
      <c r="JJ135" s="1"/>
      <c r="JK135" s="1"/>
      <c r="JL135" s="1"/>
      <c r="JM135" s="1"/>
      <c r="JN135" s="1"/>
      <c r="JO135" s="1"/>
      <c r="JP135" s="1"/>
      <c r="JQ135" s="1"/>
      <c r="JR135" s="1"/>
      <c r="JS135" s="1"/>
      <c r="JT135" s="1"/>
      <c r="JU135" s="1"/>
      <c r="JV135" s="1"/>
      <c r="JW135" s="1"/>
      <c r="JX135" s="1"/>
      <c r="JY135" s="1"/>
      <c r="JZ135" s="1"/>
      <c r="KA135" s="1"/>
      <c r="KB135" s="1"/>
      <c r="KC135" s="1"/>
      <c r="KD135" s="1"/>
      <c r="KE135" s="1"/>
      <c r="KF135" s="1"/>
      <c r="KG135" s="1"/>
      <c r="KH135" s="1"/>
      <c r="KI135" s="1"/>
      <c r="KJ135" s="1"/>
      <c r="KK135" s="1"/>
      <c r="KL135" s="1"/>
      <c r="KM135" s="1"/>
      <c r="KN135" s="1"/>
      <c r="KO135" s="1"/>
      <c r="KP135" s="1"/>
      <c r="KQ135" s="1"/>
      <c r="KR135" s="1"/>
      <c r="KS135" s="1"/>
      <c r="KT135" s="1"/>
      <c r="KU135" s="1"/>
      <c r="KV135" s="1"/>
      <c r="KW135" s="1"/>
      <c r="KX135" s="1"/>
      <c r="KY135" s="1"/>
      <c r="KZ135" s="1"/>
      <c r="LA135" s="1"/>
      <c r="LB135" s="1"/>
      <c r="LC135" s="1"/>
      <c r="LD135" s="1"/>
      <c r="LE135" s="1"/>
      <c r="LF135" s="1"/>
      <c r="LG135" s="1"/>
      <c r="LH135" s="1"/>
      <c r="LI135" s="1"/>
      <c r="LJ135" s="1"/>
      <c r="LK135" s="1"/>
      <c r="LL135" s="1"/>
      <c r="LM135" s="1"/>
      <c r="LN135" s="1"/>
      <c r="LO135" s="1"/>
      <c r="LP135" s="1"/>
      <c r="LQ135" s="1"/>
      <c r="LR135" s="1"/>
      <c r="LS135" s="1"/>
      <c r="LT135" s="1"/>
      <c r="LU135" s="1"/>
      <c r="LV135" s="1"/>
      <c r="LW135" s="1"/>
      <c r="LX135" s="1"/>
      <c r="LY135" s="1"/>
      <c r="LZ135" s="1"/>
      <c r="MA135" s="1"/>
      <c r="MB135" s="1"/>
      <c r="MC135" s="1"/>
      <c r="MD135" s="1"/>
      <c r="ME135" s="1"/>
      <c r="MF135" s="1"/>
      <c r="MG135" s="1"/>
      <c r="MH135" s="1"/>
      <c r="MI135" s="1"/>
      <c r="MJ135" s="1"/>
      <c r="MK135" s="1"/>
      <c r="ML135" s="1"/>
      <c r="MM135" s="1"/>
      <c r="MN135" s="1"/>
      <c r="MO135" s="1"/>
      <c r="MP135" s="1"/>
      <c r="MQ135" s="1"/>
      <c r="MR135" s="1"/>
      <c r="MS135" s="1"/>
      <c r="MT135" s="1"/>
      <c r="MU135" s="1"/>
      <c r="MV135" s="1"/>
      <c r="MW135" s="1"/>
      <c r="MX135" s="1"/>
      <c r="MY135" s="1"/>
      <c r="MZ135" s="1"/>
      <c r="NA135" s="1"/>
      <c r="NB135" s="1"/>
      <c r="NC135" s="1"/>
      <c r="ND135" s="1"/>
      <c r="NE135" s="1"/>
      <c r="NF135" s="1"/>
      <c r="NG135" s="1"/>
      <c r="NH135" s="1"/>
      <c r="NI135" s="1"/>
      <c r="NJ135" s="1"/>
      <c r="NK135" s="1"/>
      <c r="NL135" s="1"/>
      <c r="NM135" s="1"/>
      <c r="NN135" s="1"/>
      <c r="NO135" s="1"/>
      <c r="NP135" s="1"/>
      <c r="NQ135" s="1"/>
      <c r="NR135" s="1"/>
      <c r="NS135" s="1"/>
      <c r="NT135" s="1"/>
      <c r="NU135" s="1"/>
      <c r="NV135" s="1"/>
      <c r="NW135" s="1"/>
      <c r="NX135" s="1"/>
      <c r="NY135" s="1"/>
      <c r="NZ135" s="1"/>
      <c r="OA135" s="1"/>
      <c r="OB135" s="1"/>
      <c r="OC135" s="1"/>
      <c r="OD135" s="1"/>
      <c r="OE135" s="1"/>
      <c r="OF135" s="1"/>
      <c r="OG135" s="1"/>
      <c r="OH135" s="1"/>
      <c r="OI135" s="1"/>
      <c r="OJ135" s="1"/>
      <c r="OK135" s="1"/>
      <c r="OL135" s="1"/>
      <c r="OM135" s="1"/>
      <c r="ON135" s="1"/>
      <c r="OO135" s="1"/>
      <c r="OP135" s="1"/>
      <c r="OQ135" s="1"/>
      <c r="OR135" s="1"/>
      <c r="OS135" s="1"/>
      <c r="OT135" s="1"/>
      <c r="OU135" s="1"/>
      <c r="OV135" s="1"/>
      <c r="OW135" s="1"/>
      <c r="OX135" s="1"/>
      <c r="OY135" s="1"/>
      <c r="OZ135" s="1"/>
      <c r="PA135" s="1"/>
      <c r="PB135" s="1"/>
      <c r="PC135" s="1"/>
      <c r="PD135" s="1"/>
      <c r="PE135" s="1"/>
      <c r="PF135" s="1"/>
      <c r="PG135" s="1"/>
      <c r="PH135" s="1"/>
      <c r="PI135" s="1"/>
      <c r="PJ135" s="1"/>
      <c r="PK135" s="1"/>
      <c r="PL135" s="1"/>
      <c r="PM135" s="1"/>
      <c r="PN135" s="1"/>
      <c r="PO135" s="1"/>
      <c r="PP135" s="1"/>
      <c r="PQ135" s="1"/>
      <c r="PR135" s="1"/>
      <c r="PS135" s="1"/>
      <c r="PT135" s="1"/>
      <c r="PU135" s="1"/>
      <c r="PV135" s="1"/>
      <c r="PW135" s="1"/>
      <c r="PX135" s="1"/>
      <c r="PY135" s="1"/>
      <c r="PZ135" s="1"/>
      <c r="QA135" s="1"/>
      <c r="QB135" s="1"/>
      <c r="QC135" s="1"/>
      <c r="QD135" s="1"/>
      <c r="QE135" s="1"/>
      <c r="QF135" s="1"/>
      <c r="QG135" s="1"/>
      <c r="QH135" s="1"/>
      <c r="QI135" s="1"/>
      <c r="QJ135" s="1"/>
      <c r="QK135" s="1"/>
      <c r="QL135" s="1"/>
      <c r="QM135" s="1"/>
      <c r="QN135" s="1"/>
      <c r="QO135" s="1"/>
      <c r="QP135" s="1"/>
      <c r="QQ135" s="1"/>
      <c r="QR135" s="1"/>
      <c r="QS135" s="1"/>
      <c r="QT135" s="1"/>
      <c r="QU135" s="1"/>
      <c r="QV135" s="1"/>
      <c r="QW135" s="1"/>
      <c r="QX135" s="1"/>
      <c r="QY135" s="1"/>
      <c r="QZ135" s="1"/>
      <c r="RA135" s="1"/>
      <c r="RB135" s="1"/>
      <c r="RC135" s="1"/>
      <c r="RD135" s="1"/>
      <c r="RE135" s="1"/>
      <c r="RF135" s="1"/>
      <c r="RG135" s="1"/>
      <c r="RH135" s="1"/>
      <c r="RI135" s="1"/>
      <c r="RJ135" s="1"/>
      <c r="RK135" s="1"/>
      <c r="RL135" s="1"/>
      <c r="RM135" s="1"/>
      <c r="RN135" s="1"/>
      <c r="RO135" s="1"/>
      <c r="RP135" s="1"/>
      <c r="RQ135" s="1"/>
      <c r="RR135" s="1"/>
      <c r="RS135" s="1"/>
      <c r="RT135" s="1"/>
      <c r="RU135" s="1"/>
      <c r="RV135" s="1"/>
      <c r="RW135" s="1"/>
      <c r="RX135" s="1"/>
      <c r="RY135" s="1"/>
      <c r="RZ135" s="1"/>
      <c r="SA135" s="1"/>
      <c r="SB135" s="1"/>
      <c r="SC135" s="1"/>
      <c r="SD135" s="1"/>
      <c r="SE135" s="1"/>
      <c r="SF135" s="1"/>
      <c r="SG135" s="1"/>
      <c r="SH135" s="1"/>
      <c r="SI135" s="1"/>
      <c r="SJ135" s="1"/>
      <c r="SK135" s="1"/>
      <c r="SL135" s="1"/>
      <c r="SM135" s="1"/>
      <c r="SN135" s="1"/>
      <c r="SO135" s="1"/>
      <c r="SP135" s="1"/>
      <c r="SQ135" s="1"/>
      <c r="SR135" s="1"/>
      <c r="SS135" s="1"/>
      <c r="ST135" s="1"/>
      <c r="SU135" s="1"/>
      <c r="SV135" s="1"/>
      <c r="SW135" s="1"/>
      <c r="SX135" s="1"/>
      <c r="SY135" s="1"/>
      <c r="SZ135" s="1"/>
      <c r="TA135" s="1"/>
      <c r="TB135" s="1"/>
      <c r="TC135" s="1"/>
      <c r="TD135" s="1"/>
      <c r="TE135" s="1"/>
      <c r="TF135" s="1"/>
      <c r="TG135" s="1"/>
      <c r="TH135" s="1"/>
      <c r="TI135" s="1"/>
      <c r="TJ135" s="1"/>
      <c r="TK135" s="1"/>
      <c r="TL135" s="1"/>
      <c r="TM135" s="1"/>
      <c r="TN135" s="1"/>
      <c r="TO135" s="1"/>
      <c r="TP135" s="1"/>
      <c r="TQ135" s="1"/>
      <c r="TR135" s="1"/>
      <c r="TS135" s="1"/>
      <c r="TT135" s="1"/>
      <c r="TU135" s="1"/>
      <c r="TV135" s="1"/>
      <c r="TW135" s="1"/>
      <c r="TX135" s="1"/>
      <c r="TY135" s="1"/>
      <c r="TZ135" s="1"/>
      <c r="UA135" s="1"/>
      <c r="UB135" s="1"/>
      <c r="UC135" s="1"/>
      <c r="UD135" s="1"/>
      <c r="UE135" s="1"/>
      <c r="UF135" s="1"/>
      <c r="UG135" s="1"/>
      <c r="UH135" s="1"/>
      <c r="UI135" s="1"/>
      <c r="UJ135" s="1"/>
      <c r="UK135" s="1"/>
      <c r="UL135" s="1"/>
      <c r="UM135" s="1"/>
      <c r="UN135" s="1"/>
      <c r="UO135" s="1"/>
      <c r="UP135" s="1"/>
      <c r="UQ135" s="1"/>
      <c r="UR135" s="1"/>
      <c r="US135" s="1"/>
      <c r="UT135" s="1"/>
      <c r="UU135" s="1"/>
      <c r="UV135" s="1"/>
      <c r="UW135" s="1"/>
      <c r="UX135" s="1"/>
      <c r="UY135" s="1"/>
      <c r="UZ135" s="1"/>
      <c r="VA135" s="1"/>
      <c r="VB135" s="1"/>
      <c r="VC135" s="1"/>
      <c r="VD135" s="1"/>
      <c r="VE135" s="1"/>
      <c r="VF135" s="1"/>
      <c r="VG135" s="1"/>
      <c r="VH135" s="1"/>
      <c r="VI135" s="1"/>
      <c r="VJ135" s="1"/>
      <c r="VK135" s="1"/>
      <c r="VL135" s="1"/>
      <c r="VM135" s="1"/>
      <c r="VN135" s="1"/>
      <c r="VO135" s="1"/>
      <c r="VP135" s="1"/>
      <c r="VQ135" s="1"/>
      <c r="VR135" s="1"/>
      <c r="VS135" s="1"/>
      <c r="VT135" s="1"/>
      <c r="VU135" s="1"/>
      <c r="VV135" s="1"/>
      <c r="VW135" s="1"/>
      <c r="VX135" s="1"/>
      <c r="VY135" s="1"/>
      <c r="VZ135" s="1"/>
      <c r="WA135" s="1"/>
      <c r="WB135" s="1"/>
      <c r="WC135" s="1"/>
      <c r="WD135" s="1"/>
      <c r="WE135" s="1"/>
      <c r="WF135" s="1"/>
      <c r="WG135" s="1"/>
      <c r="WH135" s="1"/>
      <c r="WI135" s="1"/>
      <c r="WJ135" s="1"/>
      <c r="WK135" s="1"/>
      <c r="WL135" s="1"/>
      <c r="WM135" s="1"/>
      <c r="WN135" s="1"/>
      <c r="WO135" s="1"/>
      <c r="WP135" s="1"/>
      <c r="WQ135" s="1"/>
      <c r="WR135" s="1"/>
      <c r="WS135" s="1"/>
      <c r="WT135" s="1"/>
      <c r="WU135" s="1"/>
      <c r="WV135" s="1"/>
      <c r="WW135" s="1"/>
      <c r="WX135" s="1"/>
      <c r="WY135" s="1"/>
      <c r="WZ135" s="1"/>
      <c r="XA135" s="1"/>
      <c r="XB135" s="1"/>
      <c r="XC135" s="1"/>
      <c r="XD135" s="1"/>
      <c r="XE135" s="1"/>
      <c r="XF135" s="1"/>
      <c r="XG135" s="1"/>
      <c r="XH135" s="1"/>
      <c r="XI135" s="1"/>
      <c r="XJ135" s="1"/>
      <c r="XK135" s="1"/>
      <c r="XL135" s="1"/>
      <c r="XM135" s="1"/>
      <c r="XN135" s="1"/>
      <c r="XO135" s="1"/>
      <c r="XP135" s="1"/>
      <c r="XQ135" s="1"/>
      <c r="XR135" s="1"/>
      <c r="XS135" s="1"/>
      <c r="XT135" s="1"/>
      <c r="XU135" s="1"/>
      <c r="XV135" s="1"/>
      <c r="XW135" s="1"/>
      <c r="XX135" s="1"/>
      <c r="XY135" s="1"/>
      <c r="XZ135" s="1"/>
      <c r="YA135" s="1"/>
      <c r="YB135" s="1"/>
      <c r="YC135" s="1"/>
      <c r="YD135" s="1"/>
      <c r="YE135" s="1"/>
      <c r="YF135" s="1"/>
      <c r="YG135" s="1"/>
      <c r="YH135" s="1"/>
      <c r="YI135" s="1"/>
      <c r="YJ135" s="1"/>
      <c r="YK135" s="1"/>
      <c r="YL135" s="1"/>
      <c r="YM135" s="1"/>
      <c r="YN135" s="1"/>
      <c r="YO135" s="1"/>
      <c r="YP135" s="1"/>
      <c r="YQ135" s="1"/>
      <c r="YR135" s="1"/>
      <c r="YS135" s="1"/>
      <c r="YT135" s="1"/>
      <c r="YU135" s="1"/>
      <c r="YV135" s="1"/>
      <c r="YW135" s="1"/>
      <c r="YX135" s="1"/>
      <c r="YY135" s="1"/>
      <c r="YZ135" s="1"/>
      <c r="ZA135" s="1"/>
      <c r="ZB135" s="1"/>
      <c r="ZC135" s="1"/>
      <c r="ZD135" s="1"/>
      <c r="ZE135" s="1"/>
      <c r="ZF135" s="1"/>
      <c r="ZG135" s="1"/>
      <c r="ZH135" s="1"/>
      <c r="ZI135" s="1"/>
      <c r="ZJ135" s="1"/>
      <c r="ZK135" s="1"/>
      <c r="ZL135" s="1"/>
      <c r="ZM135" s="1"/>
      <c r="ZN135" s="1"/>
      <c r="ZO135" s="1"/>
      <c r="ZP135" s="1"/>
      <c r="ZQ135" s="1"/>
      <c r="ZR135" s="1"/>
      <c r="ZS135" s="1"/>
      <c r="ZT135" s="1"/>
      <c r="ZU135" s="1"/>
      <c r="ZV135" s="1"/>
      <c r="ZW135" s="1"/>
      <c r="ZX135" s="1"/>
      <c r="ZY135" s="1"/>
      <c r="ZZ135" s="1"/>
      <c r="AAA135" s="1"/>
      <c r="AAB135" s="1"/>
      <c r="AAC135" s="1"/>
      <c r="AAD135" s="1"/>
      <c r="AAE135" s="1"/>
      <c r="AAF135" s="1"/>
      <c r="AAG135" s="1"/>
      <c r="AAH135" s="1"/>
      <c r="AAI135" s="1"/>
      <c r="AAJ135" s="1"/>
      <c r="AAK135" s="1"/>
      <c r="AAL135" s="1"/>
      <c r="AAM135" s="1"/>
      <c r="AAN135" s="1"/>
      <c r="AAO135" s="1"/>
      <c r="AAP135" s="1"/>
      <c r="AAQ135" s="1"/>
      <c r="AAR135" s="1"/>
      <c r="AAS135" s="1"/>
      <c r="AAT135" s="1"/>
      <c r="AAU135" s="1"/>
      <c r="AAV135" s="1"/>
      <c r="AAW135" s="1"/>
      <c r="AAX135" s="1"/>
      <c r="AAY135" s="1"/>
      <c r="AAZ135" s="1"/>
      <c r="ABA135" s="1"/>
      <c r="ABB135" s="1"/>
      <c r="ABC135" s="1"/>
      <c r="ABD135" s="1"/>
      <c r="ABE135" s="1"/>
      <c r="ABF135" s="1"/>
      <c r="ABG135" s="1"/>
      <c r="ABH135" s="1"/>
      <c r="ABI135" s="1"/>
      <c r="ABJ135" s="1"/>
      <c r="ABK135" s="1"/>
      <c r="ABL135" s="1"/>
      <c r="ABM135" s="1"/>
      <c r="ABN135" s="1"/>
      <c r="ABO135" s="1"/>
      <c r="ABP135" s="1"/>
      <c r="ABQ135" s="1"/>
      <c r="ABR135" s="1"/>
      <c r="ABS135" s="1"/>
      <c r="ABT135" s="1"/>
      <c r="ABU135" s="1"/>
      <c r="ABV135" s="1"/>
      <c r="ABW135" s="1"/>
      <c r="ABX135" s="1"/>
      <c r="ABY135" s="1"/>
      <c r="ABZ135" s="1"/>
      <c r="ACA135" s="1"/>
      <c r="ACB135" s="1"/>
      <c r="ACC135" s="1"/>
      <c r="ACD135" s="1"/>
      <c r="ACE135" s="1"/>
      <c r="ACF135" s="1"/>
      <c r="ACG135" s="1"/>
      <c r="ACH135" s="1"/>
      <c r="ACI135" s="1"/>
      <c r="ACJ135" s="1"/>
      <c r="ACK135" s="1"/>
      <c r="ACL135" s="1"/>
      <c r="ACM135" s="1"/>
      <c r="ACN135" s="1"/>
      <c r="ACO135" s="1"/>
      <c r="ACP135" s="1"/>
      <c r="ACQ135" s="1"/>
      <c r="ACR135" s="1"/>
      <c r="ACS135" s="1"/>
      <c r="ACT135" s="1"/>
      <c r="ACU135" s="1"/>
      <c r="ACV135" s="1"/>
      <c r="ACW135" s="1"/>
      <c r="ACX135" s="1"/>
      <c r="ACY135" s="1"/>
      <c r="ACZ135" s="1"/>
      <c r="ADA135" s="1"/>
      <c r="ADB135" s="1"/>
      <c r="ADC135" s="1"/>
      <c r="ADD135" s="1"/>
      <c r="ADE135" s="1"/>
      <c r="ADF135" s="1"/>
      <c r="ADG135" s="1"/>
      <c r="ADH135" s="1"/>
      <c r="ADI135" s="1"/>
      <c r="ADJ135" s="1"/>
      <c r="ADK135" s="1"/>
      <c r="ADL135" s="1"/>
      <c r="ADM135" s="1"/>
      <c r="ADN135" s="1"/>
      <c r="ADO135" s="1"/>
      <c r="ADP135" s="1"/>
      <c r="ADQ135" s="1"/>
      <c r="ADR135" s="1"/>
      <c r="ADS135" s="1"/>
      <c r="ADT135" s="1"/>
      <c r="ADU135" s="1"/>
      <c r="ADV135" s="1"/>
      <c r="ADW135" s="1"/>
      <c r="ADX135" s="1"/>
      <c r="ADY135" s="1"/>
      <c r="ADZ135" s="1"/>
      <c r="AEA135" s="1"/>
      <c r="AEB135" s="1"/>
      <c r="AEC135" s="1"/>
      <c r="AED135" s="1"/>
      <c r="AEE135" s="1"/>
      <c r="AEF135" s="1"/>
      <c r="AEG135" s="1"/>
      <c r="AEH135" s="1"/>
      <c r="AEI135" s="1"/>
      <c r="AEJ135" s="1"/>
      <c r="AEK135" s="1"/>
      <c r="AEL135" s="1"/>
      <c r="AEM135" s="1"/>
      <c r="AEN135" s="1"/>
      <c r="AEO135" s="1"/>
      <c r="AEP135" s="1"/>
      <c r="AEQ135" s="1"/>
      <c r="AER135" s="1"/>
      <c r="AES135" s="1"/>
      <c r="AET135" s="1"/>
      <c r="AEU135" s="1"/>
      <c r="AEV135" s="1"/>
      <c r="AEW135" s="1"/>
      <c r="AEX135" s="1"/>
      <c r="AEY135" s="1"/>
      <c r="AEZ135" s="1"/>
      <c r="AFA135" s="1"/>
      <c r="AFB135" s="1"/>
      <c r="AFC135" s="1"/>
      <c r="AFD135" s="1"/>
      <c r="AFE135" s="1"/>
      <c r="AFF135" s="1"/>
      <c r="AFG135" s="1"/>
      <c r="AFH135" s="1"/>
      <c r="AFI135" s="1"/>
      <c r="AFJ135" s="1"/>
      <c r="AFK135" s="1"/>
      <c r="AFL135" s="1"/>
      <c r="AFM135" s="1"/>
      <c r="AFN135" s="1"/>
      <c r="AFO135" s="1"/>
      <c r="AFP135" s="1"/>
      <c r="AFQ135" s="1"/>
      <c r="AFR135" s="1"/>
      <c r="AFS135" s="1"/>
      <c r="AFT135" s="1"/>
      <c r="AFU135" s="1"/>
      <c r="AFV135" s="1"/>
      <c r="AFW135" s="1"/>
      <c r="AFX135" s="1"/>
      <c r="AFY135" s="1"/>
      <c r="AFZ135" s="1"/>
      <c r="AGA135" s="1"/>
      <c r="AGB135" s="1"/>
      <c r="AGC135" s="1"/>
      <c r="AGD135" s="1"/>
      <c r="AGE135" s="1"/>
      <c r="AGF135" s="1"/>
      <c r="AGG135" s="1"/>
      <c r="AGH135" s="1"/>
      <c r="AGI135" s="1"/>
      <c r="AGJ135" s="1"/>
      <c r="AGK135" s="1"/>
      <c r="AGL135" s="1"/>
      <c r="AGM135" s="1"/>
      <c r="AGN135" s="1"/>
      <c r="AGO135" s="1"/>
      <c r="AGP135" s="1"/>
      <c r="AGQ135" s="1"/>
      <c r="AGR135" s="1"/>
      <c r="AGS135" s="1"/>
      <c r="AGT135" s="1"/>
      <c r="AGU135" s="1"/>
      <c r="AGV135" s="1"/>
      <c r="AGW135" s="1"/>
      <c r="AGX135" s="1"/>
      <c r="AGY135" s="1"/>
      <c r="AGZ135" s="1"/>
      <c r="AHA135" s="1"/>
      <c r="AHB135" s="1"/>
      <c r="AHC135" s="1"/>
      <c r="AHD135" s="1"/>
      <c r="AHE135" s="1"/>
      <c r="AHF135" s="1"/>
      <c r="AHG135" s="1"/>
      <c r="AHH135" s="1"/>
      <c r="AHI135" s="1"/>
      <c r="AHJ135" s="1"/>
      <c r="AHK135" s="1"/>
      <c r="AHL135" s="1"/>
      <c r="AHM135" s="1"/>
      <c r="AHN135" s="1"/>
      <c r="AHO135" s="1"/>
      <c r="AHP135" s="1"/>
      <c r="AHQ135" s="1"/>
      <c r="AHR135" s="1"/>
      <c r="AHS135" s="1"/>
      <c r="AHT135" s="1"/>
      <c r="AHU135" s="1"/>
      <c r="AHV135" s="1"/>
      <c r="AHW135" s="1"/>
      <c r="AHX135" s="1"/>
      <c r="AHY135" s="1"/>
      <c r="AHZ135" s="1"/>
      <c r="AIA135" s="1"/>
      <c r="AIB135" s="1"/>
      <c r="AIC135" s="1"/>
      <c r="AID135" s="1"/>
      <c r="AIE135" s="1"/>
      <c r="AIF135" s="1"/>
      <c r="AIG135" s="1"/>
      <c r="AIH135" s="1"/>
      <c r="AII135" s="1"/>
      <c r="AIJ135" s="1"/>
      <c r="AIK135" s="1"/>
      <c r="AIL135" s="1"/>
      <c r="AIM135" s="1"/>
      <c r="AIN135" s="1"/>
      <c r="AIO135" s="1"/>
      <c r="AIP135" s="1"/>
      <c r="AIQ135" s="1"/>
      <c r="AIR135" s="1"/>
      <c r="AIS135" s="1"/>
      <c r="AIT135" s="1"/>
      <c r="AIU135" s="1"/>
      <c r="AIV135" s="1"/>
      <c r="AIW135" s="1"/>
      <c r="AIX135" s="1"/>
      <c r="AIY135" s="1"/>
      <c r="AIZ135" s="1"/>
      <c r="AJA135" s="1"/>
      <c r="AJB135" s="1"/>
      <c r="AJC135" s="1"/>
      <c r="AJD135" s="1"/>
      <c r="AJE135" s="1"/>
      <c r="AJF135" s="1"/>
      <c r="AJG135" s="1"/>
      <c r="AJH135" s="1"/>
      <c r="AJI135" s="1"/>
      <c r="AJJ135" s="1"/>
      <c r="AJK135" s="1"/>
      <c r="AJL135" s="1"/>
      <c r="AJM135" s="1"/>
      <c r="AJN135" s="1"/>
      <c r="AJO135" s="1"/>
      <c r="AJP135" s="1"/>
      <c r="AJQ135" s="1"/>
      <c r="AJR135" s="1"/>
      <c r="AJS135" s="1"/>
      <c r="AJT135" s="1"/>
      <c r="AJU135" s="1"/>
      <c r="AJV135" s="1"/>
      <c r="AJW135" s="1"/>
      <c r="AJX135" s="1"/>
      <c r="AJY135" s="1"/>
      <c r="AJZ135" s="1"/>
      <c r="AKA135" s="1"/>
      <c r="AKB135" s="1"/>
      <c r="AKC135" s="1"/>
      <c r="AKD135" s="1"/>
      <c r="AKE135" s="1"/>
      <c r="AKF135" s="1"/>
      <c r="AKG135" s="1"/>
      <c r="AKH135" s="1"/>
      <c r="AKI135" s="1"/>
      <c r="AKJ135" s="1"/>
      <c r="AKK135" s="1"/>
      <c r="AKL135" s="1"/>
      <c r="AKM135" s="1"/>
      <c r="AKN135" s="1"/>
      <c r="AKO135" s="1"/>
      <c r="AKP135" s="1"/>
      <c r="AKQ135" s="1"/>
      <c r="AKR135" s="1"/>
      <c r="AKS135" s="1"/>
      <c r="AKT135" s="1"/>
      <c r="AKU135" s="1"/>
      <c r="AKV135" s="1"/>
      <c r="AKW135" s="1"/>
      <c r="AKX135" s="1"/>
      <c r="AKY135" s="1"/>
      <c r="AKZ135" s="1"/>
      <c r="ALA135" s="1"/>
      <c r="ALB135" s="1"/>
      <c r="ALC135" s="1"/>
      <c r="ALD135" s="1"/>
      <c r="ALE135" s="1"/>
      <c r="ALF135" s="1"/>
      <c r="ALG135" s="1"/>
      <c r="ALH135" s="1"/>
      <c r="ALI135" s="1"/>
      <c r="ALJ135" s="1"/>
      <c r="ALK135" s="1"/>
      <c r="ALL135" s="1"/>
      <c r="ALM135" s="1"/>
      <c r="ALN135" s="1"/>
      <c r="ALO135" s="1"/>
      <c r="ALP135" s="1"/>
      <c r="ALQ135" s="1"/>
      <c r="ALR135" s="1"/>
      <c r="ALS135" s="1"/>
      <c r="ALT135" s="1"/>
      <c r="ALU135" s="1"/>
      <c r="ALV135" s="1"/>
      <c r="ALW135" s="1"/>
      <c r="ALX135" s="1"/>
      <c r="ALY135" s="1"/>
      <c r="ALZ135" s="1"/>
      <c r="AMA135" s="1"/>
      <c r="AMB135" s="1"/>
      <c r="AMC135" s="1"/>
      <c r="AMD135" s="1"/>
      <c r="AME135" s="1"/>
      <c r="AMF135" s="1"/>
      <c r="AMG135" s="1"/>
      <c r="AMH135" s="1"/>
      <c r="AMI135" s="1"/>
      <c r="AMJ135" s="1"/>
    </row>
    <row r="136" customFormat="false" ht="10.5" hidden="false" customHeight="true" outlineLevel="0" collapsed="false">
      <c r="A136" s="162"/>
      <c r="B136" s="162"/>
      <c r="C136" s="162"/>
      <c r="D136" s="162"/>
      <c r="E136" s="162"/>
      <c r="F136" s="162"/>
      <c r="G136" s="162"/>
      <c r="H136" s="162"/>
      <c r="I136" s="162"/>
      <c r="J136" s="19"/>
      <c r="K136" s="19"/>
      <c r="L136" s="19"/>
      <c r="M136" s="185"/>
      <c r="N136" s="185"/>
      <c r="O136" s="185"/>
      <c r="P136" s="186" t="n">
        <f aca="false">J136*M136</f>
        <v>0</v>
      </c>
      <c r="Q136" s="186"/>
      <c r="R136" s="186"/>
      <c r="S136" s="181"/>
      <c r="T136" s="166"/>
      <c r="U136" s="166"/>
      <c r="V136" s="166"/>
      <c r="W136" s="166"/>
      <c r="X136" s="166"/>
      <c r="Y136" s="166"/>
      <c r="Z136" s="166"/>
      <c r="AA136" s="166"/>
      <c r="AB136" s="166"/>
      <c r="AC136" s="166"/>
      <c r="AD136" s="166"/>
      <c r="AE136" s="19"/>
      <c r="AF136" s="19"/>
      <c r="AG136" s="19"/>
      <c r="AH136" s="185"/>
      <c r="AI136" s="185"/>
      <c r="AJ136" s="185"/>
      <c r="AK136" s="185"/>
      <c r="AL136" s="186" t="n">
        <f aca="false">AE136*AH136</f>
        <v>0</v>
      </c>
      <c r="AM136" s="186"/>
      <c r="AN136" s="186"/>
      <c r="AO136" s="186"/>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1"/>
      <c r="CE136" s="1"/>
      <c r="CF136" s="1"/>
      <c r="CG136" s="1"/>
      <c r="CH136" s="1"/>
      <c r="CI136" s="1"/>
      <c r="CJ136" s="1"/>
      <c r="CK136" s="1"/>
      <c r="CL136" s="1"/>
      <c r="CM136" s="1"/>
      <c r="CN136" s="1"/>
      <c r="CO136" s="1"/>
      <c r="CP136" s="1"/>
      <c r="CQ136" s="1"/>
      <c r="CR136" s="1"/>
      <c r="CS136" s="1"/>
      <c r="CT136" s="1"/>
      <c r="CU136" s="1"/>
      <c r="CV136" s="1"/>
      <c r="CW136" s="1"/>
      <c r="CX136" s="1"/>
      <c r="CY136" s="1"/>
      <c r="CZ136" s="1"/>
      <c r="DA136" s="1"/>
      <c r="DB136" s="1"/>
      <c r="DC136" s="1"/>
      <c r="DD136" s="1"/>
      <c r="DE136" s="1"/>
      <c r="DF136" s="1"/>
      <c r="DG136" s="1"/>
      <c r="DH136" s="1"/>
      <c r="DI136" s="1"/>
      <c r="DJ136" s="1"/>
      <c r="DK136" s="1"/>
      <c r="DL136" s="1"/>
      <c r="DM136" s="1"/>
      <c r="DN136" s="1"/>
      <c r="DO136" s="1"/>
      <c r="DP136" s="1"/>
      <c r="DQ136" s="1"/>
      <c r="DR136" s="1"/>
      <c r="DS136" s="1"/>
      <c r="DT136" s="1"/>
      <c r="DU136" s="1"/>
      <c r="DV136" s="1"/>
      <c r="DW136" s="1"/>
      <c r="DX136" s="1"/>
      <c r="DY136" s="1"/>
      <c r="DZ136" s="1"/>
      <c r="EA136" s="1"/>
      <c r="EB136" s="1"/>
      <c r="EC136" s="1"/>
      <c r="ED136" s="1"/>
      <c r="EE136" s="1"/>
      <c r="EF136" s="1"/>
      <c r="EG136" s="1"/>
      <c r="EH136" s="1"/>
      <c r="EI136" s="1"/>
      <c r="EJ136" s="1"/>
      <c r="EK136" s="1"/>
      <c r="EL136" s="1"/>
      <c r="EM136" s="1"/>
      <c r="EN136" s="1"/>
      <c r="EO136" s="1"/>
      <c r="EP136" s="1"/>
      <c r="EQ136" s="1"/>
      <c r="ER136" s="1"/>
      <c r="ES136" s="1"/>
      <c r="ET136" s="1"/>
      <c r="EU136" s="1"/>
      <c r="EV136" s="1"/>
      <c r="EW136" s="1"/>
      <c r="EX136" s="1"/>
      <c r="EY136" s="1"/>
      <c r="EZ136" s="1"/>
      <c r="FA136" s="1"/>
      <c r="FB136" s="1"/>
      <c r="FC136" s="1"/>
      <c r="FD136" s="1"/>
      <c r="FE136" s="1"/>
      <c r="FF136" s="1"/>
      <c r="FG136" s="1"/>
      <c r="FH136" s="1"/>
      <c r="FI136" s="1"/>
      <c r="FJ136" s="1"/>
      <c r="FK136" s="1"/>
      <c r="FL136" s="1"/>
      <c r="FM136" s="1"/>
      <c r="FN136" s="1"/>
      <c r="FO136" s="1"/>
      <c r="FP136" s="1"/>
      <c r="FQ136" s="1"/>
      <c r="FR136" s="1"/>
      <c r="FS136" s="1"/>
      <c r="FT136" s="1"/>
      <c r="FU136" s="1"/>
      <c r="FV136" s="1"/>
      <c r="FW136" s="1"/>
      <c r="FX136" s="1"/>
      <c r="FY136" s="1"/>
      <c r="FZ136" s="1"/>
      <c r="GA136" s="1"/>
      <c r="GB136" s="1"/>
      <c r="GC136" s="1"/>
      <c r="GD136" s="1"/>
      <c r="GE136" s="1"/>
      <c r="GF136" s="1"/>
      <c r="GG136" s="1"/>
      <c r="GH136" s="1"/>
      <c r="GI136" s="1"/>
      <c r="GJ136" s="1"/>
      <c r="GK136" s="1"/>
      <c r="GL136" s="1"/>
      <c r="GM136" s="1"/>
      <c r="GN136" s="1"/>
      <c r="GO136" s="1"/>
      <c r="GP136" s="1"/>
      <c r="GQ136" s="1"/>
      <c r="GR136" s="1"/>
      <c r="GS136" s="1"/>
      <c r="GT136" s="1"/>
      <c r="GU136" s="1"/>
      <c r="GV136" s="1"/>
      <c r="GW136" s="1"/>
      <c r="GX136" s="1"/>
      <c r="GY136" s="1"/>
      <c r="GZ136" s="1"/>
      <c r="HA136" s="1"/>
      <c r="HB136" s="1"/>
      <c r="HC136" s="1"/>
      <c r="HD136" s="1"/>
      <c r="HE136" s="1"/>
      <c r="HF136" s="1"/>
      <c r="HG136" s="1"/>
      <c r="HH136" s="1"/>
      <c r="HI136" s="1"/>
      <c r="HJ136" s="1"/>
      <c r="HK136" s="1"/>
      <c r="HL136" s="1"/>
      <c r="HM136" s="1"/>
      <c r="HN136" s="1"/>
      <c r="HO136" s="1"/>
      <c r="HP136" s="1"/>
      <c r="HQ136" s="1"/>
      <c r="HR136" s="1"/>
      <c r="HS136" s="1"/>
      <c r="HT136" s="1"/>
      <c r="HU136" s="1"/>
      <c r="HV136" s="1"/>
      <c r="HW136" s="1"/>
      <c r="HX136" s="1"/>
      <c r="HY136" s="1"/>
      <c r="HZ136" s="1"/>
      <c r="IA136" s="1"/>
      <c r="IB136" s="1"/>
      <c r="IC136" s="1"/>
      <c r="ID136" s="1"/>
      <c r="IE136" s="1"/>
      <c r="IF136" s="1"/>
      <c r="IG136" s="1"/>
      <c r="IH136" s="1"/>
      <c r="II136" s="1"/>
      <c r="IJ136" s="1"/>
      <c r="IK136" s="1"/>
      <c r="IL136" s="1"/>
      <c r="IM136" s="1"/>
      <c r="IN136" s="1"/>
      <c r="IO136" s="1"/>
      <c r="IP136" s="1"/>
      <c r="IQ136" s="1"/>
      <c r="IR136" s="1"/>
      <c r="IS136" s="1"/>
      <c r="IT136" s="1"/>
      <c r="IU136" s="1"/>
      <c r="IV136" s="1"/>
      <c r="IW136" s="1"/>
      <c r="IX136" s="1"/>
      <c r="IY136" s="1"/>
      <c r="IZ136" s="1"/>
      <c r="JA136" s="1"/>
      <c r="JB136" s="1"/>
      <c r="JC136" s="1"/>
      <c r="JD136" s="1"/>
      <c r="JE136" s="1"/>
      <c r="JF136" s="1"/>
      <c r="JG136" s="1"/>
      <c r="JH136" s="1"/>
      <c r="JI136" s="1"/>
      <c r="JJ136" s="1"/>
      <c r="JK136" s="1"/>
      <c r="JL136" s="1"/>
      <c r="JM136" s="1"/>
      <c r="JN136" s="1"/>
      <c r="JO136" s="1"/>
      <c r="JP136" s="1"/>
      <c r="JQ136" s="1"/>
      <c r="JR136" s="1"/>
      <c r="JS136" s="1"/>
      <c r="JT136" s="1"/>
      <c r="JU136" s="1"/>
      <c r="JV136" s="1"/>
      <c r="JW136" s="1"/>
      <c r="JX136" s="1"/>
      <c r="JY136" s="1"/>
      <c r="JZ136" s="1"/>
      <c r="KA136" s="1"/>
      <c r="KB136" s="1"/>
      <c r="KC136" s="1"/>
      <c r="KD136" s="1"/>
      <c r="KE136" s="1"/>
      <c r="KF136" s="1"/>
      <c r="KG136" s="1"/>
      <c r="KH136" s="1"/>
      <c r="KI136" s="1"/>
      <c r="KJ136" s="1"/>
      <c r="KK136" s="1"/>
      <c r="KL136" s="1"/>
      <c r="KM136" s="1"/>
      <c r="KN136" s="1"/>
      <c r="KO136" s="1"/>
      <c r="KP136" s="1"/>
      <c r="KQ136" s="1"/>
      <c r="KR136" s="1"/>
      <c r="KS136" s="1"/>
      <c r="KT136" s="1"/>
      <c r="KU136" s="1"/>
      <c r="KV136" s="1"/>
      <c r="KW136" s="1"/>
      <c r="KX136" s="1"/>
      <c r="KY136" s="1"/>
      <c r="KZ136" s="1"/>
      <c r="LA136" s="1"/>
      <c r="LB136" s="1"/>
      <c r="LC136" s="1"/>
      <c r="LD136" s="1"/>
      <c r="LE136" s="1"/>
      <c r="LF136" s="1"/>
      <c r="LG136" s="1"/>
      <c r="LH136" s="1"/>
      <c r="LI136" s="1"/>
      <c r="LJ136" s="1"/>
      <c r="LK136" s="1"/>
      <c r="LL136" s="1"/>
      <c r="LM136" s="1"/>
      <c r="LN136" s="1"/>
      <c r="LO136" s="1"/>
      <c r="LP136" s="1"/>
      <c r="LQ136" s="1"/>
      <c r="LR136" s="1"/>
      <c r="LS136" s="1"/>
      <c r="LT136" s="1"/>
      <c r="LU136" s="1"/>
      <c r="LV136" s="1"/>
      <c r="LW136" s="1"/>
      <c r="LX136" s="1"/>
      <c r="LY136" s="1"/>
      <c r="LZ136" s="1"/>
      <c r="MA136" s="1"/>
      <c r="MB136" s="1"/>
      <c r="MC136" s="1"/>
      <c r="MD136" s="1"/>
      <c r="ME136" s="1"/>
      <c r="MF136" s="1"/>
      <c r="MG136" s="1"/>
      <c r="MH136" s="1"/>
      <c r="MI136" s="1"/>
      <c r="MJ136" s="1"/>
      <c r="MK136" s="1"/>
      <c r="ML136" s="1"/>
      <c r="MM136" s="1"/>
      <c r="MN136" s="1"/>
      <c r="MO136" s="1"/>
      <c r="MP136" s="1"/>
      <c r="MQ136" s="1"/>
      <c r="MR136" s="1"/>
      <c r="MS136" s="1"/>
      <c r="MT136" s="1"/>
      <c r="MU136" s="1"/>
      <c r="MV136" s="1"/>
      <c r="MW136" s="1"/>
      <c r="MX136" s="1"/>
      <c r="MY136" s="1"/>
      <c r="MZ136" s="1"/>
      <c r="NA136" s="1"/>
      <c r="NB136" s="1"/>
      <c r="NC136" s="1"/>
      <c r="ND136" s="1"/>
      <c r="NE136" s="1"/>
      <c r="NF136" s="1"/>
      <c r="NG136" s="1"/>
      <c r="NH136" s="1"/>
      <c r="NI136" s="1"/>
      <c r="NJ136" s="1"/>
      <c r="NK136" s="1"/>
      <c r="NL136" s="1"/>
      <c r="NM136" s="1"/>
      <c r="NN136" s="1"/>
      <c r="NO136" s="1"/>
      <c r="NP136" s="1"/>
      <c r="NQ136" s="1"/>
      <c r="NR136" s="1"/>
      <c r="NS136" s="1"/>
      <c r="NT136" s="1"/>
      <c r="NU136" s="1"/>
      <c r="NV136" s="1"/>
      <c r="NW136" s="1"/>
      <c r="NX136" s="1"/>
      <c r="NY136" s="1"/>
      <c r="NZ136" s="1"/>
      <c r="OA136" s="1"/>
      <c r="OB136" s="1"/>
      <c r="OC136" s="1"/>
      <c r="OD136" s="1"/>
      <c r="OE136" s="1"/>
      <c r="OF136" s="1"/>
      <c r="OG136" s="1"/>
      <c r="OH136" s="1"/>
      <c r="OI136" s="1"/>
      <c r="OJ136" s="1"/>
      <c r="OK136" s="1"/>
      <c r="OL136" s="1"/>
      <c r="OM136" s="1"/>
      <c r="ON136" s="1"/>
      <c r="OO136" s="1"/>
      <c r="OP136" s="1"/>
      <c r="OQ136" s="1"/>
      <c r="OR136" s="1"/>
      <c r="OS136" s="1"/>
      <c r="OT136" s="1"/>
      <c r="OU136" s="1"/>
      <c r="OV136" s="1"/>
      <c r="OW136" s="1"/>
      <c r="OX136" s="1"/>
      <c r="OY136" s="1"/>
      <c r="OZ136" s="1"/>
      <c r="PA136" s="1"/>
      <c r="PB136" s="1"/>
      <c r="PC136" s="1"/>
      <c r="PD136" s="1"/>
      <c r="PE136" s="1"/>
      <c r="PF136" s="1"/>
      <c r="PG136" s="1"/>
      <c r="PH136" s="1"/>
      <c r="PI136" s="1"/>
      <c r="PJ136" s="1"/>
      <c r="PK136" s="1"/>
      <c r="PL136" s="1"/>
      <c r="PM136" s="1"/>
      <c r="PN136" s="1"/>
      <c r="PO136" s="1"/>
      <c r="PP136" s="1"/>
      <c r="PQ136" s="1"/>
      <c r="PR136" s="1"/>
      <c r="PS136" s="1"/>
      <c r="PT136" s="1"/>
      <c r="PU136" s="1"/>
      <c r="PV136" s="1"/>
      <c r="PW136" s="1"/>
      <c r="PX136" s="1"/>
      <c r="PY136" s="1"/>
      <c r="PZ136" s="1"/>
      <c r="QA136" s="1"/>
      <c r="QB136" s="1"/>
      <c r="QC136" s="1"/>
      <c r="QD136" s="1"/>
      <c r="QE136" s="1"/>
      <c r="QF136" s="1"/>
      <c r="QG136" s="1"/>
      <c r="QH136" s="1"/>
      <c r="QI136" s="1"/>
      <c r="QJ136" s="1"/>
      <c r="QK136" s="1"/>
      <c r="QL136" s="1"/>
      <c r="QM136" s="1"/>
      <c r="QN136" s="1"/>
      <c r="QO136" s="1"/>
      <c r="QP136" s="1"/>
      <c r="QQ136" s="1"/>
      <c r="QR136" s="1"/>
      <c r="QS136" s="1"/>
      <c r="QT136" s="1"/>
      <c r="QU136" s="1"/>
      <c r="QV136" s="1"/>
      <c r="QW136" s="1"/>
      <c r="QX136" s="1"/>
      <c r="QY136" s="1"/>
      <c r="QZ136" s="1"/>
      <c r="RA136" s="1"/>
      <c r="RB136" s="1"/>
      <c r="RC136" s="1"/>
      <c r="RD136" s="1"/>
      <c r="RE136" s="1"/>
      <c r="RF136" s="1"/>
      <c r="RG136" s="1"/>
      <c r="RH136" s="1"/>
      <c r="RI136" s="1"/>
      <c r="RJ136" s="1"/>
      <c r="RK136" s="1"/>
      <c r="RL136" s="1"/>
      <c r="RM136" s="1"/>
      <c r="RN136" s="1"/>
      <c r="RO136" s="1"/>
      <c r="RP136" s="1"/>
      <c r="RQ136" s="1"/>
      <c r="RR136" s="1"/>
      <c r="RS136" s="1"/>
      <c r="RT136" s="1"/>
      <c r="RU136" s="1"/>
      <c r="RV136" s="1"/>
      <c r="RW136" s="1"/>
      <c r="RX136" s="1"/>
      <c r="RY136" s="1"/>
      <c r="RZ136" s="1"/>
      <c r="SA136" s="1"/>
      <c r="SB136" s="1"/>
      <c r="SC136" s="1"/>
      <c r="SD136" s="1"/>
      <c r="SE136" s="1"/>
      <c r="SF136" s="1"/>
      <c r="SG136" s="1"/>
      <c r="SH136" s="1"/>
      <c r="SI136" s="1"/>
      <c r="SJ136" s="1"/>
      <c r="SK136" s="1"/>
      <c r="SL136" s="1"/>
      <c r="SM136" s="1"/>
      <c r="SN136" s="1"/>
      <c r="SO136" s="1"/>
      <c r="SP136" s="1"/>
      <c r="SQ136" s="1"/>
      <c r="SR136" s="1"/>
      <c r="SS136" s="1"/>
      <c r="ST136" s="1"/>
      <c r="SU136" s="1"/>
      <c r="SV136" s="1"/>
      <c r="SW136" s="1"/>
      <c r="SX136" s="1"/>
      <c r="SY136" s="1"/>
      <c r="SZ136" s="1"/>
      <c r="TA136" s="1"/>
      <c r="TB136" s="1"/>
      <c r="TC136" s="1"/>
      <c r="TD136" s="1"/>
      <c r="TE136" s="1"/>
      <c r="TF136" s="1"/>
      <c r="TG136" s="1"/>
      <c r="TH136" s="1"/>
      <c r="TI136" s="1"/>
      <c r="TJ136" s="1"/>
      <c r="TK136" s="1"/>
      <c r="TL136" s="1"/>
      <c r="TM136" s="1"/>
      <c r="TN136" s="1"/>
      <c r="TO136" s="1"/>
      <c r="TP136" s="1"/>
      <c r="TQ136" s="1"/>
      <c r="TR136" s="1"/>
      <c r="TS136" s="1"/>
      <c r="TT136" s="1"/>
      <c r="TU136" s="1"/>
      <c r="TV136" s="1"/>
      <c r="TW136" s="1"/>
      <c r="TX136" s="1"/>
      <c r="TY136" s="1"/>
      <c r="TZ136" s="1"/>
      <c r="UA136" s="1"/>
      <c r="UB136" s="1"/>
      <c r="UC136" s="1"/>
      <c r="UD136" s="1"/>
      <c r="UE136" s="1"/>
      <c r="UF136" s="1"/>
      <c r="UG136" s="1"/>
      <c r="UH136" s="1"/>
      <c r="UI136" s="1"/>
      <c r="UJ136" s="1"/>
      <c r="UK136" s="1"/>
      <c r="UL136" s="1"/>
      <c r="UM136" s="1"/>
      <c r="UN136" s="1"/>
      <c r="UO136" s="1"/>
      <c r="UP136" s="1"/>
      <c r="UQ136" s="1"/>
      <c r="UR136" s="1"/>
      <c r="US136" s="1"/>
      <c r="UT136" s="1"/>
      <c r="UU136" s="1"/>
      <c r="UV136" s="1"/>
      <c r="UW136" s="1"/>
      <c r="UX136" s="1"/>
      <c r="UY136" s="1"/>
      <c r="UZ136" s="1"/>
      <c r="VA136" s="1"/>
      <c r="VB136" s="1"/>
      <c r="VC136" s="1"/>
      <c r="VD136" s="1"/>
      <c r="VE136" s="1"/>
      <c r="VF136" s="1"/>
      <c r="VG136" s="1"/>
      <c r="VH136" s="1"/>
      <c r="VI136" s="1"/>
      <c r="VJ136" s="1"/>
      <c r="VK136" s="1"/>
      <c r="VL136" s="1"/>
      <c r="VM136" s="1"/>
      <c r="VN136" s="1"/>
      <c r="VO136" s="1"/>
      <c r="VP136" s="1"/>
      <c r="VQ136" s="1"/>
      <c r="VR136" s="1"/>
      <c r="VS136" s="1"/>
      <c r="VT136" s="1"/>
      <c r="VU136" s="1"/>
      <c r="VV136" s="1"/>
      <c r="VW136" s="1"/>
      <c r="VX136" s="1"/>
      <c r="VY136" s="1"/>
      <c r="VZ136" s="1"/>
      <c r="WA136" s="1"/>
      <c r="WB136" s="1"/>
      <c r="WC136" s="1"/>
      <c r="WD136" s="1"/>
      <c r="WE136" s="1"/>
      <c r="WF136" s="1"/>
      <c r="WG136" s="1"/>
      <c r="WH136" s="1"/>
      <c r="WI136" s="1"/>
      <c r="WJ136" s="1"/>
      <c r="WK136" s="1"/>
      <c r="WL136" s="1"/>
      <c r="WM136" s="1"/>
      <c r="WN136" s="1"/>
      <c r="WO136" s="1"/>
      <c r="WP136" s="1"/>
      <c r="WQ136" s="1"/>
      <c r="WR136" s="1"/>
      <c r="WS136" s="1"/>
      <c r="WT136" s="1"/>
      <c r="WU136" s="1"/>
      <c r="WV136" s="1"/>
      <c r="WW136" s="1"/>
      <c r="WX136" s="1"/>
      <c r="WY136" s="1"/>
      <c r="WZ136" s="1"/>
      <c r="XA136" s="1"/>
      <c r="XB136" s="1"/>
      <c r="XC136" s="1"/>
      <c r="XD136" s="1"/>
      <c r="XE136" s="1"/>
      <c r="XF136" s="1"/>
      <c r="XG136" s="1"/>
      <c r="XH136" s="1"/>
      <c r="XI136" s="1"/>
      <c r="XJ136" s="1"/>
      <c r="XK136" s="1"/>
      <c r="XL136" s="1"/>
      <c r="XM136" s="1"/>
      <c r="XN136" s="1"/>
      <c r="XO136" s="1"/>
      <c r="XP136" s="1"/>
      <c r="XQ136" s="1"/>
      <c r="XR136" s="1"/>
      <c r="XS136" s="1"/>
      <c r="XT136" s="1"/>
      <c r="XU136" s="1"/>
      <c r="XV136" s="1"/>
      <c r="XW136" s="1"/>
      <c r="XX136" s="1"/>
      <c r="XY136" s="1"/>
      <c r="XZ136" s="1"/>
      <c r="YA136" s="1"/>
      <c r="YB136" s="1"/>
      <c r="YC136" s="1"/>
      <c r="YD136" s="1"/>
      <c r="YE136" s="1"/>
      <c r="YF136" s="1"/>
      <c r="YG136" s="1"/>
      <c r="YH136" s="1"/>
      <c r="YI136" s="1"/>
      <c r="YJ136" s="1"/>
      <c r="YK136" s="1"/>
      <c r="YL136" s="1"/>
      <c r="YM136" s="1"/>
      <c r="YN136" s="1"/>
      <c r="YO136" s="1"/>
      <c r="YP136" s="1"/>
      <c r="YQ136" s="1"/>
      <c r="YR136" s="1"/>
      <c r="YS136" s="1"/>
      <c r="YT136" s="1"/>
      <c r="YU136" s="1"/>
      <c r="YV136" s="1"/>
      <c r="YW136" s="1"/>
      <c r="YX136" s="1"/>
      <c r="YY136" s="1"/>
      <c r="YZ136" s="1"/>
      <c r="ZA136" s="1"/>
      <c r="ZB136" s="1"/>
      <c r="ZC136" s="1"/>
      <c r="ZD136" s="1"/>
      <c r="ZE136" s="1"/>
      <c r="ZF136" s="1"/>
      <c r="ZG136" s="1"/>
      <c r="ZH136" s="1"/>
      <c r="ZI136" s="1"/>
      <c r="ZJ136" s="1"/>
      <c r="ZK136" s="1"/>
      <c r="ZL136" s="1"/>
      <c r="ZM136" s="1"/>
      <c r="ZN136" s="1"/>
      <c r="ZO136" s="1"/>
      <c r="ZP136" s="1"/>
      <c r="ZQ136" s="1"/>
      <c r="ZR136" s="1"/>
      <c r="ZS136" s="1"/>
      <c r="ZT136" s="1"/>
      <c r="ZU136" s="1"/>
      <c r="ZV136" s="1"/>
      <c r="ZW136" s="1"/>
      <c r="ZX136" s="1"/>
      <c r="ZY136" s="1"/>
      <c r="ZZ136" s="1"/>
      <c r="AAA136" s="1"/>
      <c r="AAB136" s="1"/>
      <c r="AAC136" s="1"/>
      <c r="AAD136" s="1"/>
      <c r="AAE136" s="1"/>
      <c r="AAF136" s="1"/>
      <c r="AAG136" s="1"/>
      <c r="AAH136" s="1"/>
      <c r="AAI136" s="1"/>
      <c r="AAJ136" s="1"/>
      <c r="AAK136" s="1"/>
      <c r="AAL136" s="1"/>
      <c r="AAM136" s="1"/>
      <c r="AAN136" s="1"/>
      <c r="AAO136" s="1"/>
      <c r="AAP136" s="1"/>
      <c r="AAQ136" s="1"/>
      <c r="AAR136" s="1"/>
      <c r="AAS136" s="1"/>
      <c r="AAT136" s="1"/>
      <c r="AAU136" s="1"/>
      <c r="AAV136" s="1"/>
      <c r="AAW136" s="1"/>
      <c r="AAX136" s="1"/>
      <c r="AAY136" s="1"/>
      <c r="AAZ136" s="1"/>
      <c r="ABA136" s="1"/>
      <c r="ABB136" s="1"/>
      <c r="ABC136" s="1"/>
      <c r="ABD136" s="1"/>
      <c r="ABE136" s="1"/>
      <c r="ABF136" s="1"/>
      <c r="ABG136" s="1"/>
      <c r="ABH136" s="1"/>
      <c r="ABI136" s="1"/>
      <c r="ABJ136" s="1"/>
      <c r="ABK136" s="1"/>
      <c r="ABL136" s="1"/>
      <c r="ABM136" s="1"/>
      <c r="ABN136" s="1"/>
      <c r="ABO136" s="1"/>
      <c r="ABP136" s="1"/>
      <c r="ABQ136" s="1"/>
      <c r="ABR136" s="1"/>
      <c r="ABS136" s="1"/>
      <c r="ABT136" s="1"/>
      <c r="ABU136" s="1"/>
      <c r="ABV136" s="1"/>
      <c r="ABW136" s="1"/>
      <c r="ABX136" s="1"/>
      <c r="ABY136" s="1"/>
      <c r="ABZ136" s="1"/>
      <c r="ACA136" s="1"/>
      <c r="ACB136" s="1"/>
      <c r="ACC136" s="1"/>
      <c r="ACD136" s="1"/>
      <c r="ACE136" s="1"/>
      <c r="ACF136" s="1"/>
      <c r="ACG136" s="1"/>
      <c r="ACH136" s="1"/>
      <c r="ACI136" s="1"/>
      <c r="ACJ136" s="1"/>
      <c r="ACK136" s="1"/>
      <c r="ACL136" s="1"/>
      <c r="ACM136" s="1"/>
      <c r="ACN136" s="1"/>
      <c r="ACO136" s="1"/>
      <c r="ACP136" s="1"/>
      <c r="ACQ136" s="1"/>
      <c r="ACR136" s="1"/>
      <c r="ACS136" s="1"/>
      <c r="ACT136" s="1"/>
      <c r="ACU136" s="1"/>
      <c r="ACV136" s="1"/>
      <c r="ACW136" s="1"/>
      <c r="ACX136" s="1"/>
      <c r="ACY136" s="1"/>
      <c r="ACZ136" s="1"/>
      <c r="ADA136" s="1"/>
      <c r="ADB136" s="1"/>
      <c r="ADC136" s="1"/>
      <c r="ADD136" s="1"/>
      <c r="ADE136" s="1"/>
      <c r="ADF136" s="1"/>
      <c r="ADG136" s="1"/>
      <c r="ADH136" s="1"/>
      <c r="ADI136" s="1"/>
      <c r="ADJ136" s="1"/>
      <c r="ADK136" s="1"/>
      <c r="ADL136" s="1"/>
      <c r="ADM136" s="1"/>
      <c r="ADN136" s="1"/>
      <c r="ADO136" s="1"/>
      <c r="ADP136" s="1"/>
      <c r="ADQ136" s="1"/>
      <c r="ADR136" s="1"/>
      <c r="ADS136" s="1"/>
      <c r="ADT136" s="1"/>
      <c r="ADU136" s="1"/>
      <c r="ADV136" s="1"/>
      <c r="ADW136" s="1"/>
      <c r="ADX136" s="1"/>
      <c r="ADY136" s="1"/>
      <c r="ADZ136" s="1"/>
      <c r="AEA136" s="1"/>
      <c r="AEB136" s="1"/>
      <c r="AEC136" s="1"/>
      <c r="AED136" s="1"/>
      <c r="AEE136" s="1"/>
      <c r="AEF136" s="1"/>
      <c r="AEG136" s="1"/>
      <c r="AEH136" s="1"/>
      <c r="AEI136" s="1"/>
      <c r="AEJ136" s="1"/>
      <c r="AEK136" s="1"/>
      <c r="AEL136" s="1"/>
      <c r="AEM136" s="1"/>
      <c r="AEN136" s="1"/>
      <c r="AEO136" s="1"/>
      <c r="AEP136" s="1"/>
      <c r="AEQ136" s="1"/>
      <c r="AER136" s="1"/>
      <c r="AES136" s="1"/>
      <c r="AET136" s="1"/>
      <c r="AEU136" s="1"/>
      <c r="AEV136" s="1"/>
      <c r="AEW136" s="1"/>
      <c r="AEX136" s="1"/>
      <c r="AEY136" s="1"/>
      <c r="AEZ136" s="1"/>
      <c r="AFA136" s="1"/>
      <c r="AFB136" s="1"/>
      <c r="AFC136" s="1"/>
      <c r="AFD136" s="1"/>
      <c r="AFE136" s="1"/>
      <c r="AFF136" s="1"/>
      <c r="AFG136" s="1"/>
      <c r="AFH136" s="1"/>
      <c r="AFI136" s="1"/>
      <c r="AFJ136" s="1"/>
      <c r="AFK136" s="1"/>
      <c r="AFL136" s="1"/>
      <c r="AFM136" s="1"/>
      <c r="AFN136" s="1"/>
      <c r="AFO136" s="1"/>
      <c r="AFP136" s="1"/>
      <c r="AFQ136" s="1"/>
      <c r="AFR136" s="1"/>
      <c r="AFS136" s="1"/>
      <c r="AFT136" s="1"/>
      <c r="AFU136" s="1"/>
      <c r="AFV136" s="1"/>
      <c r="AFW136" s="1"/>
      <c r="AFX136" s="1"/>
      <c r="AFY136" s="1"/>
      <c r="AFZ136" s="1"/>
      <c r="AGA136" s="1"/>
      <c r="AGB136" s="1"/>
      <c r="AGC136" s="1"/>
      <c r="AGD136" s="1"/>
      <c r="AGE136" s="1"/>
      <c r="AGF136" s="1"/>
      <c r="AGG136" s="1"/>
      <c r="AGH136" s="1"/>
      <c r="AGI136" s="1"/>
      <c r="AGJ136" s="1"/>
      <c r="AGK136" s="1"/>
      <c r="AGL136" s="1"/>
      <c r="AGM136" s="1"/>
      <c r="AGN136" s="1"/>
      <c r="AGO136" s="1"/>
      <c r="AGP136" s="1"/>
      <c r="AGQ136" s="1"/>
      <c r="AGR136" s="1"/>
      <c r="AGS136" s="1"/>
      <c r="AGT136" s="1"/>
      <c r="AGU136" s="1"/>
      <c r="AGV136" s="1"/>
      <c r="AGW136" s="1"/>
      <c r="AGX136" s="1"/>
      <c r="AGY136" s="1"/>
      <c r="AGZ136" s="1"/>
      <c r="AHA136" s="1"/>
      <c r="AHB136" s="1"/>
      <c r="AHC136" s="1"/>
      <c r="AHD136" s="1"/>
      <c r="AHE136" s="1"/>
      <c r="AHF136" s="1"/>
      <c r="AHG136" s="1"/>
      <c r="AHH136" s="1"/>
      <c r="AHI136" s="1"/>
      <c r="AHJ136" s="1"/>
      <c r="AHK136" s="1"/>
      <c r="AHL136" s="1"/>
      <c r="AHM136" s="1"/>
      <c r="AHN136" s="1"/>
      <c r="AHO136" s="1"/>
      <c r="AHP136" s="1"/>
      <c r="AHQ136" s="1"/>
      <c r="AHR136" s="1"/>
      <c r="AHS136" s="1"/>
      <c r="AHT136" s="1"/>
      <c r="AHU136" s="1"/>
      <c r="AHV136" s="1"/>
      <c r="AHW136" s="1"/>
      <c r="AHX136" s="1"/>
      <c r="AHY136" s="1"/>
      <c r="AHZ136" s="1"/>
      <c r="AIA136" s="1"/>
      <c r="AIB136" s="1"/>
      <c r="AIC136" s="1"/>
      <c r="AID136" s="1"/>
      <c r="AIE136" s="1"/>
      <c r="AIF136" s="1"/>
      <c r="AIG136" s="1"/>
      <c r="AIH136" s="1"/>
      <c r="AII136" s="1"/>
      <c r="AIJ136" s="1"/>
      <c r="AIK136" s="1"/>
      <c r="AIL136" s="1"/>
      <c r="AIM136" s="1"/>
      <c r="AIN136" s="1"/>
      <c r="AIO136" s="1"/>
      <c r="AIP136" s="1"/>
      <c r="AIQ136" s="1"/>
      <c r="AIR136" s="1"/>
      <c r="AIS136" s="1"/>
      <c r="AIT136" s="1"/>
      <c r="AIU136" s="1"/>
      <c r="AIV136" s="1"/>
      <c r="AIW136" s="1"/>
      <c r="AIX136" s="1"/>
      <c r="AIY136" s="1"/>
      <c r="AIZ136" s="1"/>
      <c r="AJA136" s="1"/>
      <c r="AJB136" s="1"/>
      <c r="AJC136" s="1"/>
      <c r="AJD136" s="1"/>
      <c r="AJE136" s="1"/>
      <c r="AJF136" s="1"/>
      <c r="AJG136" s="1"/>
      <c r="AJH136" s="1"/>
      <c r="AJI136" s="1"/>
      <c r="AJJ136" s="1"/>
      <c r="AJK136" s="1"/>
      <c r="AJL136" s="1"/>
      <c r="AJM136" s="1"/>
      <c r="AJN136" s="1"/>
      <c r="AJO136" s="1"/>
      <c r="AJP136" s="1"/>
      <c r="AJQ136" s="1"/>
      <c r="AJR136" s="1"/>
      <c r="AJS136" s="1"/>
      <c r="AJT136" s="1"/>
      <c r="AJU136" s="1"/>
      <c r="AJV136" s="1"/>
      <c r="AJW136" s="1"/>
      <c r="AJX136" s="1"/>
      <c r="AJY136" s="1"/>
      <c r="AJZ136" s="1"/>
      <c r="AKA136" s="1"/>
      <c r="AKB136" s="1"/>
      <c r="AKC136" s="1"/>
      <c r="AKD136" s="1"/>
      <c r="AKE136" s="1"/>
      <c r="AKF136" s="1"/>
      <c r="AKG136" s="1"/>
      <c r="AKH136" s="1"/>
      <c r="AKI136" s="1"/>
      <c r="AKJ136" s="1"/>
      <c r="AKK136" s="1"/>
      <c r="AKL136" s="1"/>
      <c r="AKM136" s="1"/>
      <c r="AKN136" s="1"/>
      <c r="AKO136" s="1"/>
      <c r="AKP136" s="1"/>
      <c r="AKQ136" s="1"/>
      <c r="AKR136" s="1"/>
      <c r="AKS136" s="1"/>
      <c r="AKT136" s="1"/>
      <c r="AKU136" s="1"/>
      <c r="AKV136" s="1"/>
      <c r="AKW136" s="1"/>
      <c r="AKX136" s="1"/>
      <c r="AKY136" s="1"/>
      <c r="AKZ136" s="1"/>
      <c r="ALA136" s="1"/>
      <c r="ALB136" s="1"/>
      <c r="ALC136" s="1"/>
      <c r="ALD136" s="1"/>
      <c r="ALE136" s="1"/>
      <c r="ALF136" s="1"/>
      <c r="ALG136" s="1"/>
      <c r="ALH136" s="1"/>
      <c r="ALI136" s="1"/>
      <c r="ALJ136" s="1"/>
      <c r="ALK136" s="1"/>
      <c r="ALL136" s="1"/>
      <c r="ALM136" s="1"/>
      <c r="ALN136" s="1"/>
      <c r="ALO136" s="1"/>
      <c r="ALP136" s="1"/>
      <c r="ALQ136" s="1"/>
      <c r="ALR136" s="1"/>
      <c r="ALS136" s="1"/>
      <c r="ALT136" s="1"/>
      <c r="ALU136" s="1"/>
      <c r="ALV136" s="1"/>
      <c r="ALW136" s="1"/>
      <c r="ALX136" s="1"/>
      <c r="ALY136" s="1"/>
      <c r="ALZ136" s="1"/>
      <c r="AMA136" s="1"/>
      <c r="AMB136" s="1"/>
      <c r="AMC136" s="1"/>
      <c r="AMD136" s="1"/>
      <c r="AME136" s="1"/>
      <c r="AMF136" s="1"/>
      <c r="AMG136" s="1"/>
      <c r="AMH136" s="1"/>
      <c r="AMI136" s="1"/>
      <c r="AMJ136" s="1"/>
    </row>
    <row r="137" customFormat="false" ht="10.5" hidden="false" customHeight="true" outlineLevel="0" collapsed="false">
      <c r="A137" s="162"/>
      <c r="B137" s="162"/>
      <c r="C137" s="162"/>
      <c r="D137" s="162"/>
      <c r="E137" s="162"/>
      <c r="F137" s="162"/>
      <c r="G137" s="162"/>
      <c r="H137" s="162"/>
      <c r="I137" s="162"/>
      <c r="J137" s="19"/>
      <c r="K137" s="19"/>
      <c r="L137" s="19"/>
      <c r="M137" s="185"/>
      <c r="N137" s="185"/>
      <c r="O137" s="185"/>
      <c r="P137" s="186" t="n">
        <f aca="false">J137*M137</f>
        <v>0</v>
      </c>
      <c r="Q137" s="186"/>
      <c r="R137" s="186"/>
      <c r="S137" s="181"/>
      <c r="T137" s="166"/>
      <c r="U137" s="166"/>
      <c r="V137" s="166"/>
      <c r="W137" s="166"/>
      <c r="X137" s="166"/>
      <c r="Y137" s="166"/>
      <c r="Z137" s="166"/>
      <c r="AA137" s="166"/>
      <c r="AB137" s="166"/>
      <c r="AC137" s="166"/>
      <c r="AD137" s="166"/>
      <c r="AE137" s="19"/>
      <c r="AF137" s="19"/>
      <c r="AG137" s="19"/>
      <c r="AH137" s="185"/>
      <c r="AI137" s="185"/>
      <c r="AJ137" s="185"/>
      <c r="AK137" s="185"/>
      <c r="AL137" s="186" t="n">
        <f aca="false">AE137*AH137</f>
        <v>0</v>
      </c>
      <c r="AM137" s="186"/>
      <c r="AN137" s="186"/>
      <c r="AO137" s="186"/>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
      <c r="CQ137" s="1"/>
      <c r="CR137" s="1"/>
      <c r="CS137" s="1"/>
      <c r="CT137" s="1"/>
      <c r="CU137" s="1"/>
      <c r="CV137" s="1"/>
      <c r="CW137" s="1"/>
      <c r="CX137" s="1"/>
      <c r="CY137" s="1"/>
      <c r="CZ137" s="1"/>
      <c r="DA137" s="1"/>
      <c r="DB137" s="1"/>
      <c r="DC137" s="1"/>
      <c r="DD137" s="1"/>
      <c r="DE137" s="1"/>
      <c r="DF137" s="1"/>
      <c r="DG137" s="1"/>
      <c r="DH137" s="1"/>
      <c r="DI137" s="1"/>
      <c r="DJ137" s="1"/>
      <c r="DK137" s="1"/>
      <c r="DL137" s="1"/>
      <c r="DM137" s="1"/>
      <c r="DN137" s="1"/>
      <c r="DO137" s="1"/>
      <c r="DP137" s="1"/>
      <c r="DQ137" s="1"/>
      <c r="DR137" s="1"/>
      <c r="DS137" s="1"/>
      <c r="DT137" s="1"/>
      <c r="DU137" s="1"/>
      <c r="DV137" s="1"/>
      <c r="DW137" s="1"/>
      <c r="DX137" s="1"/>
      <c r="DY137" s="1"/>
      <c r="DZ137" s="1"/>
      <c r="EA137" s="1"/>
      <c r="EB137" s="1"/>
      <c r="EC137" s="1"/>
      <c r="ED137" s="1"/>
      <c r="EE137" s="1"/>
      <c r="EF137" s="1"/>
      <c r="EG137" s="1"/>
      <c r="EH137" s="1"/>
      <c r="EI137" s="1"/>
      <c r="EJ137" s="1"/>
      <c r="EK137" s="1"/>
      <c r="EL137" s="1"/>
      <c r="EM137" s="1"/>
      <c r="EN137" s="1"/>
      <c r="EO137" s="1"/>
      <c r="EP137" s="1"/>
      <c r="EQ137" s="1"/>
      <c r="ER137" s="1"/>
      <c r="ES137" s="1"/>
      <c r="ET137" s="1"/>
      <c r="EU137" s="1"/>
      <c r="EV137" s="1"/>
      <c r="EW137" s="1"/>
      <c r="EX137" s="1"/>
      <c r="EY137" s="1"/>
      <c r="EZ137" s="1"/>
      <c r="FA137" s="1"/>
      <c r="FB137" s="1"/>
      <c r="FC137" s="1"/>
      <c r="FD137" s="1"/>
      <c r="FE137" s="1"/>
      <c r="FF137" s="1"/>
      <c r="FG137" s="1"/>
      <c r="FH137" s="1"/>
      <c r="FI137" s="1"/>
      <c r="FJ137" s="1"/>
      <c r="FK137" s="1"/>
      <c r="FL137" s="1"/>
      <c r="FM137" s="1"/>
      <c r="FN137" s="1"/>
      <c r="FO137" s="1"/>
      <c r="FP137" s="1"/>
      <c r="FQ137" s="1"/>
      <c r="FR137" s="1"/>
      <c r="FS137" s="1"/>
      <c r="FT137" s="1"/>
      <c r="FU137" s="1"/>
      <c r="FV137" s="1"/>
      <c r="FW137" s="1"/>
      <c r="FX137" s="1"/>
      <c r="FY137" s="1"/>
      <c r="FZ137" s="1"/>
      <c r="GA137" s="1"/>
      <c r="GB137" s="1"/>
      <c r="GC137" s="1"/>
      <c r="GD137" s="1"/>
      <c r="GE137" s="1"/>
      <c r="GF137" s="1"/>
      <c r="GG137" s="1"/>
      <c r="GH137" s="1"/>
      <c r="GI137" s="1"/>
      <c r="GJ137" s="1"/>
      <c r="GK137" s="1"/>
      <c r="GL137" s="1"/>
      <c r="GM137" s="1"/>
      <c r="GN137" s="1"/>
      <c r="GO137" s="1"/>
      <c r="GP137" s="1"/>
      <c r="GQ137" s="1"/>
      <c r="GR137" s="1"/>
      <c r="GS137" s="1"/>
      <c r="GT137" s="1"/>
      <c r="GU137" s="1"/>
      <c r="GV137" s="1"/>
      <c r="GW137" s="1"/>
      <c r="GX137" s="1"/>
      <c r="GY137" s="1"/>
      <c r="GZ137" s="1"/>
      <c r="HA137" s="1"/>
      <c r="HB137" s="1"/>
      <c r="HC137" s="1"/>
      <c r="HD137" s="1"/>
      <c r="HE137" s="1"/>
      <c r="HF137" s="1"/>
      <c r="HG137" s="1"/>
      <c r="HH137" s="1"/>
      <c r="HI137" s="1"/>
      <c r="HJ137" s="1"/>
      <c r="HK137" s="1"/>
      <c r="HL137" s="1"/>
      <c r="HM137" s="1"/>
      <c r="HN137" s="1"/>
      <c r="HO137" s="1"/>
      <c r="HP137" s="1"/>
      <c r="HQ137" s="1"/>
      <c r="HR137" s="1"/>
      <c r="HS137" s="1"/>
      <c r="HT137" s="1"/>
      <c r="HU137" s="1"/>
      <c r="HV137" s="1"/>
      <c r="HW137" s="1"/>
      <c r="HX137" s="1"/>
      <c r="HY137" s="1"/>
      <c r="HZ137" s="1"/>
      <c r="IA137" s="1"/>
      <c r="IB137" s="1"/>
      <c r="IC137" s="1"/>
      <c r="ID137" s="1"/>
      <c r="IE137" s="1"/>
      <c r="IF137" s="1"/>
      <c r="IG137" s="1"/>
      <c r="IH137" s="1"/>
      <c r="II137" s="1"/>
      <c r="IJ137" s="1"/>
      <c r="IK137" s="1"/>
      <c r="IL137" s="1"/>
      <c r="IM137" s="1"/>
      <c r="IN137" s="1"/>
      <c r="IO137" s="1"/>
      <c r="IP137" s="1"/>
      <c r="IQ137" s="1"/>
      <c r="IR137" s="1"/>
      <c r="IS137" s="1"/>
      <c r="IT137" s="1"/>
      <c r="IU137" s="1"/>
      <c r="IV137" s="1"/>
      <c r="IW137" s="1"/>
      <c r="IX137" s="1"/>
      <c r="IY137" s="1"/>
      <c r="IZ137" s="1"/>
      <c r="JA137" s="1"/>
      <c r="JB137" s="1"/>
      <c r="JC137" s="1"/>
      <c r="JD137" s="1"/>
      <c r="JE137" s="1"/>
      <c r="JF137" s="1"/>
      <c r="JG137" s="1"/>
      <c r="JH137" s="1"/>
      <c r="JI137" s="1"/>
      <c r="JJ137" s="1"/>
      <c r="JK137" s="1"/>
      <c r="JL137" s="1"/>
      <c r="JM137" s="1"/>
      <c r="JN137" s="1"/>
      <c r="JO137" s="1"/>
      <c r="JP137" s="1"/>
      <c r="JQ137" s="1"/>
      <c r="JR137" s="1"/>
      <c r="JS137" s="1"/>
      <c r="JT137" s="1"/>
      <c r="JU137" s="1"/>
      <c r="JV137" s="1"/>
      <c r="JW137" s="1"/>
      <c r="JX137" s="1"/>
      <c r="JY137" s="1"/>
      <c r="JZ137" s="1"/>
      <c r="KA137" s="1"/>
      <c r="KB137" s="1"/>
      <c r="KC137" s="1"/>
      <c r="KD137" s="1"/>
      <c r="KE137" s="1"/>
      <c r="KF137" s="1"/>
      <c r="KG137" s="1"/>
      <c r="KH137" s="1"/>
      <c r="KI137" s="1"/>
      <c r="KJ137" s="1"/>
      <c r="KK137" s="1"/>
      <c r="KL137" s="1"/>
      <c r="KM137" s="1"/>
      <c r="KN137" s="1"/>
      <c r="KO137" s="1"/>
      <c r="KP137" s="1"/>
      <c r="KQ137" s="1"/>
      <c r="KR137" s="1"/>
      <c r="KS137" s="1"/>
      <c r="KT137" s="1"/>
      <c r="KU137" s="1"/>
      <c r="KV137" s="1"/>
      <c r="KW137" s="1"/>
      <c r="KX137" s="1"/>
      <c r="KY137" s="1"/>
      <c r="KZ137" s="1"/>
      <c r="LA137" s="1"/>
      <c r="LB137" s="1"/>
      <c r="LC137" s="1"/>
      <c r="LD137" s="1"/>
      <c r="LE137" s="1"/>
      <c r="LF137" s="1"/>
      <c r="LG137" s="1"/>
      <c r="LH137" s="1"/>
      <c r="LI137" s="1"/>
      <c r="LJ137" s="1"/>
      <c r="LK137" s="1"/>
      <c r="LL137" s="1"/>
      <c r="LM137" s="1"/>
      <c r="LN137" s="1"/>
      <c r="LO137" s="1"/>
      <c r="LP137" s="1"/>
      <c r="LQ137" s="1"/>
      <c r="LR137" s="1"/>
      <c r="LS137" s="1"/>
      <c r="LT137" s="1"/>
      <c r="LU137" s="1"/>
      <c r="LV137" s="1"/>
      <c r="LW137" s="1"/>
      <c r="LX137" s="1"/>
      <c r="LY137" s="1"/>
      <c r="LZ137" s="1"/>
      <c r="MA137" s="1"/>
      <c r="MB137" s="1"/>
      <c r="MC137" s="1"/>
      <c r="MD137" s="1"/>
      <c r="ME137" s="1"/>
      <c r="MF137" s="1"/>
      <c r="MG137" s="1"/>
      <c r="MH137" s="1"/>
      <c r="MI137" s="1"/>
      <c r="MJ137" s="1"/>
      <c r="MK137" s="1"/>
      <c r="ML137" s="1"/>
      <c r="MM137" s="1"/>
      <c r="MN137" s="1"/>
      <c r="MO137" s="1"/>
      <c r="MP137" s="1"/>
      <c r="MQ137" s="1"/>
      <c r="MR137" s="1"/>
      <c r="MS137" s="1"/>
      <c r="MT137" s="1"/>
      <c r="MU137" s="1"/>
      <c r="MV137" s="1"/>
      <c r="MW137" s="1"/>
      <c r="MX137" s="1"/>
      <c r="MY137" s="1"/>
      <c r="MZ137" s="1"/>
      <c r="NA137" s="1"/>
      <c r="NB137" s="1"/>
      <c r="NC137" s="1"/>
      <c r="ND137" s="1"/>
      <c r="NE137" s="1"/>
      <c r="NF137" s="1"/>
      <c r="NG137" s="1"/>
      <c r="NH137" s="1"/>
      <c r="NI137" s="1"/>
      <c r="NJ137" s="1"/>
      <c r="NK137" s="1"/>
      <c r="NL137" s="1"/>
      <c r="NM137" s="1"/>
      <c r="NN137" s="1"/>
      <c r="NO137" s="1"/>
      <c r="NP137" s="1"/>
      <c r="NQ137" s="1"/>
      <c r="NR137" s="1"/>
      <c r="NS137" s="1"/>
      <c r="NT137" s="1"/>
      <c r="NU137" s="1"/>
      <c r="NV137" s="1"/>
      <c r="NW137" s="1"/>
      <c r="NX137" s="1"/>
      <c r="NY137" s="1"/>
      <c r="NZ137" s="1"/>
      <c r="OA137" s="1"/>
      <c r="OB137" s="1"/>
      <c r="OC137" s="1"/>
      <c r="OD137" s="1"/>
      <c r="OE137" s="1"/>
      <c r="OF137" s="1"/>
      <c r="OG137" s="1"/>
      <c r="OH137" s="1"/>
      <c r="OI137" s="1"/>
      <c r="OJ137" s="1"/>
      <c r="OK137" s="1"/>
      <c r="OL137" s="1"/>
      <c r="OM137" s="1"/>
      <c r="ON137" s="1"/>
      <c r="OO137" s="1"/>
      <c r="OP137" s="1"/>
      <c r="OQ137" s="1"/>
      <c r="OR137" s="1"/>
      <c r="OS137" s="1"/>
      <c r="OT137" s="1"/>
      <c r="OU137" s="1"/>
      <c r="OV137" s="1"/>
      <c r="OW137" s="1"/>
      <c r="OX137" s="1"/>
      <c r="OY137" s="1"/>
      <c r="OZ137" s="1"/>
      <c r="PA137" s="1"/>
      <c r="PB137" s="1"/>
      <c r="PC137" s="1"/>
      <c r="PD137" s="1"/>
      <c r="PE137" s="1"/>
      <c r="PF137" s="1"/>
      <c r="PG137" s="1"/>
      <c r="PH137" s="1"/>
      <c r="PI137" s="1"/>
      <c r="PJ137" s="1"/>
      <c r="PK137" s="1"/>
      <c r="PL137" s="1"/>
      <c r="PM137" s="1"/>
      <c r="PN137" s="1"/>
      <c r="PO137" s="1"/>
      <c r="PP137" s="1"/>
      <c r="PQ137" s="1"/>
      <c r="PR137" s="1"/>
      <c r="PS137" s="1"/>
      <c r="PT137" s="1"/>
      <c r="PU137" s="1"/>
      <c r="PV137" s="1"/>
      <c r="PW137" s="1"/>
      <c r="PX137" s="1"/>
      <c r="PY137" s="1"/>
      <c r="PZ137" s="1"/>
      <c r="QA137" s="1"/>
      <c r="QB137" s="1"/>
      <c r="QC137" s="1"/>
      <c r="QD137" s="1"/>
      <c r="QE137" s="1"/>
      <c r="QF137" s="1"/>
      <c r="QG137" s="1"/>
      <c r="QH137" s="1"/>
      <c r="QI137" s="1"/>
      <c r="QJ137" s="1"/>
      <c r="QK137" s="1"/>
      <c r="QL137" s="1"/>
      <c r="QM137" s="1"/>
      <c r="QN137" s="1"/>
      <c r="QO137" s="1"/>
      <c r="QP137" s="1"/>
      <c r="QQ137" s="1"/>
      <c r="QR137" s="1"/>
      <c r="QS137" s="1"/>
      <c r="QT137" s="1"/>
      <c r="QU137" s="1"/>
      <c r="QV137" s="1"/>
      <c r="QW137" s="1"/>
      <c r="QX137" s="1"/>
      <c r="QY137" s="1"/>
      <c r="QZ137" s="1"/>
      <c r="RA137" s="1"/>
      <c r="RB137" s="1"/>
      <c r="RC137" s="1"/>
      <c r="RD137" s="1"/>
      <c r="RE137" s="1"/>
      <c r="RF137" s="1"/>
      <c r="RG137" s="1"/>
      <c r="RH137" s="1"/>
      <c r="RI137" s="1"/>
      <c r="RJ137" s="1"/>
      <c r="RK137" s="1"/>
      <c r="RL137" s="1"/>
      <c r="RM137" s="1"/>
      <c r="RN137" s="1"/>
      <c r="RO137" s="1"/>
      <c r="RP137" s="1"/>
      <c r="RQ137" s="1"/>
      <c r="RR137" s="1"/>
      <c r="RS137" s="1"/>
      <c r="RT137" s="1"/>
      <c r="RU137" s="1"/>
      <c r="RV137" s="1"/>
      <c r="RW137" s="1"/>
      <c r="RX137" s="1"/>
      <c r="RY137" s="1"/>
      <c r="RZ137" s="1"/>
      <c r="SA137" s="1"/>
      <c r="SB137" s="1"/>
      <c r="SC137" s="1"/>
      <c r="SD137" s="1"/>
      <c r="SE137" s="1"/>
      <c r="SF137" s="1"/>
      <c r="SG137" s="1"/>
      <c r="SH137" s="1"/>
      <c r="SI137" s="1"/>
      <c r="SJ137" s="1"/>
      <c r="SK137" s="1"/>
      <c r="SL137" s="1"/>
      <c r="SM137" s="1"/>
      <c r="SN137" s="1"/>
      <c r="SO137" s="1"/>
      <c r="SP137" s="1"/>
      <c r="SQ137" s="1"/>
      <c r="SR137" s="1"/>
      <c r="SS137" s="1"/>
      <c r="ST137" s="1"/>
      <c r="SU137" s="1"/>
      <c r="SV137" s="1"/>
      <c r="SW137" s="1"/>
      <c r="SX137" s="1"/>
      <c r="SY137" s="1"/>
      <c r="SZ137" s="1"/>
      <c r="TA137" s="1"/>
      <c r="TB137" s="1"/>
      <c r="TC137" s="1"/>
      <c r="TD137" s="1"/>
      <c r="TE137" s="1"/>
      <c r="TF137" s="1"/>
      <c r="TG137" s="1"/>
      <c r="TH137" s="1"/>
      <c r="TI137" s="1"/>
      <c r="TJ137" s="1"/>
      <c r="TK137" s="1"/>
      <c r="TL137" s="1"/>
      <c r="TM137" s="1"/>
      <c r="TN137" s="1"/>
      <c r="TO137" s="1"/>
      <c r="TP137" s="1"/>
      <c r="TQ137" s="1"/>
      <c r="TR137" s="1"/>
      <c r="TS137" s="1"/>
      <c r="TT137" s="1"/>
      <c r="TU137" s="1"/>
      <c r="TV137" s="1"/>
      <c r="TW137" s="1"/>
      <c r="TX137" s="1"/>
      <c r="TY137" s="1"/>
      <c r="TZ137" s="1"/>
      <c r="UA137" s="1"/>
      <c r="UB137" s="1"/>
      <c r="UC137" s="1"/>
      <c r="UD137" s="1"/>
      <c r="UE137" s="1"/>
      <c r="UF137" s="1"/>
      <c r="UG137" s="1"/>
      <c r="UH137" s="1"/>
      <c r="UI137" s="1"/>
      <c r="UJ137" s="1"/>
      <c r="UK137" s="1"/>
      <c r="UL137" s="1"/>
      <c r="UM137" s="1"/>
      <c r="UN137" s="1"/>
      <c r="UO137" s="1"/>
      <c r="UP137" s="1"/>
      <c r="UQ137" s="1"/>
      <c r="UR137" s="1"/>
      <c r="US137" s="1"/>
      <c r="UT137" s="1"/>
      <c r="UU137" s="1"/>
      <c r="UV137" s="1"/>
      <c r="UW137" s="1"/>
      <c r="UX137" s="1"/>
      <c r="UY137" s="1"/>
      <c r="UZ137" s="1"/>
      <c r="VA137" s="1"/>
      <c r="VB137" s="1"/>
      <c r="VC137" s="1"/>
      <c r="VD137" s="1"/>
      <c r="VE137" s="1"/>
      <c r="VF137" s="1"/>
      <c r="VG137" s="1"/>
      <c r="VH137" s="1"/>
      <c r="VI137" s="1"/>
      <c r="VJ137" s="1"/>
      <c r="VK137" s="1"/>
      <c r="VL137" s="1"/>
      <c r="VM137" s="1"/>
      <c r="VN137" s="1"/>
      <c r="VO137" s="1"/>
      <c r="VP137" s="1"/>
      <c r="VQ137" s="1"/>
      <c r="VR137" s="1"/>
      <c r="VS137" s="1"/>
      <c r="VT137" s="1"/>
      <c r="VU137" s="1"/>
      <c r="VV137" s="1"/>
      <c r="VW137" s="1"/>
      <c r="VX137" s="1"/>
      <c r="VY137" s="1"/>
      <c r="VZ137" s="1"/>
      <c r="WA137" s="1"/>
      <c r="WB137" s="1"/>
      <c r="WC137" s="1"/>
      <c r="WD137" s="1"/>
      <c r="WE137" s="1"/>
      <c r="WF137" s="1"/>
      <c r="WG137" s="1"/>
      <c r="WH137" s="1"/>
      <c r="WI137" s="1"/>
      <c r="WJ137" s="1"/>
      <c r="WK137" s="1"/>
      <c r="WL137" s="1"/>
      <c r="WM137" s="1"/>
      <c r="WN137" s="1"/>
      <c r="WO137" s="1"/>
      <c r="WP137" s="1"/>
      <c r="WQ137" s="1"/>
      <c r="WR137" s="1"/>
      <c r="WS137" s="1"/>
      <c r="WT137" s="1"/>
      <c r="WU137" s="1"/>
      <c r="WV137" s="1"/>
      <c r="WW137" s="1"/>
      <c r="WX137" s="1"/>
      <c r="WY137" s="1"/>
      <c r="WZ137" s="1"/>
      <c r="XA137" s="1"/>
      <c r="XB137" s="1"/>
      <c r="XC137" s="1"/>
      <c r="XD137" s="1"/>
      <c r="XE137" s="1"/>
      <c r="XF137" s="1"/>
      <c r="XG137" s="1"/>
      <c r="XH137" s="1"/>
      <c r="XI137" s="1"/>
      <c r="XJ137" s="1"/>
      <c r="XK137" s="1"/>
      <c r="XL137" s="1"/>
      <c r="XM137" s="1"/>
      <c r="XN137" s="1"/>
      <c r="XO137" s="1"/>
      <c r="XP137" s="1"/>
      <c r="XQ137" s="1"/>
      <c r="XR137" s="1"/>
      <c r="XS137" s="1"/>
      <c r="XT137" s="1"/>
      <c r="XU137" s="1"/>
      <c r="XV137" s="1"/>
      <c r="XW137" s="1"/>
      <c r="XX137" s="1"/>
      <c r="XY137" s="1"/>
      <c r="XZ137" s="1"/>
      <c r="YA137" s="1"/>
      <c r="YB137" s="1"/>
      <c r="YC137" s="1"/>
      <c r="YD137" s="1"/>
      <c r="YE137" s="1"/>
      <c r="YF137" s="1"/>
      <c r="YG137" s="1"/>
      <c r="YH137" s="1"/>
      <c r="YI137" s="1"/>
      <c r="YJ137" s="1"/>
      <c r="YK137" s="1"/>
      <c r="YL137" s="1"/>
      <c r="YM137" s="1"/>
      <c r="YN137" s="1"/>
      <c r="YO137" s="1"/>
      <c r="YP137" s="1"/>
      <c r="YQ137" s="1"/>
      <c r="YR137" s="1"/>
      <c r="YS137" s="1"/>
      <c r="YT137" s="1"/>
      <c r="YU137" s="1"/>
      <c r="YV137" s="1"/>
      <c r="YW137" s="1"/>
      <c r="YX137" s="1"/>
      <c r="YY137" s="1"/>
      <c r="YZ137" s="1"/>
      <c r="ZA137" s="1"/>
      <c r="ZB137" s="1"/>
      <c r="ZC137" s="1"/>
      <c r="ZD137" s="1"/>
      <c r="ZE137" s="1"/>
      <c r="ZF137" s="1"/>
      <c r="ZG137" s="1"/>
      <c r="ZH137" s="1"/>
      <c r="ZI137" s="1"/>
      <c r="ZJ137" s="1"/>
      <c r="ZK137" s="1"/>
      <c r="ZL137" s="1"/>
      <c r="ZM137" s="1"/>
      <c r="ZN137" s="1"/>
      <c r="ZO137" s="1"/>
      <c r="ZP137" s="1"/>
      <c r="ZQ137" s="1"/>
      <c r="ZR137" s="1"/>
      <c r="ZS137" s="1"/>
      <c r="ZT137" s="1"/>
      <c r="ZU137" s="1"/>
      <c r="ZV137" s="1"/>
      <c r="ZW137" s="1"/>
      <c r="ZX137" s="1"/>
      <c r="ZY137" s="1"/>
      <c r="ZZ137" s="1"/>
      <c r="AAA137" s="1"/>
      <c r="AAB137" s="1"/>
      <c r="AAC137" s="1"/>
      <c r="AAD137" s="1"/>
      <c r="AAE137" s="1"/>
      <c r="AAF137" s="1"/>
      <c r="AAG137" s="1"/>
      <c r="AAH137" s="1"/>
      <c r="AAI137" s="1"/>
      <c r="AAJ137" s="1"/>
      <c r="AAK137" s="1"/>
      <c r="AAL137" s="1"/>
      <c r="AAM137" s="1"/>
      <c r="AAN137" s="1"/>
      <c r="AAO137" s="1"/>
      <c r="AAP137" s="1"/>
      <c r="AAQ137" s="1"/>
      <c r="AAR137" s="1"/>
      <c r="AAS137" s="1"/>
      <c r="AAT137" s="1"/>
      <c r="AAU137" s="1"/>
      <c r="AAV137" s="1"/>
      <c r="AAW137" s="1"/>
      <c r="AAX137" s="1"/>
      <c r="AAY137" s="1"/>
      <c r="AAZ137" s="1"/>
      <c r="ABA137" s="1"/>
      <c r="ABB137" s="1"/>
      <c r="ABC137" s="1"/>
      <c r="ABD137" s="1"/>
      <c r="ABE137" s="1"/>
      <c r="ABF137" s="1"/>
      <c r="ABG137" s="1"/>
      <c r="ABH137" s="1"/>
      <c r="ABI137" s="1"/>
      <c r="ABJ137" s="1"/>
      <c r="ABK137" s="1"/>
      <c r="ABL137" s="1"/>
      <c r="ABM137" s="1"/>
      <c r="ABN137" s="1"/>
      <c r="ABO137" s="1"/>
      <c r="ABP137" s="1"/>
      <c r="ABQ137" s="1"/>
      <c r="ABR137" s="1"/>
      <c r="ABS137" s="1"/>
      <c r="ABT137" s="1"/>
      <c r="ABU137" s="1"/>
      <c r="ABV137" s="1"/>
      <c r="ABW137" s="1"/>
      <c r="ABX137" s="1"/>
      <c r="ABY137" s="1"/>
      <c r="ABZ137" s="1"/>
      <c r="ACA137" s="1"/>
      <c r="ACB137" s="1"/>
      <c r="ACC137" s="1"/>
      <c r="ACD137" s="1"/>
      <c r="ACE137" s="1"/>
      <c r="ACF137" s="1"/>
      <c r="ACG137" s="1"/>
      <c r="ACH137" s="1"/>
      <c r="ACI137" s="1"/>
      <c r="ACJ137" s="1"/>
      <c r="ACK137" s="1"/>
      <c r="ACL137" s="1"/>
      <c r="ACM137" s="1"/>
      <c r="ACN137" s="1"/>
      <c r="ACO137" s="1"/>
      <c r="ACP137" s="1"/>
      <c r="ACQ137" s="1"/>
      <c r="ACR137" s="1"/>
      <c r="ACS137" s="1"/>
      <c r="ACT137" s="1"/>
      <c r="ACU137" s="1"/>
      <c r="ACV137" s="1"/>
      <c r="ACW137" s="1"/>
      <c r="ACX137" s="1"/>
      <c r="ACY137" s="1"/>
      <c r="ACZ137" s="1"/>
      <c r="ADA137" s="1"/>
      <c r="ADB137" s="1"/>
      <c r="ADC137" s="1"/>
      <c r="ADD137" s="1"/>
      <c r="ADE137" s="1"/>
      <c r="ADF137" s="1"/>
      <c r="ADG137" s="1"/>
      <c r="ADH137" s="1"/>
      <c r="ADI137" s="1"/>
      <c r="ADJ137" s="1"/>
      <c r="ADK137" s="1"/>
      <c r="ADL137" s="1"/>
      <c r="ADM137" s="1"/>
      <c r="ADN137" s="1"/>
      <c r="ADO137" s="1"/>
      <c r="ADP137" s="1"/>
      <c r="ADQ137" s="1"/>
      <c r="ADR137" s="1"/>
      <c r="ADS137" s="1"/>
      <c r="ADT137" s="1"/>
      <c r="ADU137" s="1"/>
      <c r="ADV137" s="1"/>
      <c r="ADW137" s="1"/>
      <c r="ADX137" s="1"/>
      <c r="ADY137" s="1"/>
      <c r="ADZ137" s="1"/>
      <c r="AEA137" s="1"/>
      <c r="AEB137" s="1"/>
      <c r="AEC137" s="1"/>
      <c r="AED137" s="1"/>
      <c r="AEE137" s="1"/>
      <c r="AEF137" s="1"/>
      <c r="AEG137" s="1"/>
      <c r="AEH137" s="1"/>
      <c r="AEI137" s="1"/>
      <c r="AEJ137" s="1"/>
      <c r="AEK137" s="1"/>
      <c r="AEL137" s="1"/>
      <c r="AEM137" s="1"/>
      <c r="AEN137" s="1"/>
      <c r="AEO137" s="1"/>
      <c r="AEP137" s="1"/>
      <c r="AEQ137" s="1"/>
      <c r="AER137" s="1"/>
      <c r="AES137" s="1"/>
      <c r="AET137" s="1"/>
      <c r="AEU137" s="1"/>
      <c r="AEV137" s="1"/>
      <c r="AEW137" s="1"/>
      <c r="AEX137" s="1"/>
      <c r="AEY137" s="1"/>
      <c r="AEZ137" s="1"/>
      <c r="AFA137" s="1"/>
      <c r="AFB137" s="1"/>
      <c r="AFC137" s="1"/>
      <c r="AFD137" s="1"/>
      <c r="AFE137" s="1"/>
      <c r="AFF137" s="1"/>
      <c r="AFG137" s="1"/>
      <c r="AFH137" s="1"/>
      <c r="AFI137" s="1"/>
      <c r="AFJ137" s="1"/>
      <c r="AFK137" s="1"/>
      <c r="AFL137" s="1"/>
      <c r="AFM137" s="1"/>
      <c r="AFN137" s="1"/>
      <c r="AFO137" s="1"/>
      <c r="AFP137" s="1"/>
      <c r="AFQ137" s="1"/>
      <c r="AFR137" s="1"/>
      <c r="AFS137" s="1"/>
      <c r="AFT137" s="1"/>
      <c r="AFU137" s="1"/>
      <c r="AFV137" s="1"/>
      <c r="AFW137" s="1"/>
      <c r="AFX137" s="1"/>
      <c r="AFY137" s="1"/>
      <c r="AFZ137" s="1"/>
      <c r="AGA137" s="1"/>
      <c r="AGB137" s="1"/>
      <c r="AGC137" s="1"/>
      <c r="AGD137" s="1"/>
      <c r="AGE137" s="1"/>
      <c r="AGF137" s="1"/>
      <c r="AGG137" s="1"/>
      <c r="AGH137" s="1"/>
      <c r="AGI137" s="1"/>
      <c r="AGJ137" s="1"/>
      <c r="AGK137" s="1"/>
      <c r="AGL137" s="1"/>
      <c r="AGM137" s="1"/>
      <c r="AGN137" s="1"/>
      <c r="AGO137" s="1"/>
      <c r="AGP137" s="1"/>
      <c r="AGQ137" s="1"/>
      <c r="AGR137" s="1"/>
      <c r="AGS137" s="1"/>
      <c r="AGT137" s="1"/>
      <c r="AGU137" s="1"/>
      <c r="AGV137" s="1"/>
      <c r="AGW137" s="1"/>
      <c r="AGX137" s="1"/>
      <c r="AGY137" s="1"/>
      <c r="AGZ137" s="1"/>
      <c r="AHA137" s="1"/>
      <c r="AHB137" s="1"/>
      <c r="AHC137" s="1"/>
      <c r="AHD137" s="1"/>
      <c r="AHE137" s="1"/>
      <c r="AHF137" s="1"/>
      <c r="AHG137" s="1"/>
      <c r="AHH137" s="1"/>
      <c r="AHI137" s="1"/>
      <c r="AHJ137" s="1"/>
      <c r="AHK137" s="1"/>
      <c r="AHL137" s="1"/>
      <c r="AHM137" s="1"/>
      <c r="AHN137" s="1"/>
      <c r="AHO137" s="1"/>
      <c r="AHP137" s="1"/>
      <c r="AHQ137" s="1"/>
      <c r="AHR137" s="1"/>
      <c r="AHS137" s="1"/>
      <c r="AHT137" s="1"/>
      <c r="AHU137" s="1"/>
      <c r="AHV137" s="1"/>
      <c r="AHW137" s="1"/>
      <c r="AHX137" s="1"/>
      <c r="AHY137" s="1"/>
      <c r="AHZ137" s="1"/>
      <c r="AIA137" s="1"/>
      <c r="AIB137" s="1"/>
      <c r="AIC137" s="1"/>
      <c r="AID137" s="1"/>
      <c r="AIE137" s="1"/>
      <c r="AIF137" s="1"/>
      <c r="AIG137" s="1"/>
      <c r="AIH137" s="1"/>
      <c r="AII137" s="1"/>
      <c r="AIJ137" s="1"/>
      <c r="AIK137" s="1"/>
      <c r="AIL137" s="1"/>
      <c r="AIM137" s="1"/>
      <c r="AIN137" s="1"/>
      <c r="AIO137" s="1"/>
      <c r="AIP137" s="1"/>
      <c r="AIQ137" s="1"/>
      <c r="AIR137" s="1"/>
      <c r="AIS137" s="1"/>
      <c r="AIT137" s="1"/>
      <c r="AIU137" s="1"/>
      <c r="AIV137" s="1"/>
      <c r="AIW137" s="1"/>
      <c r="AIX137" s="1"/>
      <c r="AIY137" s="1"/>
      <c r="AIZ137" s="1"/>
      <c r="AJA137" s="1"/>
      <c r="AJB137" s="1"/>
      <c r="AJC137" s="1"/>
      <c r="AJD137" s="1"/>
      <c r="AJE137" s="1"/>
      <c r="AJF137" s="1"/>
      <c r="AJG137" s="1"/>
      <c r="AJH137" s="1"/>
      <c r="AJI137" s="1"/>
      <c r="AJJ137" s="1"/>
      <c r="AJK137" s="1"/>
      <c r="AJL137" s="1"/>
      <c r="AJM137" s="1"/>
      <c r="AJN137" s="1"/>
      <c r="AJO137" s="1"/>
      <c r="AJP137" s="1"/>
      <c r="AJQ137" s="1"/>
      <c r="AJR137" s="1"/>
      <c r="AJS137" s="1"/>
      <c r="AJT137" s="1"/>
      <c r="AJU137" s="1"/>
      <c r="AJV137" s="1"/>
      <c r="AJW137" s="1"/>
      <c r="AJX137" s="1"/>
      <c r="AJY137" s="1"/>
      <c r="AJZ137" s="1"/>
      <c r="AKA137" s="1"/>
      <c r="AKB137" s="1"/>
      <c r="AKC137" s="1"/>
      <c r="AKD137" s="1"/>
      <c r="AKE137" s="1"/>
      <c r="AKF137" s="1"/>
      <c r="AKG137" s="1"/>
      <c r="AKH137" s="1"/>
      <c r="AKI137" s="1"/>
      <c r="AKJ137" s="1"/>
      <c r="AKK137" s="1"/>
      <c r="AKL137" s="1"/>
      <c r="AKM137" s="1"/>
      <c r="AKN137" s="1"/>
      <c r="AKO137" s="1"/>
      <c r="AKP137" s="1"/>
      <c r="AKQ137" s="1"/>
      <c r="AKR137" s="1"/>
      <c r="AKS137" s="1"/>
      <c r="AKT137" s="1"/>
      <c r="AKU137" s="1"/>
      <c r="AKV137" s="1"/>
      <c r="AKW137" s="1"/>
      <c r="AKX137" s="1"/>
      <c r="AKY137" s="1"/>
      <c r="AKZ137" s="1"/>
      <c r="ALA137" s="1"/>
      <c r="ALB137" s="1"/>
      <c r="ALC137" s="1"/>
      <c r="ALD137" s="1"/>
      <c r="ALE137" s="1"/>
      <c r="ALF137" s="1"/>
      <c r="ALG137" s="1"/>
      <c r="ALH137" s="1"/>
      <c r="ALI137" s="1"/>
      <c r="ALJ137" s="1"/>
      <c r="ALK137" s="1"/>
      <c r="ALL137" s="1"/>
      <c r="ALM137" s="1"/>
      <c r="ALN137" s="1"/>
      <c r="ALO137" s="1"/>
      <c r="ALP137" s="1"/>
      <c r="ALQ137" s="1"/>
      <c r="ALR137" s="1"/>
      <c r="ALS137" s="1"/>
      <c r="ALT137" s="1"/>
      <c r="ALU137" s="1"/>
      <c r="ALV137" s="1"/>
      <c r="ALW137" s="1"/>
      <c r="ALX137" s="1"/>
      <c r="ALY137" s="1"/>
      <c r="ALZ137" s="1"/>
      <c r="AMA137" s="1"/>
      <c r="AMB137" s="1"/>
      <c r="AMC137" s="1"/>
      <c r="AMD137" s="1"/>
      <c r="AME137" s="1"/>
      <c r="AMF137" s="1"/>
      <c r="AMG137" s="1"/>
      <c r="AMH137" s="1"/>
      <c r="AMI137" s="1"/>
      <c r="AMJ137" s="1"/>
    </row>
    <row r="138" customFormat="false" ht="10.5" hidden="false" customHeight="true" outlineLevel="0" collapsed="false">
      <c r="A138" s="162"/>
      <c r="B138" s="162"/>
      <c r="C138" s="162"/>
      <c r="D138" s="162"/>
      <c r="E138" s="162"/>
      <c r="F138" s="162"/>
      <c r="G138" s="162"/>
      <c r="H138" s="162"/>
      <c r="I138" s="162"/>
      <c r="J138" s="19"/>
      <c r="K138" s="19"/>
      <c r="L138" s="19"/>
      <c r="M138" s="185"/>
      <c r="N138" s="185"/>
      <c r="O138" s="185"/>
      <c r="P138" s="186" t="n">
        <f aca="false">J138*M138</f>
        <v>0</v>
      </c>
      <c r="Q138" s="186"/>
      <c r="R138" s="186"/>
      <c r="S138" s="181"/>
      <c r="T138" s="166"/>
      <c r="U138" s="166"/>
      <c r="V138" s="166"/>
      <c r="W138" s="166"/>
      <c r="X138" s="166"/>
      <c r="Y138" s="166"/>
      <c r="Z138" s="166"/>
      <c r="AA138" s="166"/>
      <c r="AB138" s="166"/>
      <c r="AC138" s="166"/>
      <c r="AD138" s="166"/>
      <c r="AE138" s="19"/>
      <c r="AF138" s="19"/>
      <c r="AG138" s="19"/>
      <c r="AH138" s="185"/>
      <c r="AI138" s="185"/>
      <c r="AJ138" s="185"/>
      <c r="AK138" s="185"/>
      <c r="AL138" s="186" t="n">
        <f aca="false">AE138*AH138</f>
        <v>0</v>
      </c>
      <c r="AM138" s="186"/>
      <c r="AN138" s="186"/>
      <c r="AO138" s="186"/>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c r="CM138" s="1"/>
      <c r="CN138" s="1"/>
      <c r="CO138" s="1"/>
      <c r="CP138" s="1"/>
      <c r="CQ138" s="1"/>
      <c r="CR138" s="1"/>
      <c r="CS138" s="1"/>
      <c r="CT138" s="1"/>
      <c r="CU138" s="1"/>
      <c r="CV138" s="1"/>
      <c r="CW138" s="1"/>
      <c r="CX138" s="1"/>
      <c r="CY138" s="1"/>
      <c r="CZ138" s="1"/>
      <c r="DA138" s="1"/>
      <c r="DB138" s="1"/>
      <c r="DC138" s="1"/>
      <c r="DD138" s="1"/>
      <c r="DE138" s="1"/>
      <c r="DF138" s="1"/>
      <c r="DG138" s="1"/>
      <c r="DH138" s="1"/>
      <c r="DI138" s="1"/>
      <c r="DJ138" s="1"/>
      <c r="DK138" s="1"/>
      <c r="DL138" s="1"/>
      <c r="DM138" s="1"/>
      <c r="DN138" s="1"/>
      <c r="DO138" s="1"/>
      <c r="DP138" s="1"/>
      <c r="DQ138" s="1"/>
      <c r="DR138" s="1"/>
      <c r="DS138" s="1"/>
      <c r="DT138" s="1"/>
      <c r="DU138" s="1"/>
      <c r="DV138" s="1"/>
      <c r="DW138" s="1"/>
      <c r="DX138" s="1"/>
      <c r="DY138" s="1"/>
      <c r="DZ138" s="1"/>
      <c r="EA138" s="1"/>
      <c r="EB138" s="1"/>
      <c r="EC138" s="1"/>
      <c r="ED138" s="1"/>
      <c r="EE138" s="1"/>
      <c r="EF138" s="1"/>
      <c r="EG138" s="1"/>
      <c r="EH138" s="1"/>
      <c r="EI138" s="1"/>
      <c r="EJ138" s="1"/>
      <c r="EK138" s="1"/>
      <c r="EL138" s="1"/>
      <c r="EM138" s="1"/>
      <c r="EN138" s="1"/>
      <c r="EO138" s="1"/>
      <c r="EP138" s="1"/>
      <c r="EQ138" s="1"/>
      <c r="ER138" s="1"/>
      <c r="ES138" s="1"/>
      <c r="ET138" s="1"/>
      <c r="EU138" s="1"/>
      <c r="EV138" s="1"/>
      <c r="EW138" s="1"/>
      <c r="EX138" s="1"/>
      <c r="EY138" s="1"/>
      <c r="EZ138" s="1"/>
      <c r="FA138" s="1"/>
      <c r="FB138" s="1"/>
      <c r="FC138" s="1"/>
      <c r="FD138" s="1"/>
      <c r="FE138" s="1"/>
      <c r="FF138" s="1"/>
      <c r="FG138" s="1"/>
      <c r="FH138" s="1"/>
      <c r="FI138" s="1"/>
      <c r="FJ138" s="1"/>
      <c r="FK138" s="1"/>
      <c r="FL138" s="1"/>
      <c r="FM138" s="1"/>
      <c r="FN138" s="1"/>
      <c r="FO138" s="1"/>
      <c r="FP138" s="1"/>
      <c r="FQ138" s="1"/>
      <c r="FR138" s="1"/>
      <c r="FS138" s="1"/>
      <c r="FT138" s="1"/>
      <c r="FU138" s="1"/>
      <c r="FV138" s="1"/>
      <c r="FW138" s="1"/>
      <c r="FX138" s="1"/>
      <c r="FY138" s="1"/>
      <c r="FZ138" s="1"/>
      <c r="GA138" s="1"/>
      <c r="GB138" s="1"/>
      <c r="GC138" s="1"/>
      <c r="GD138" s="1"/>
      <c r="GE138" s="1"/>
      <c r="GF138" s="1"/>
      <c r="GG138" s="1"/>
      <c r="GH138" s="1"/>
      <c r="GI138" s="1"/>
      <c r="GJ138" s="1"/>
      <c r="GK138" s="1"/>
      <c r="GL138" s="1"/>
      <c r="GM138" s="1"/>
      <c r="GN138" s="1"/>
      <c r="GO138" s="1"/>
      <c r="GP138" s="1"/>
      <c r="GQ138" s="1"/>
      <c r="GR138" s="1"/>
      <c r="GS138" s="1"/>
      <c r="GT138" s="1"/>
      <c r="GU138" s="1"/>
      <c r="GV138" s="1"/>
      <c r="GW138" s="1"/>
      <c r="GX138" s="1"/>
      <c r="GY138" s="1"/>
      <c r="GZ138" s="1"/>
      <c r="HA138" s="1"/>
      <c r="HB138" s="1"/>
      <c r="HC138" s="1"/>
      <c r="HD138" s="1"/>
      <c r="HE138" s="1"/>
      <c r="HF138" s="1"/>
      <c r="HG138" s="1"/>
      <c r="HH138" s="1"/>
      <c r="HI138" s="1"/>
      <c r="HJ138" s="1"/>
      <c r="HK138" s="1"/>
      <c r="HL138" s="1"/>
      <c r="HM138" s="1"/>
      <c r="HN138" s="1"/>
      <c r="HO138" s="1"/>
      <c r="HP138" s="1"/>
      <c r="HQ138" s="1"/>
      <c r="HR138" s="1"/>
      <c r="HS138" s="1"/>
      <c r="HT138" s="1"/>
      <c r="HU138" s="1"/>
      <c r="HV138" s="1"/>
      <c r="HW138" s="1"/>
      <c r="HX138" s="1"/>
      <c r="HY138" s="1"/>
      <c r="HZ138" s="1"/>
      <c r="IA138" s="1"/>
      <c r="IB138" s="1"/>
      <c r="IC138" s="1"/>
      <c r="ID138" s="1"/>
      <c r="IE138" s="1"/>
      <c r="IF138" s="1"/>
      <c r="IG138" s="1"/>
      <c r="IH138" s="1"/>
      <c r="II138" s="1"/>
      <c r="IJ138" s="1"/>
      <c r="IK138" s="1"/>
      <c r="IL138" s="1"/>
      <c r="IM138" s="1"/>
      <c r="IN138" s="1"/>
      <c r="IO138" s="1"/>
      <c r="IP138" s="1"/>
      <c r="IQ138" s="1"/>
      <c r="IR138" s="1"/>
      <c r="IS138" s="1"/>
      <c r="IT138" s="1"/>
      <c r="IU138" s="1"/>
      <c r="IV138" s="1"/>
      <c r="IW138" s="1"/>
      <c r="IX138" s="1"/>
      <c r="IY138" s="1"/>
      <c r="IZ138" s="1"/>
      <c r="JA138" s="1"/>
      <c r="JB138" s="1"/>
      <c r="JC138" s="1"/>
      <c r="JD138" s="1"/>
      <c r="JE138" s="1"/>
      <c r="JF138" s="1"/>
      <c r="JG138" s="1"/>
      <c r="JH138" s="1"/>
      <c r="JI138" s="1"/>
      <c r="JJ138" s="1"/>
      <c r="JK138" s="1"/>
      <c r="JL138" s="1"/>
      <c r="JM138" s="1"/>
      <c r="JN138" s="1"/>
      <c r="JO138" s="1"/>
      <c r="JP138" s="1"/>
      <c r="JQ138" s="1"/>
      <c r="JR138" s="1"/>
      <c r="JS138" s="1"/>
      <c r="JT138" s="1"/>
      <c r="JU138" s="1"/>
      <c r="JV138" s="1"/>
      <c r="JW138" s="1"/>
      <c r="JX138" s="1"/>
      <c r="JY138" s="1"/>
      <c r="JZ138" s="1"/>
      <c r="KA138" s="1"/>
      <c r="KB138" s="1"/>
      <c r="KC138" s="1"/>
      <c r="KD138" s="1"/>
      <c r="KE138" s="1"/>
      <c r="KF138" s="1"/>
      <c r="KG138" s="1"/>
      <c r="KH138" s="1"/>
      <c r="KI138" s="1"/>
      <c r="KJ138" s="1"/>
      <c r="KK138" s="1"/>
      <c r="KL138" s="1"/>
      <c r="KM138" s="1"/>
      <c r="KN138" s="1"/>
      <c r="KO138" s="1"/>
      <c r="KP138" s="1"/>
      <c r="KQ138" s="1"/>
      <c r="KR138" s="1"/>
      <c r="KS138" s="1"/>
      <c r="KT138" s="1"/>
      <c r="KU138" s="1"/>
      <c r="KV138" s="1"/>
      <c r="KW138" s="1"/>
      <c r="KX138" s="1"/>
      <c r="KY138" s="1"/>
      <c r="KZ138" s="1"/>
      <c r="LA138" s="1"/>
      <c r="LB138" s="1"/>
      <c r="LC138" s="1"/>
      <c r="LD138" s="1"/>
      <c r="LE138" s="1"/>
      <c r="LF138" s="1"/>
      <c r="LG138" s="1"/>
      <c r="LH138" s="1"/>
      <c r="LI138" s="1"/>
      <c r="LJ138" s="1"/>
      <c r="LK138" s="1"/>
      <c r="LL138" s="1"/>
      <c r="LM138" s="1"/>
      <c r="LN138" s="1"/>
      <c r="LO138" s="1"/>
      <c r="LP138" s="1"/>
      <c r="LQ138" s="1"/>
      <c r="LR138" s="1"/>
      <c r="LS138" s="1"/>
      <c r="LT138" s="1"/>
      <c r="LU138" s="1"/>
      <c r="LV138" s="1"/>
      <c r="LW138" s="1"/>
      <c r="LX138" s="1"/>
      <c r="LY138" s="1"/>
      <c r="LZ138" s="1"/>
      <c r="MA138" s="1"/>
      <c r="MB138" s="1"/>
      <c r="MC138" s="1"/>
      <c r="MD138" s="1"/>
      <c r="ME138" s="1"/>
      <c r="MF138" s="1"/>
      <c r="MG138" s="1"/>
      <c r="MH138" s="1"/>
      <c r="MI138" s="1"/>
      <c r="MJ138" s="1"/>
      <c r="MK138" s="1"/>
      <c r="ML138" s="1"/>
      <c r="MM138" s="1"/>
      <c r="MN138" s="1"/>
      <c r="MO138" s="1"/>
      <c r="MP138" s="1"/>
      <c r="MQ138" s="1"/>
      <c r="MR138" s="1"/>
      <c r="MS138" s="1"/>
      <c r="MT138" s="1"/>
      <c r="MU138" s="1"/>
      <c r="MV138" s="1"/>
      <c r="MW138" s="1"/>
      <c r="MX138" s="1"/>
      <c r="MY138" s="1"/>
      <c r="MZ138" s="1"/>
      <c r="NA138" s="1"/>
      <c r="NB138" s="1"/>
      <c r="NC138" s="1"/>
      <c r="ND138" s="1"/>
      <c r="NE138" s="1"/>
      <c r="NF138" s="1"/>
      <c r="NG138" s="1"/>
      <c r="NH138" s="1"/>
      <c r="NI138" s="1"/>
      <c r="NJ138" s="1"/>
      <c r="NK138" s="1"/>
      <c r="NL138" s="1"/>
      <c r="NM138" s="1"/>
      <c r="NN138" s="1"/>
      <c r="NO138" s="1"/>
      <c r="NP138" s="1"/>
      <c r="NQ138" s="1"/>
      <c r="NR138" s="1"/>
      <c r="NS138" s="1"/>
      <c r="NT138" s="1"/>
      <c r="NU138" s="1"/>
      <c r="NV138" s="1"/>
      <c r="NW138" s="1"/>
      <c r="NX138" s="1"/>
      <c r="NY138" s="1"/>
      <c r="NZ138" s="1"/>
      <c r="OA138" s="1"/>
      <c r="OB138" s="1"/>
      <c r="OC138" s="1"/>
      <c r="OD138" s="1"/>
      <c r="OE138" s="1"/>
      <c r="OF138" s="1"/>
      <c r="OG138" s="1"/>
      <c r="OH138" s="1"/>
      <c r="OI138" s="1"/>
      <c r="OJ138" s="1"/>
      <c r="OK138" s="1"/>
      <c r="OL138" s="1"/>
      <c r="OM138" s="1"/>
      <c r="ON138" s="1"/>
      <c r="OO138" s="1"/>
      <c r="OP138" s="1"/>
      <c r="OQ138" s="1"/>
      <c r="OR138" s="1"/>
      <c r="OS138" s="1"/>
      <c r="OT138" s="1"/>
      <c r="OU138" s="1"/>
      <c r="OV138" s="1"/>
      <c r="OW138" s="1"/>
      <c r="OX138" s="1"/>
      <c r="OY138" s="1"/>
      <c r="OZ138" s="1"/>
      <c r="PA138" s="1"/>
      <c r="PB138" s="1"/>
      <c r="PC138" s="1"/>
      <c r="PD138" s="1"/>
      <c r="PE138" s="1"/>
      <c r="PF138" s="1"/>
      <c r="PG138" s="1"/>
      <c r="PH138" s="1"/>
      <c r="PI138" s="1"/>
      <c r="PJ138" s="1"/>
      <c r="PK138" s="1"/>
      <c r="PL138" s="1"/>
      <c r="PM138" s="1"/>
      <c r="PN138" s="1"/>
      <c r="PO138" s="1"/>
      <c r="PP138" s="1"/>
      <c r="PQ138" s="1"/>
      <c r="PR138" s="1"/>
      <c r="PS138" s="1"/>
      <c r="PT138" s="1"/>
      <c r="PU138" s="1"/>
      <c r="PV138" s="1"/>
      <c r="PW138" s="1"/>
      <c r="PX138" s="1"/>
      <c r="PY138" s="1"/>
      <c r="PZ138" s="1"/>
      <c r="QA138" s="1"/>
      <c r="QB138" s="1"/>
      <c r="QC138" s="1"/>
      <c r="QD138" s="1"/>
      <c r="QE138" s="1"/>
      <c r="QF138" s="1"/>
      <c r="QG138" s="1"/>
      <c r="QH138" s="1"/>
      <c r="QI138" s="1"/>
      <c r="QJ138" s="1"/>
      <c r="QK138" s="1"/>
      <c r="QL138" s="1"/>
      <c r="QM138" s="1"/>
      <c r="QN138" s="1"/>
      <c r="QO138" s="1"/>
      <c r="QP138" s="1"/>
      <c r="QQ138" s="1"/>
      <c r="QR138" s="1"/>
      <c r="QS138" s="1"/>
      <c r="QT138" s="1"/>
      <c r="QU138" s="1"/>
      <c r="QV138" s="1"/>
      <c r="QW138" s="1"/>
      <c r="QX138" s="1"/>
      <c r="QY138" s="1"/>
      <c r="QZ138" s="1"/>
      <c r="RA138" s="1"/>
      <c r="RB138" s="1"/>
      <c r="RC138" s="1"/>
      <c r="RD138" s="1"/>
      <c r="RE138" s="1"/>
      <c r="RF138" s="1"/>
      <c r="RG138" s="1"/>
      <c r="RH138" s="1"/>
      <c r="RI138" s="1"/>
      <c r="RJ138" s="1"/>
      <c r="RK138" s="1"/>
      <c r="RL138" s="1"/>
      <c r="RM138" s="1"/>
      <c r="RN138" s="1"/>
      <c r="RO138" s="1"/>
      <c r="RP138" s="1"/>
      <c r="RQ138" s="1"/>
      <c r="RR138" s="1"/>
      <c r="RS138" s="1"/>
      <c r="RT138" s="1"/>
      <c r="RU138" s="1"/>
      <c r="RV138" s="1"/>
      <c r="RW138" s="1"/>
      <c r="RX138" s="1"/>
      <c r="RY138" s="1"/>
      <c r="RZ138" s="1"/>
      <c r="SA138" s="1"/>
      <c r="SB138" s="1"/>
      <c r="SC138" s="1"/>
      <c r="SD138" s="1"/>
      <c r="SE138" s="1"/>
      <c r="SF138" s="1"/>
      <c r="SG138" s="1"/>
      <c r="SH138" s="1"/>
      <c r="SI138" s="1"/>
      <c r="SJ138" s="1"/>
      <c r="SK138" s="1"/>
      <c r="SL138" s="1"/>
      <c r="SM138" s="1"/>
      <c r="SN138" s="1"/>
      <c r="SO138" s="1"/>
      <c r="SP138" s="1"/>
      <c r="SQ138" s="1"/>
      <c r="SR138" s="1"/>
      <c r="SS138" s="1"/>
      <c r="ST138" s="1"/>
      <c r="SU138" s="1"/>
      <c r="SV138" s="1"/>
      <c r="SW138" s="1"/>
      <c r="SX138" s="1"/>
      <c r="SY138" s="1"/>
      <c r="SZ138" s="1"/>
      <c r="TA138" s="1"/>
      <c r="TB138" s="1"/>
      <c r="TC138" s="1"/>
      <c r="TD138" s="1"/>
      <c r="TE138" s="1"/>
      <c r="TF138" s="1"/>
      <c r="TG138" s="1"/>
      <c r="TH138" s="1"/>
      <c r="TI138" s="1"/>
      <c r="TJ138" s="1"/>
      <c r="TK138" s="1"/>
      <c r="TL138" s="1"/>
      <c r="TM138" s="1"/>
      <c r="TN138" s="1"/>
      <c r="TO138" s="1"/>
      <c r="TP138" s="1"/>
      <c r="TQ138" s="1"/>
      <c r="TR138" s="1"/>
      <c r="TS138" s="1"/>
      <c r="TT138" s="1"/>
      <c r="TU138" s="1"/>
      <c r="TV138" s="1"/>
      <c r="TW138" s="1"/>
      <c r="TX138" s="1"/>
      <c r="TY138" s="1"/>
      <c r="TZ138" s="1"/>
      <c r="UA138" s="1"/>
      <c r="UB138" s="1"/>
      <c r="UC138" s="1"/>
      <c r="UD138" s="1"/>
      <c r="UE138" s="1"/>
      <c r="UF138" s="1"/>
      <c r="UG138" s="1"/>
      <c r="UH138" s="1"/>
      <c r="UI138" s="1"/>
      <c r="UJ138" s="1"/>
      <c r="UK138" s="1"/>
      <c r="UL138" s="1"/>
      <c r="UM138" s="1"/>
      <c r="UN138" s="1"/>
      <c r="UO138" s="1"/>
      <c r="UP138" s="1"/>
      <c r="UQ138" s="1"/>
      <c r="UR138" s="1"/>
      <c r="US138" s="1"/>
      <c r="UT138" s="1"/>
      <c r="UU138" s="1"/>
      <c r="UV138" s="1"/>
      <c r="UW138" s="1"/>
      <c r="UX138" s="1"/>
      <c r="UY138" s="1"/>
      <c r="UZ138" s="1"/>
      <c r="VA138" s="1"/>
      <c r="VB138" s="1"/>
      <c r="VC138" s="1"/>
      <c r="VD138" s="1"/>
      <c r="VE138" s="1"/>
      <c r="VF138" s="1"/>
      <c r="VG138" s="1"/>
      <c r="VH138" s="1"/>
      <c r="VI138" s="1"/>
      <c r="VJ138" s="1"/>
      <c r="VK138" s="1"/>
      <c r="VL138" s="1"/>
      <c r="VM138" s="1"/>
      <c r="VN138" s="1"/>
      <c r="VO138" s="1"/>
      <c r="VP138" s="1"/>
      <c r="VQ138" s="1"/>
      <c r="VR138" s="1"/>
      <c r="VS138" s="1"/>
      <c r="VT138" s="1"/>
      <c r="VU138" s="1"/>
      <c r="VV138" s="1"/>
      <c r="VW138" s="1"/>
      <c r="VX138" s="1"/>
      <c r="VY138" s="1"/>
      <c r="VZ138" s="1"/>
      <c r="WA138" s="1"/>
      <c r="WB138" s="1"/>
      <c r="WC138" s="1"/>
      <c r="WD138" s="1"/>
      <c r="WE138" s="1"/>
      <c r="WF138" s="1"/>
      <c r="WG138" s="1"/>
      <c r="WH138" s="1"/>
      <c r="WI138" s="1"/>
      <c r="WJ138" s="1"/>
      <c r="WK138" s="1"/>
      <c r="WL138" s="1"/>
      <c r="WM138" s="1"/>
      <c r="WN138" s="1"/>
      <c r="WO138" s="1"/>
      <c r="WP138" s="1"/>
      <c r="WQ138" s="1"/>
      <c r="WR138" s="1"/>
      <c r="WS138" s="1"/>
      <c r="WT138" s="1"/>
      <c r="WU138" s="1"/>
      <c r="WV138" s="1"/>
      <c r="WW138" s="1"/>
      <c r="WX138" s="1"/>
      <c r="WY138" s="1"/>
      <c r="WZ138" s="1"/>
      <c r="XA138" s="1"/>
      <c r="XB138" s="1"/>
      <c r="XC138" s="1"/>
      <c r="XD138" s="1"/>
      <c r="XE138" s="1"/>
      <c r="XF138" s="1"/>
      <c r="XG138" s="1"/>
      <c r="XH138" s="1"/>
      <c r="XI138" s="1"/>
      <c r="XJ138" s="1"/>
      <c r="XK138" s="1"/>
      <c r="XL138" s="1"/>
      <c r="XM138" s="1"/>
      <c r="XN138" s="1"/>
      <c r="XO138" s="1"/>
      <c r="XP138" s="1"/>
      <c r="XQ138" s="1"/>
      <c r="XR138" s="1"/>
      <c r="XS138" s="1"/>
      <c r="XT138" s="1"/>
      <c r="XU138" s="1"/>
      <c r="XV138" s="1"/>
      <c r="XW138" s="1"/>
      <c r="XX138" s="1"/>
      <c r="XY138" s="1"/>
      <c r="XZ138" s="1"/>
      <c r="YA138" s="1"/>
      <c r="YB138" s="1"/>
      <c r="YC138" s="1"/>
      <c r="YD138" s="1"/>
      <c r="YE138" s="1"/>
      <c r="YF138" s="1"/>
      <c r="YG138" s="1"/>
      <c r="YH138" s="1"/>
      <c r="YI138" s="1"/>
      <c r="YJ138" s="1"/>
      <c r="YK138" s="1"/>
      <c r="YL138" s="1"/>
      <c r="YM138" s="1"/>
      <c r="YN138" s="1"/>
      <c r="YO138" s="1"/>
      <c r="YP138" s="1"/>
      <c r="YQ138" s="1"/>
      <c r="YR138" s="1"/>
      <c r="YS138" s="1"/>
      <c r="YT138" s="1"/>
      <c r="YU138" s="1"/>
      <c r="YV138" s="1"/>
      <c r="YW138" s="1"/>
      <c r="YX138" s="1"/>
      <c r="YY138" s="1"/>
      <c r="YZ138" s="1"/>
      <c r="ZA138" s="1"/>
      <c r="ZB138" s="1"/>
      <c r="ZC138" s="1"/>
      <c r="ZD138" s="1"/>
      <c r="ZE138" s="1"/>
      <c r="ZF138" s="1"/>
      <c r="ZG138" s="1"/>
      <c r="ZH138" s="1"/>
      <c r="ZI138" s="1"/>
      <c r="ZJ138" s="1"/>
      <c r="ZK138" s="1"/>
      <c r="ZL138" s="1"/>
      <c r="ZM138" s="1"/>
      <c r="ZN138" s="1"/>
      <c r="ZO138" s="1"/>
      <c r="ZP138" s="1"/>
      <c r="ZQ138" s="1"/>
      <c r="ZR138" s="1"/>
      <c r="ZS138" s="1"/>
      <c r="ZT138" s="1"/>
      <c r="ZU138" s="1"/>
      <c r="ZV138" s="1"/>
      <c r="ZW138" s="1"/>
      <c r="ZX138" s="1"/>
      <c r="ZY138" s="1"/>
      <c r="ZZ138" s="1"/>
      <c r="AAA138" s="1"/>
      <c r="AAB138" s="1"/>
      <c r="AAC138" s="1"/>
      <c r="AAD138" s="1"/>
      <c r="AAE138" s="1"/>
      <c r="AAF138" s="1"/>
      <c r="AAG138" s="1"/>
      <c r="AAH138" s="1"/>
      <c r="AAI138" s="1"/>
      <c r="AAJ138" s="1"/>
      <c r="AAK138" s="1"/>
      <c r="AAL138" s="1"/>
      <c r="AAM138" s="1"/>
      <c r="AAN138" s="1"/>
      <c r="AAO138" s="1"/>
      <c r="AAP138" s="1"/>
      <c r="AAQ138" s="1"/>
      <c r="AAR138" s="1"/>
      <c r="AAS138" s="1"/>
      <c r="AAT138" s="1"/>
      <c r="AAU138" s="1"/>
      <c r="AAV138" s="1"/>
      <c r="AAW138" s="1"/>
      <c r="AAX138" s="1"/>
      <c r="AAY138" s="1"/>
      <c r="AAZ138" s="1"/>
      <c r="ABA138" s="1"/>
      <c r="ABB138" s="1"/>
      <c r="ABC138" s="1"/>
      <c r="ABD138" s="1"/>
      <c r="ABE138" s="1"/>
      <c r="ABF138" s="1"/>
      <c r="ABG138" s="1"/>
      <c r="ABH138" s="1"/>
      <c r="ABI138" s="1"/>
      <c r="ABJ138" s="1"/>
      <c r="ABK138" s="1"/>
      <c r="ABL138" s="1"/>
      <c r="ABM138" s="1"/>
      <c r="ABN138" s="1"/>
      <c r="ABO138" s="1"/>
      <c r="ABP138" s="1"/>
      <c r="ABQ138" s="1"/>
      <c r="ABR138" s="1"/>
      <c r="ABS138" s="1"/>
      <c r="ABT138" s="1"/>
      <c r="ABU138" s="1"/>
      <c r="ABV138" s="1"/>
      <c r="ABW138" s="1"/>
      <c r="ABX138" s="1"/>
      <c r="ABY138" s="1"/>
      <c r="ABZ138" s="1"/>
      <c r="ACA138" s="1"/>
      <c r="ACB138" s="1"/>
      <c r="ACC138" s="1"/>
      <c r="ACD138" s="1"/>
      <c r="ACE138" s="1"/>
      <c r="ACF138" s="1"/>
      <c r="ACG138" s="1"/>
      <c r="ACH138" s="1"/>
      <c r="ACI138" s="1"/>
      <c r="ACJ138" s="1"/>
      <c r="ACK138" s="1"/>
      <c r="ACL138" s="1"/>
      <c r="ACM138" s="1"/>
      <c r="ACN138" s="1"/>
      <c r="ACO138" s="1"/>
      <c r="ACP138" s="1"/>
      <c r="ACQ138" s="1"/>
      <c r="ACR138" s="1"/>
      <c r="ACS138" s="1"/>
      <c r="ACT138" s="1"/>
      <c r="ACU138" s="1"/>
      <c r="ACV138" s="1"/>
      <c r="ACW138" s="1"/>
      <c r="ACX138" s="1"/>
      <c r="ACY138" s="1"/>
      <c r="ACZ138" s="1"/>
      <c r="ADA138" s="1"/>
      <c r="ADB138" s="1"/>
      <c r="ADC138" s="1"/>
      <c r="ADD138" s="1"/>
      <c r="ADE138" s="1"/>
      <c r="ADF138" s="1"/>
      <c r="ADG138" s="1"/>
      <c r="ADH138" s="1"/>
      <c r="ADI138" s="1"/>
      <c r="ADJ138" s="1"/>
      <c r="ADK138" s="1"/>
      <c r="ADL138" s="1"/>
      <c r="ADM138" s="1"/>
      <c r="ADN138" s="1"/>
      <c r="ADO138" s="1"/>
      <c r="ADP138" s="1"/>
      <c r="ADQ138" s="1"/>
      <c r="ADR138" s="1"/>
      <c r="ADS138" s="1"/>
      <c r="ADT138" s="1"/>
      <c r="ADU138" s="1"/>
      <c r="ADV138" s="1"/>
      <c r="ADW138" s="1"/>
      <c r="ADX138" s="1"/>
      <c r="ADY138" s="1"/>
      <c r="ADZ138" s="1"/>
      <c r="AEA138" s="1"/>
      <c r="AEB138" s="1"/>
      <c r="AEC138" s="1"/>
      <c r="AED138" s="1"/>
      <c r="AEE138" s="1"/>
      <c r="AEF138" s="1"/>
      <c r="AEG138" s="1"/>
      <c r="AEH138" s="1"/>
      <c r="AEI138" s="1"/>
      <c r="AEJ138" s="1"/>
      <c r="AEK138" s="1"/>
      <c r="AEL138" s="1"/>
      <c r="AEM138" s="1"/>
      <c r="AEN138" s="1"/>
      <c r="AEO138" s="1"/>
      <c r="AEP138" s="1"/>
      <c r="AEQ138" s="1"/>
      <c r="AER138" s="1"/>
      <c r="AES138" s="1"/>
      <c r="AET138" s="1"/>
      <c r="AEU138" s="1"/>
      <c r="AEV138" s="1"/>
      <c r="AEW138" s="1"/>
      <c r="AEX138" s="1"/>
      <c r="AEY138" s="1"/>
      <c r="AEZ138" s="1"/>
      <c r="AFA138" s="1"/>
      <c r="AFB138" s="1"/>
      <c r="AFC138" s="1"/>
      <c r="AFD138" s="1"/>
      <c r="AFE138" s="1"/>
      <c r="AFF138" s="1"/>
      <c r="AFG138" s="1"/>
      <c r="AFH138" s="1"/>
      <c r="AFI138" s="1"/>
      <c r="AFJ138" s="1"/>
      <c r="AFK138" s="1"/>
      <c r="AFL138" s="1"/>
      <c r="AFM138" s="1"/>
      <c r="AFN138" s="1"/>
      <c r="AFO138" s="1"/>
      <c r="AFP138" s="1"/>
      <c r="AFQ138" s="1"/>
      <c r="AFR138" s="1"/>
      <c r="AFS138" s="1"/>
      <c r="AFT138" s="1"/>
      <c r="AFU138" s="1"/>
      <c r="AFV138" s="1"/>
      <c r="AFW138" s="1"/>
      <c r="AFX138" s="1"/>
      <c r="AFY138" s="1"/>
      <c r="AFZ138" s="1"/>
      <c r="AGA138" s="1"/>
      <c r="AGB138" s="1"/>
      <c r="AGC138" s="1"/>
      <c r="AGD138" s="1"/>
      <c r="AGE138" s="1"/>
      <c r="AGF138" s="1"/>
      <c r="AGG138" s="1"/>
      <c r="AGH138" s="1"/>
      <c r="AGI138" s="1"/>
      <c r="AGJ138" s="1"/>
      <c r="AGK138" s="1"/>
      <c r="AGL138" s="1"/>
      <c r="AGM138" s="1"/>
      <c r="AGN138" s="1"/>
      <c r="AGO138" s="1"/>
      <c r="AGP138" s="1"/>
      <c r="AGQ138" s="1"/>
      <c r="AGR138" s="1"/>
      <c r="AGS138" s="1"/>
      <c r="AGT138" s="1"/>
      <c r="AGU138" s="1"/>
      <c r="AGV138" s="1"/>
      <c r="AGW138" s="1"/>
      <c r="AGX138" s="1"/>
      <c r="AGY138" s="1"/>
      <c r="AGZ138" s="1"/>
      <c r="AHA138" s="1"/>
      <c r="AHB138" s="1"/>
      <c r="AHC138" s="1"/>
      <c r="AHD138" s="1"/>
      <c r="AHE138" s="1"/>
      <c r="AHF138" s="1"/>
      <c r="AHG138" s="1"/>
      <c r="AHH138" s="1"/>
      <c r="AHI138" s="1"/>
      <c r="AHJ138" s="1"/>
      <c r="AHK138" s="1"/>
      <c r="AHL138" s="1"/>
      <c r="AHM138" s="1"/>
      <c r="AHN138" s="1"/>
      <c r="AHO138" s="1"/>
      <c r="AHP138" s="1"/>
      <c r="AHQ138" s="1"/>
      <c r="AHR138" s="1"/>
      <c r="AHS138" s="1"/>
      <c r="AHT138" s="1"/>
      <c r="AHU138" s="1"/>
      <c r="AHV138" s="1"/>
      <c r="AHW138" s="1"/>
      <c r="AHX138" s="1"/>
      <c r="AHY138" s="1"/>
      <c r="AHZ138" s="1"/>
      <c r="AIA138" s="1"/>
      <c r="AIB138" s="1"/>
      <c r="AIC138" s="1"/>
      <c r="AID138" s="1"/>
      <c r="AIE138" s="1"/>
      <c r="AIF138" s="1"/>
      <c r="AIG138" s="1"/>
      <c r="AIH138" s="1"/>
      <c r="AII138" s="1"/>
      <c r="AIJ138" s="1"/>
      <c r="AIK138" s="1"/>
      <c r="AIL138" s="1"/>
      <c r="AIM138" s="1"/>
      <c r="AIN138" s="1"/>
      <c r="AIO138" s="1"/>
      <c r="AIP138" s="1"/>
      <c r="AIQ138" s="1"/>
      <c r="AIR138" s="1"/>
      <c r="AIS138" s="1"/>
      <c r="AIT138" s="1"/>
      <c r="AIU138" s="1"/>
      <c r="AIV138" s="1"/>
      <c r="AIW138" s="1"/>
      <c r="AIX138" s="1"/>
      <c r="AIY138" s="1"/>
      <c r="AIZ138" s="1"/>
      <c r="AJA138" s="1"/>
      <c r="AJB138" s="1"/>
      <c r="AJC138" s="1"/>
      <c r="AJD138" s="1"/>
      <c r="AJE138" s="1"/>
      <c r="AJF138" s="1"/>
      <c r="AJG138" s="1"/>
      <c r="AJH138" s="1"/>
      <c r="AJI138" s="1"/>
      <c r="AJJ138" s="1"/>
      <c r="AJK138" s="1"/>
      <c r="AJL138" s="1"/>
      <c r="AJM138" s="1"/>
      <c r="AJN138" s="1"/>
      <c r="AJO138" s="1"/>
      <c r="AJP138" s="1"/>
      <c r="AJQ138" s="1"/>
      <c r="AJR138" s="1"/>
      <c r="AJS138" s="1"/>
      <c r="AJT138" s="1"/>
      <c r="AJU138" s="1"/>
      <c r="AJV138" s="1"/>
      <c r="AJW138" s="1"/>
      <c r="AJX138" s="1"/>
      <c r="AJY138" s="1"/>
      <c r="AJZ138" s="1"/>
      <c r="AKA138" s="1"/>
      <c r="AKB138" s="1"/>
      <c r="AKC138" s="1"/>
      <c r="AKD138" s="1"/>
      <c r="AKE138" s="1"/>
      <c r="AKF138" s="1"/>
      <c r="AKG138" s="1"/>
      <c r="AKH138" s="1"/>
      <c r="AKI138" s="1"/>
      <c r="AKJ138" s="1"/>
      <c r="AKK138" s="1"/>
      <c r="AKL138" s="1"/>
      <c r="AKM138" s="1"/>
      <c r="AKN138" s="1"/>
      <c r="AKO138" s="1"/>
      <c r="AKP138" s="1"/>
      <c r="AKQ138" s="1"/>
      <c r="AKR138" s="1"/>
      <c r="AKS138" s="1"/>
      <c r="AKT138" s="1"/>
      <c r="AKU138" s="1"/>
      <c r="AKV138" s="1"/>
      <c r="AKW138" s="1"/>
      <c r="AKX138" s="1"/>
      <c r="AKY138" s="1"/>
      <c r="AKZ138" s="1"/>
      <c r="ALA138" s="1"/>
      <c r="ALB138" s="1"/>
      <c r="ALC138" s="1"/>
      <c r="ALD138" s="1"/>
      <c r="ALE138" s="1"/>
      <c r="ALF138" s="1"/>
      <c r="ALG138" s="1"/>
      <c r="ALH138" s="1"/>
      <c r="ALI138" s="1"/>
      <c r="ALJ138" s="1"/>
      <c r="ALK138" s="1"/>
      <c r="ALL138" s="1"/>
      <c r="ALM138" s="1"/>
      <c r="ALN138" s="1"/>
      <c r="ALO138" s="1"/>
      <c r="ALP138" s="1"/>
      <c r="ALQ138" s="1"/>
      <c r="ALR138" s="1"/>
      <c r="ALS138" s="1"/>
      <c r="ALT138" s="1"/>
      <c r="ALU138" s="1"/>
      <c r="ALV138" s="1"/>
      <c r="ALW138" s="1"/>
      <c r="ALX138" s="1"/>
      <c r="ALY138" s="1"/>
      <c r="ALZ138" s="1"/>
      <c r="AMA138" s="1"/>
      <c r="AMB138" s="1"/>
      <c r="AMC138" s="1"/>
      <c r="AMD138" s="1"/>
      <c r="AME138" s="1"/>
      <c r="AMF138" s="1"/>
      <c r="AMG138" s="1"/>
      <c r="AMH138" s="1"/>
      <c r="AMI138" s="1"/>
      <c r="AMJ138" s="1"/>
    </row>
    <row r="139" customFormat="false" ht="10.5" hidden="false" customHeight="true" outlineLevel="0" collapsed="false">
      <c r="A139" s="162"/>
      <c r="B139" s="162"/>
      <c r="C139" s="162"/>
      <c r="D139" s="162"/>
      <c r="E139" s="162"/>
      <c r="F139" s="162"/>
      <c r="G139" s="162"/>
      <c r="H139" s="162"/>
      <c r="I139" s="162"/>
      <c r="J139" s="19"/>
      <c r="K139" s="19"/>
      <c r="L139" s="19"/>
      <c r="M139" s="185"/>
      <c r="N139" s="185"/>
      <c r="O139" s="185"/>
      <c r="P139" s="186" t="n">
        <f aca="false">J139*M139</f>
        <v>0</v>
      </c>
      <c r="Q139" s="186"/>
      <c r="R139" s="186"/>
      <c r="S139" s="181"/>
      <c r="T139" s="166"/>
      <c r="U139" s="166"/>
      <c r="V139" s="166"/>
      <c r="W139" s="166"/>
      <c r="X139" s="166"/>
      <c r="Y139" s="166"/>
      <c r="Z139" s="166"/>
      <c r="AA139" s="166"/>
      <c r="AB139" s="166"/>
      <c r="AC139" s="166"/>
      <c r="AD139" s="166"/>
      <c r="AE139" s="19"/>
      <c r="AF139" s="19"/>
      <c r="AG139" s="19"/>
      <c r="AH139" s="185"/>
      <c r="AI139" s="185"/>
      <c r="AJ139" s="185"/>
      <c r="AK139" s="185"/>
      <c r="AL139" s="186" t="n">
        <f aca="false">AE139*AH139</f>
        <v>0</v>
      </c>
      <c r="AM139" s="186"/>
      <c r="AN139" s="186"/>
      <c r="AO139" s="186"/>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c r="CM139" s="1"/>
      <c r="CN139" s="1"/>
      <c r="CO139" s="1"/>
      <c r="CP139" s="1"/>
      <c r="CQ139" s="1"/>
      <c r="CR139" s="1"/>
      <c r="CS139" s="1"/>
      <c r="CT139" s="1"/>
      <c r="CU139" s="1"/>
      <c r="CV139" s="1"/>
      <c r="CW139" s="1"/>
      <c r="CX139" s="1"/>
      <c r="CY139" s="1"/>
      <c r="CZ139" s="1"/>
      <c r="DA139" s="1"/>
      <c r="DB139" s="1"/>
      <c r="DC139" s="1"/>
      <c r="DD139" s="1"/>
      <c r="DE139" s="1"/>
      <c r="DF139" s="1"/>
      <c r="DG139" s="1"/>
      <c r="DH139" s="1"/>
      <c r="DI139" s="1"/>
      <c r="DJ139" s="1"/>
      <c r="DK139" s="1"/>
      <c r="DL139" s="1"/>
      <c r="DM139" s="1"/>
      <c r="DN139" s="1"/>
      <c r="DO139" s="1"/>
      <c r="DP139" s="1"/>
      <c r="DQ139" s="1"/>
      <c r="DR139" s="1"/>
      <c r="DS139" s="1"/>
      <c r="DT139" s="1"/>
      <c r="DU139" s="1"/>
      <c r="DV139" s="1"/>
      <c r="DW139" s="1"/>
      <c r="DX139" s="1"/>
      <c r="DY139" s="1"/>
      <c r="DZ139" s="1"/>
      <c r="EA139" s="1"/>
      <c r="EB139" s="1"/>
      <c r="EC139" s="1"/>
      <c r="ED139" s="1"/>
      <c r="EE139" s="1"/>
      <c r="EF139" s="1"/>
      <c r="EG139" s="1"/>
      <c r="EH139" s="1"/>
      <c r="EI139" s="1"/>
      <c r="EJ139" s="1"/>
      <c r="EK139" s="1"/>
      <c r="EL139" s="1"/>
      <c r="EM139" s="1"/>
      <c r="EN139" s="1"/>
      <c r="EO139" s="1"/>
      <c r="EP139" s="1"/>
      <c r="EQ139" s="1"/>
      <c r="ER139" s="1"/>
      <c r="ES139" s="1"/>
      <c r="ET139" s="1"/>
      <c r="EU139" s="1"/>
      <c r="EV139" s="1"/>
      <c r="EW139" s="1"/>
      <c r="EX139" s="1"/>
      <c r="EY139" s="1"/>
      <c r="EZ139" s="1"/>
      <c r="FA139" s="1"/>
      <c r="FB139" s="1"/>
      <c r="FC139" s="1"/>
      <c r="FD139" s="1"/>
      <c r="FE139" s="1"/>
      <c r="FF139" s="1"/>
      <c r="FG139" s="1"/>
      <c r="FH139" s="1"/>
      <c r="FI139" s="1"/>
      <c r="FJ139" s="1"/>
      <c r="FK139" s="1"/>
      <c r="FL139" s="1"/>
      <c r="FM139" s="1"/>
      <c r="FN139" s="1"/>
      <c r="FO139" s="1"/>
      <c r="FP139" s="1"/>
      <c r="FQ139" s="1"/>
      <c r="FR139" s="1"/>
      <c r="FS139" s="1"/>
      <c r="FT139" s="1"/>
      <c r="FU139" s="1"/>
      <c r="FV139" s="1"/>
      <c r="FW139" s="1"/>
      <c r="FX139" s="1"/>
      <c r="FY139" s="1"/>
      <c r="FZ139" s="1"/>
      <c r="GA139" s="1"/>
      <c r="GB139" s="1"/>
      <c r="GC139" s="1"/>
      <c r="GD139" s="1"/>
      <c r="GE139" s="1"/>
      <c r="GF139" s="1"/>
      <c r="GG139" s="1"/>
      <c r="GH139" s="1"/>
      <c r="GI139" s="1"/>
      <c r="GJ139" s="1"/>
      <c r="GK139" s="1"/>
      <c r="GL139" s="1"/>
      <c r="GM139" s="1"/>
      <c r="GN139" s="1"/>
      <c r="GO139" s="1"/>
      <c r="GP139" s="1"/>
      <c r="GQ139" s="1"/>
      <c r="GR139" s="1"/>
      <c r="GS139" s="1"/>
      <c r="GT139" s="1"/>
      <c r="GU139" s="1"/>
      <c r="GV139" s="1"/>
      <c r="GW139" s="1"/>
      <c r="GX139" s="1"/>
      <c r="GY139" s="1"/>
      <c r="GZ139" s="1"/>
      <c r="HA139" s="1"/>
      <c r="HB139" s="1"/>
      <c r="HC139" s="1"/>
      <c r="HD139" s="1"/>
      <c r="HE139" s="1"/>
      <c r="HF139" s="1"/>
      <c r="HG139" s="1"/>
      <c r="HH139" s="1"/>
      <c r="HI139" s="1"/>
      <c r="HJ139" s="1"/>
      <c r="HK139" s="1"/>
      <c r="HL139" s="1"/>
      <c r="HM139" s="1"/>
      <c r="HN139" s="1"/>
      <c r="HO139" s="1"/>
      <c r="HP139" s="1"/>
      <c r="HQ139" s="1"/>
      <c r="HR139" s="1"/>
      <c r="HS139" s="1"/>
      <c r="HT139" s="1"/>
      <c r="HU139" s="1"/>
      <c r="HV139" s="1"/>
      <c r="HW139" s="1"/>
      <c r="HX139" s="1"/>
      <c r="HY139" s="1"/>
      <c r="HZ139" s="1"/>
      <c r="IA139" s="1"/>
      <c r="IB139" s="1"/>
      <c r="IC139" s="1"/>
      <c r="ID139" s="1"/>
      <c r="IE139" s="1"/>
      <c r="IF139" s="1"/>
      <c r="IG139" s="1"/>
      <c r="IH139" s="1"/>
      <c r="II139" s="1"/>
      <c r="IJ139" s="1"/>
      <c r="IK139" s="1"/>
      <c r="IL139" s="1"/>
      <c r="IM139" s="1"/>
      <c r="IN139" s="1"/>
      <c r="IO139" s="1"/>
      <c r="IP139" s="1"/>
      <c r="IQ139" s="1"/>
      <c r="IR139" s="1"/>
      <c r="IS139" s="1"/>
      <c r="IT139" s="1"/>
      <c r="IU139" s="1"/>
      <c r="IV139" s="1"/>
      <c r="IW139" s="1"/>
      <c r="IX139" s="1"/>
      <c r="IY139" s="1"/>
      <c r="IZ139" s="1"/>
      <c r="JA139" s="1"/>
      <c r="JB139" s="1"/>
      <c r="JC139" s="1"/>
      <c r="JD139" s="1"/>
      <c r="JE139" s="1"/>
      <c r="JF139" s="1"/>
      <c r="JG139" s="1"/>
      <c r="JH139" s="1"/>
      <c r="JI139" s="1"/>
      <c r="JJ139" s="1"/>
      <c r="JK139" s="1"/>
      <c r="JL139" s="1"/>
      <c r="JM139" s="1"/>
      <c r="JN139" s="1"/>
      <c r="JO139" s="1"/>
      <c r="JP139" s="1"/>
      <c r="JQ139" s="1"/>
      <c r="JR139" s="1"/>
      <c r="JS139" s="1"/>
      <c r="JT139" s="1"/>
      <c r="JU139" s="1"/>
      <c r="JV139" s="1"/>
      <c r="JW139" s="1"/>
      <c r="JX139" s="1"/>
      <c r="JY139" s="1"/>
      <c r="JZ139" s="1"/>
      <c r="KA139" s="1"/>
      <c r="KB139" s="1"/>
      <c r="KC139" s="1"/>
      <c r="KD139" s="1"/>
      <c r="KE139" s="1"/>
      <c r="KF139" s="1"/>
      <c r="KG139" s="1"/>
      <c r="KH139" s="1"/>
      <c r="KI139" s="1"/>
      <c r="KJ139" s="1"/>
      <c r="KK139" s="1"/>
      <c r="KL139" s="1"/>
      <c r="KM139" s="1"/>
      <c r="KN139" s="1"/>
      <c r="KO139" s="1"/>
      <c r="KP139" s="1"/>
      <c r="KQ139" s="1"/>
      <c r="KR139" s="1"/>
      <c r="KS139" s="1"/>
      <c r="KT139" s="1"/>
      <c r="KU139" s="1"/>
      <c r="KV139" s="1"/>
      <c r="KW139" s="1"/>
      <c r="KX139" s="1"/>
      <c r="KY139" s="1"/>
      <c r="KZ139" s="1"/>
      <c r="LA139" s="1"/>
      <c r="LB139" s="1"/>
      <c r="LC139" s="1"/>
      <c r="LD139" s="1"/>
      <c r="LE139" s="1"/>
      <c r="LF139" s="1"/>
      <c r="LG139" s="1"/>
      <c r="LH139" s="1"/>
      <c r="LI139" s="1"/>
      <c r="LJ139" s="1"/>
      <c r="LK139" s="1"/>
      <c r="LL139" s="1"/>
      <c r="LM139" s="1"/>
      <c r="LN139" s="1"/>
      <c r="LO139" s="1"/>
      <c r="LP139" s="1"/>
      <c r="LQ139" s="1"/>
      <c r="LR139" s="1"/>
      <c r="LS139" s="1"/>
      <c r="LT139" s="1"/>
      <c r="LU139" s="1"/>
      <c r="LV139" s="1"/>
      <c r="LW139" s="1"/>
      <c r="LX139" s="1"/>
      <c r="LY139" s="1"/>
      <c r="LZ139" s="1"/>
      <c r="MA139" s="1"/>
      <c r="MB139" s="1"/>
      <c r="MC139" s="1"/>
      <c r="MD139" s="1"/>
      <c r="ME139" s="1"/>
      <c r="MF139" s="1"/>
      <c r="MG139" s="1"/>
      <c r="MH139" s="1"/>
      <c r="MI139" s="1"/>
      <c r="MJ139" s="1"/>
      <c r="MK139" s="1"/>
      <c r="ML139" s="1"/>
      <c r="MM139" s="1"/>
      <c r="MN139" s="1"/>
      <c r="MO139" s="1"/>
      <c r="MP139" s="1"/>
      <c r="MQ139" s="1"/>
      <c r="MR139" s="1"/>
      <c r="MS139" s="1"/>
      <c r="MT139" s="1"/>
      <c r="MU139" s="1"/>
      <c r="MV139" s="1"/>
      <c r="MW139" s="1"/>
      <c r="MX139" s="1"/>
      <c r="MY139" s="1"/>
      <c r="MZ139" s="1"/>
      <c r="NA139" s="1"/>
      <c r="NB139" s="1"/>
      <c r="NC139" s="1"/>
      <c r="ND139" s="1"/>
      <c r="NE139" s="1"/>
      <c r="NF139" s="1"/>
      <c r="NG139" s="1"/>
      <c r="NH139" s="1"/>
      <c r="NI139" s="1"/>
      <c r="NJ139" s="1"/>
      <c r="NK139" s="1"/>
      <c r="NL139" s="1"/>
      <c r="NM139" s="1"/>
      <c r="NN139" s="1"/>
      <c r="NO139" s="1"/>
      <c r="NP139" s="1"/>
      <c r="NQ139" s="1"/>
      <c r="NR139" s="1"/>
      <c r="NS139" s="1"/>
      <c r="NT139" s="1"/>
      <c r="NU139" s="1"/>
      <c r="NV139" s="1"/>
      <c r="NW139" s="1"/>
      <c r="NX139" s="1"/>
      <c r="NY139" s="1"/>
      <c r="NZ139" s="1"/>
      <c r="OA139" s="1"/>
      <c r="OB139" s="1"/>
      <c r="OC139" s="1"/>
      <c r="OD139" s="1"/>
      <c r="OE139" s="1"/>
      <c r="OF139" s="1"/>
      <c r="OG139" s="1"/>
      <c r="OH139" s="1"/>
      <c r="OI139" s="1"/>
      <c r="OJ139" s="1"/>
      <c r="OK139" s="1"/>
      <c r="OL139" s="1"/>
      <c r="OM139" s="1"/>
      <c r="ON139" s="1"/>
      <c r="OO139" s="1"/>
      <c r="OP139" s="1"/>
      <c r="OQ139" s="1"/>
      <c r="OR139" s="1"/>
      <c r="OS139" s="1"/>
      <c r="OT139" s="1"/>
      <c r="OU139" s="1"/>
      <c r="OV139" s="1"/>
      <c r="OW139" s="1"/>
      <c r="OX139" s="1"/>
      <c r="OY139" s="1"/>
      <c r="OZ139" s="1"/>
      <c r="PA139" s="1"/>
      <c r="PB139" s="1"/>
      <c r="PC139" s="1"/>
      <c r="PD139" s="1"/>
      <c r="PE139" s="1"/>
      <c r="PF139" s="1"/>
      <c r="PG139" s="1"/>
      <c r="PH139" s="1"/>
      <c r="PI139" s="1"/>
      <c r="PJ139" s="1"/>
      <c r="PK139" s="1"/>
      <c r="PL139" s="1"/>
      <c r="PM139" s="1"/>
      <c r="PN139" s="1"/>
      <c r="PO139" s="1"/>
      <c r="PP139" s="1"/>
      <c r="PQ139" s="1"/>
      <c r="PR139" s="1"/>
      <c r="PS139" s="1"/>
      <c r="PT139" s="1"/>
      <c r="PU139" s="1"/>
      <c r="PV139" s="1"/>
      <c r="PW139" s="1"/>
      <c r="PX139" s="1"/>
      <c r="PY139" s="1"/>
      <c r="PZ139" s="1"/>
      <c r="QA139" s="1"/>
      <c r="QB139" s="1"/>
      <c r="QC139" s="1"/>
      <c r="QD139" s="1"/>
      <c r="QE139" s="1"/>
      <c r="QF139" s="1"/>
      <c r="QG139" s="1"/>
      <c r="QH139" s="1"/>
      <c r="QI139" s="1"/>
      <c r="QJ139" s="1"/>
      <c r="QK139" s="1"/>
      <c r="QL139" s="1"/>
      <c r="QM139" s="1"/>
      <c r="QN139" s="1"/>
      <c r="QO139" s="1"/>
      <c r="QP139" s="1"/>
      <c r="QQ139" s="1"/>
      <c r="QR139" s="1"/>
      <c r="QS139" s="1"/>
      <c r="QT139" s="1"/>
      <c r="QU139" s="1"/>
      <c r="QV139" s="1"/>
      <c r="QW139" s="1"/>
      <c r="QX139" s="1"/>
      <c r="QY139" s="1"/>
      <c r="QZ139" s="1"/>
      <c r="RA139" s="1"/>
      <c r="RB139" s="1"/>
      <c r="RC139" s="1"/>
      <c r="RD139" s="1"/>
      <c r="RE139" s="1"/>
      <c r="RF139" s="1"/>
      <c r="RG139" s="1"/>
      <c r="RH139" s="1"/>
      <c r="RI139" s="1"/>
      <c r="RJ139" s="1"/>
      <c r="RK139" s="1"/>
      <c r="RL139" s="1"/>
      <c r="RM139" s="1"/>
      <c r="RN139" s="1"/>
      <c r="RO139" s="1"/>
      <c r="RP139" s="1"/>
      <c r="RQ139" s="1"/>
      <c r="RR139" s="1"/>
      <c r="RS139" s="1"/>
      <c r="RT139" s="1"/>
      <c r="RU139" s="1"/>
      <c r="RV139" s="1"/>
      <c r="RW139" s="1"/>
      <c r="RX139" s="1"/>
      <c r="RY139" s="1"/>
      <c r="RZ139" s="1"/>
      <c r="SA139" s="1"/>
      <c r="SB139" s="1"/>
      <c r="SC139" s="1"/>
      <c r="SD139" s="1"/>
      <c r="SE139" s="1"/>
      <c r="SF139" s="1"/>
      <c r="SG139" s="1"/>
      <c r="SH139" s="1"/>
      <c r="SI139" s="1"/>
      <c r="SJ139" s="1"/>
      <c r="SK139" s="1"/>
      <c r="SL139" s="1"/>
      <c r="SM139" s="1"/>
      <c r="SN139" s="1"/>
      <c r="SO139" s="1"/>
      <c r="SP139" s="1"/>
      <c r="SQ139" s="1"/>
      <c r="SR139" s="1"/>
      <c r="SS139" s="1"/>
      <c r="ST139" s="1"/>
      <c r="SU139" s="1"/>
      <c r="SV139" s="1"/>
      <c r="SW139" s="1"/>
      <c r="SX139" s="1"/>
      <c r="SY139" s="1"/>
      <c r="SZ139" s="1"/>
      <c r="TA139" s="1"/>
      <c r="TB139" s="1"/>
      <c r="TC139" s="1"/>
      <c r="TD139" s="1"/>
      <c r="TE139" s="1"/>
      <c r="TF139" s="1"/>
      <c r="TG139" s="1"/>
      <c r="TH139" s="1"/>
      <c r="TI139" s="1"/>
      <c r="TJ139" s="1"/>
      <c r="TK139" s="1"/>
      <c r="TL139" s="1"/>
      <c r="TM139" s="1"/>
      <c r="TN139" s="1"/>
      <c r="TO139" s="1"/>
      <c r="TP139" s="1"/>
      <c r="TQ139" s="1"/>
      <c r="TR139" s="1"/>
      <c r="TS139" s="1"/>
      <c r="TT139" s="1"/>
      <c r="TU139" s="1"/>
      <c r="TV139" s="1"/>
      <c r="TW139" s="1"/>
      <c r="TX139" s="1"/>
      <c r="TY139" s="1"/>
      <c r="TZ139" s="1"/>
      <c r="UA139" s="1"/>
      <c r="UB139" s="1"/>
      <c r="UC139" s="1"/>
      <c r="UD139" s="1"/>
      <c r="UE139" s="1"/>
      <c r="UF139" s="1"/>
      <c r="UG139" s="1"/>
      <c r="UH139" s="1"/>
      <c r="UI139" s="1"/>
      <c r="UJ139" s="1"/>
      <c r="UK139" s="1"/>
      <c r="UL139" s="1"/>
      <c r="UM139" s="1"/>
      <c r="UN139" s="1"/>
      <c r="UO139" s="1"/>
      <c r="UP139" s="1"/>
      <c r="UQ139" s="1"/>
      <c r="UR139" s="1"/>
      <c r="US139" s="1"/>
      <c r="UT139" s="1"/>
      <c r="UU139" s="1"/>
      <c r="UV139" s="1"/>
      <c r="UW139" s="1"/>
      <c r="UX139" s="1"/>
      <c r="UY139" s="1"/>
      <c r="UZ139" s="1"/>
      <c r="VA139" s="1"/>
      <c r="VB139" s="1"/>
      <c r="VC139" s="1"/>
      <c r="VD139" s="1"/>
      <c r="VE139" s="1"/>
      <c r="VF139" s="1"/>
      <c r="VG139" s="1"/>
      <c r="VH139" s="1"/>
      <c r="VI139" s="1"/>
      <c r="VJ139" s="1"/>
      <c r="VK139" s="1"/>
      <c r="VL139" s="1"/>
      <c r="VM139" s="1"/>
      <c r="VN139" s="1"/>
      <c r="VO139" s="1"/>
      <c r="VP139" s="1"/>
      <c r="VQ139" s="1"/>
      <c r="VR139" s="1"/>
      <c r="VS139" s="1"/>
      <c r="VT139" s="1"/>
      <c r="VU139" s="1"/>
      <c r="VV139" s="1"/>
      <c r="VW139" s="1"/>
      <c r="VX139" s="1"/>
      <c r="VY139" s="1"/>
      <c r="VZ139" s="1"/>
      <c r="WA139" s="1"/>
      <c r="WB139" s="1"/>
      <c r="WC139" s="1"/>
      <c r="WD139" s="1"/>
      <c r="WE139" s="1"/>
      <c r="WF139" s="1"/>
      <c r="WG139" s="1"/>
      <c r="WH139" s="1"/>
      <c r="WI139" s="1"/>
      <c r="WJ139" s="1"/>
      <c r="WK139" s="1"/>
      <c r="WL139" s="1"/>
      <c r="WM139" s="1"/>
      <c r="WN139" s="1"/>
      <c r="WO139" s="1"/>
      <c r="WP139" s="1"/>
      <c r="WQ139" s="1"/>
      <c r="WR139" s="1"/>
      <c r="WS139" s="1"/>
      <c r="WT139" s="1"/>
      <c r="WU139" s="1"/>
      <c r="WV139" s="1"/>
      <c r="WW139" s="1"/>
      <c r="WX139" s="1"/>
      <c r="WY139" s="1"/>
      <c r="WZ139" s="1"/>
      <c r="XA139" s="1"/>
      <c r="XB139" s="1"/>
      <c r="XC139" s="1"/>
      <c r="XD139" s="1"/>
      <c r="XE139" s="1"/>
      <c r="XF139" s="1"/>
      <c r="XG139" s="1"/>
      <c r="XH139" s="1"/>
      <c r="XI139" s="1"/>
      <c r="XJ139" s="1"/>
      <c r="XK139" s="1"/>
      <c r="XL139" s="1"/>
      <c r="XM139" s="1"/>
      <c r="XN139" s="1"/>
      <c r="XO139" s="1"/>
      <c r="XP139" s="1"/>
      <c r="XQ139" s="1"/>
      <c r="XR139" s="1"/>
      <c r="XS139" s="1"/>
      <c r="XT139" s="1"/>
      <c r="XU139" s="1"/>
      <c r="XV139" s="1"/>
      <c r="XW139" s="1"/>
      <c r="XX139" s="1"/>
      <c r="XY139" s="1"/>
      <c r="XZ139" s="1"/>
      <c r="YA139" s="1"/>
      <c r="YB139" s="1"/>
      <c r="YC139" s="1"/>
      <c r="YD139" s="1"/>
      <c r="YE139" s="1"/>
      <c r="YF139" s="1"/>
      <c r="YG139" s="1"/>
      <c r="YH139" s="1"/>
      <c r="YI139" s="1"/>
      <c r="YJ139" s="1"/>
      <c r="YK139" s="1"/>
      <c r="YL139" s="1"/>
      <c r="YM139" s="1"/>
      <c r="YN139" s="1"/>
      <c r="YO139" s="1"/>
      <c r="YP139" s="1"/>
      <c r="YQ139" s="1"/>
      <c r="YR139" s="1"/>
      <c r="YS139" s="1"/>
      <c r="YT139" s="1"/>
      <c r="YU139" s="1"/>
      <c r="YV139" s="1"/>
      <c r="YW139" s="1"/>
      <c r="YX139" s="1"/>
      <c r="YY139" s="1"/>
      <c r="YZ139" s="1"/>
      <c r="ZA139" s="1"/>
      <c r="ZB139" s="1"/>
      <c r="ZC139" s="1"/>
      <c r="ZD139" s="1"/>
      <c r="ZE139" s="1"/>
      <c r="ZF139" s="1"/>
      <c r="ZG139" s="1"/>
      <c r="ZH139" s="1"/>
      <c r="ZI139" s="1"/>
      <c r="ZJ139" s="1"/>
      <c r="ZK139" s="1"/>
      <c r="ZL139" s="1"/>
      <c r="ZM139" s="1"/>
      <c r="ZN139" s="1"/>
      <c r="ZO139" s="1"/>
      <c r="ZP139" s="1"/>
      <c r="ZQ139" s="1"/>
      <c r="ZR139" s="1"/>
      <c r="ZS139" s="1"/>
      <c r="ZT139" s="1"/>
      <c r="ZU139" s="1"/>
      <c r="ZV139" s="1"/>
      <c r="ZW139" s="1"/>
      <c r="ZX139" s="1"/>
      <c r="ZY139" s="1"/>
      <c r="ZZ139" s="1"/>
      <c r="AAA139" s="1"/>
      <c r="AAB139" s="1"/>
      <c r="AAC139" s="1"/>
      <c r="AAD139" s="1"/>
      <c r="AAE139" s="1"/>
      <c r="AAF139" s="1"/>
      <c r="AAG139" s="1"/>
      <c r="AAH139" s="1"/>
      <c r="AAI139" s="1"/>
      <c r="AAJ139" s="1"/>
      <c r="AAK139" s="1"/>
      <c r="AAL139" s="1"/>
      <c r="AAM139" s="1"/>
      <c r="AAN139" s="1"/>
      <c r="AAO139" s="1"/>
      <c r="AAP139" s="1"/>
      <c r="AAQ139" s="1"/>
      <c r="AAR139" s="1"/>
      <c r="AAS139" s="1"/>
      <c r="AAT139" s="1"/>
      <c r="AAU139" s="1"/>
      <c r="AAV139" s="1"/>
      <c r="AAW139" s="1"/>
      <c r="AAX139" s="1"/>
      <c r="AAY139" s="1"/>
      <c r="AAZ139" s="1"/>
      <c r="ABA139" s="1"/>
      <c r="ABB139" s="1"/>
      <c r="ABC139" s="1"/>
      <c r="ABD139" s="1"/>
      <c r="ABE139" s="1"/>
      <c r="ABF139" s="1"/>
      <c r="ABG139" s="1"/>
      <c r="ABH139" s="1"/>
      <c r="ABI139" s="1"/>
      <c r="ABJ139" s="1"/>
      <c r="ABK139" s="1"/>
      <c r="ABL139" s="1"/>
      <c r="ABM139" s="1"/>
      <c r="ABN139" s="1"/>
      <c r="ABO139" s="1"/>
      <c r="ABP139" s="1"/>
      <c r="ABQ139" s="1"/>
      <c r="ABR139" s="1"/>
      <c r="ABS139" s="1"/>
      <c r="ABT139" s="1"/>
      <c r="ABU139" s="1"/>
      <c r="ABV139" s="1"/>
      <c r="ABW139" s="1"/>
      <c r="ABX139" s="1"/>
      <c r="ABY139" s="1"/>
      <c r="ABZ139" s="1"/>
      <c r="ACA139" s="1"/>
      <c r="ACB139" s="1"/>
      <c r="ACC139" s="1"/>
      <c r="ACD139" s="1"/>
      <c r="ACE139" s="1"/>
      <c r="ACF139" s="1"/>
      <c r="ACG139" s="1"/>
      <c r="ACH139" s="1"/>
      <c r="ACI139" s="1"/>
      <c r="ACJ139" s="1"/>
      <c r="ACK139" s="1"/>
      <c r="ACL139" s="1"/>
      <c r="ACM139" s="1"/>
      <c r="ACN139" s="1"/>
      <c r="ACO139" s="1"/>
      <c r="ACP139" s="1"/>
      <c r="ACQ139" s="1"/>
      <c r="ACR139" s="1"/>
      <c r="ACS139" s="1"/>
      <c r="ACT139" s="1"/>
      <c r="ACU139" s="1"/>
      <c r="ACV139" s="1"/>
      <c r="ACW139" s="1"/>
      <c r="ACX139" s="1"/>
      <c r="ACY139" s="1"/>
      <c r="ACZ139" s="1"/>
      <c r="ADA139" s="1"/>
      <c r="ADB139" s="1"/>
      <c r="ADC139" s="1"/>
      <c r="ADD139" s="1"/>
      <c r="ADE139" s="1"/>
      <c r="ADF139" s="1"/>
      <c r="ADG139" s="1"/>
      <c r="ADH139" s="1"/>
      <c r="ADI139" s="1"/>
      <c r="ADJ139" s="1"/>
      <c r="ADK139" s="1"/>
      <c r="ADL139" s="1"/>
      <c r="ADM139" s="1"/>
      <c r="ADN139" s="1"/>
      <c r="ADO139" s="1"/>
      <c r="ADP139" s="1"/>
      <c r="ADQ139" s="1"/>
      <c r="ADR139" s="1"/>
      <c r="ADS139" s="1"/>
      <c r="ADT139" s="1"/>
      <c r="ADU139" s="1"/>
      <c r="ADV139" s="1"/>
      <c r="ADW139" s="1"/>
      <c r="ADX139" s="1"/>
      <c r="ADY139" s="1"/>
      <c r="ADZ139" s="1"/>
      <c r="AEA139" s="1"/>
      <c r="AEB139" s="1"/>
      <c r="AEC139" s="1"/>
      <c r="AED139" s="1"/>
      <c r="AEE139" s="1"/>
      <c r="AEF139" s="1"/>
      <c r="AEG139" s="1"/>
      <c r="AEH139" s="1"/>
      <c r="AEI139" s="1"/>
      <c r="AEJ139" s="1"/>
      <c r="AEK139" s="1"/>
      <c r="AEL139" s="1"/>
      <c r="AEM139" s="1"/>
      <c r="AEN139" s="1"/>
      <c r="AEO139" s="1"/>
      <c r="AEP139" s="1"/>
      <c r="AEQ139" s="1"/>
      <c r="AER139" s="1"/>
      <c r="AES139" s="1"/>
      <c r="AET139" s="1"/>
      <c r="AEU139" s="1"/>
      <c r="AEV139" s="1"/>
      <c r="AEW139" s="1"/>
      <c r="AEX139" s="1"/>
      <c r="AEY139" s="1"/>
      <c r="AEZ139" s="1"/>
      <c r="AFA139" s="1"/>
      <c r="AFB139" s="1"/>
      <c r="AFC139" s="1"/>
      <c r="AFD139" s="1"/>
      <c r="AFE139" s="1"/>
      <c r="AFF139" s="1"/>
      <c r="AFG139" s="1"/>
      <c r="AFH139" s="1"/>
      <c r="AFI139" s="1"/>
      <c r="AFJ139" s="1"/>
      <c r="AFK139" s="1"/>
      <c r="AFL139" s="1"/>
      <c r="AFM139" s="1"/>
      <c r="AFN139" s="1"/>
      <c r="AFO139" s="1"/>
      <c r="AFP139" s="1"/>
      <c r="AFQ139" s="1"/>
      <c r="AFR139" s="1"/>
      <c r="AFS139" s="1"/>
      <c r="AFT139" s="1"/>
      <c r="AFU139" s="1"/>
      <c r="AFV139" s="1"/>
      <c r="AFW139" s="1"/>
      <c r="AFX139" s="1"/>
      <c r="AFY139" s="1"/>
      <c r="AFZ139" s="1"/>
      <c r="AGA139" s="1"/>
      <c r="AGB139" s="1"/>
      <c r="AGC139" s="1"/>
      <c r="AGD139" s="1"/>
      <c r="AGE139" s="1"/>
      <c r="AGF139" s="1"/>
      <c r="AGG139" s="1"/>
      <c r="AGH139" s="1"/>
      <c r="AGI139" s="1"/>
      <c r="AGJ139" s="1"/>
      <c r="AGK139" s="1"/>
      <c r="AGL139" s="1"/>
      <c r="AGM139" s="1"/>
      <c r="AGN139" s="1"/>
      <c r="AGO139" s="1"/>
      <c r="AGP139" s="1"/>
      <c r="AGQ139" s="1"/>
      <c r="AGR139" s="1"/>
      <c r="AGS139" s="1"/>
      <c r="AGT139" s="1"/>
      <c r="AGU139" s="1"/>
      <c r="AGV139" s="1"/>
      <c r="AGW139" s="1"/>
      <c r="AGX139" s="1"/>
      <c r="AGY139" s="1"/>
      <c r="AGZ139" s="1"/>
      <c r="AHA139" s="1"/>
      <c r="AHB139" s="1"/>
      <c r="AHC139" s="1"/>
      <c r="AHD139" s="1"/>
      <c r="AHE139" s="1"/>
      <c r="AHF139" s="1"/>
      <c r="AHG139" s="1"/>
      <c r="AHH139" s="1"/>
      <c r="AHI139" s="1"/>
      <c r="AHJ139" s="1"/>
      <c r="AHK139" s="1"/>
      <c r="AHL139" s="1"/>
      <c r="AHM139" s="1"/>
      <c r="AHN139" s="1"/>
      <c r="AHO139" s="1"/>
      <c r="AHP139" s="1"/>
      <c r="AHQ139" s="1"/>
      <c r="AHR139" s="1"/>
      <c r="AHS139" s="1"/>
      <c r="AHT139" s="1"/>
      <c r="AHU139" s="1"/>
      <c r="AHV139" s="1"/>
      <c r="AHW139" s="1"/>
      <c r="AHX139" s="1"/>
      <c r="AHY139" s="1"/>
      <c r="AHZ139" s="1"/>
      <c r="AIA139" s="1"/>
      <c r="AIB139" s="1"/>
      <c r="AIC139" s="1"/>
      <c r="AID139" s="1"/>
      <c r="AIE139" s="1"/>
      <c r="AIF139" s="1"/>
      <c r="AIG139" s="1"/>
      <c r="AIH139" s="1"/>
      <c r="AII139" s="1"/>
      <c r="AIJ139" s="1"/>
      <c r="AIK139" s="1"/>
      <c r="AIL139" s="1"/>
      <c r="AIM139" s="1"/>
      <c r="AIN139" s="1"/>
      <c r="AIO139" s="1"/>
      <c r="AIP139" s="1"/>
      <c r="AIQ139" s="1"/>
      <c r="AIR139" s="1"/>
      <c r="AIS139" s="1"/>
      <c r="AIT139" s="1"/>
      <c r="AIU139" s="1"/>
      <c r="AIV139" s="1"/>
      <c r="AIW139" s="1"/>
      <c r="AIX139" s="1"/>
      <c r="AIY139" s="1"/>
      <c r="AIZ139" s="1"/>
      <c r="AJA139" s="1"/>
      <c r="AJB139" s="1"/>
      <c r="AJC139" s="1"/>
      <c r="AJD139" s="1"/>
      <c r="AJE139" s="1"/>
      <c r="AJF139" s="1"/>
      <c r="AJG139" s="1"/>
      <c r="AJH139" s="1"/>
      <c r="AJI139" s="1"/>
      <c r="AJJ139" s="1"/>
      <c r="AJK139" s="1"/>
      <c r="AJL139" s="1"/>
      <c r="AJM139" s="1"/>
      <c r="AJN139" s="1"/>
      <c r="AJO139" s="1"/>
      <c r="AJP139" s="1"/>
      <c r="AJQ139" s="1"/>
      <c r="AJR139" s="1"/>
      <c r="AJS139" s="1"/>
      <c r="AJT139" s="1"/>
      <c r="AJU139" s="1"/>
      <c r="AJV139" s="1"/>
      <c r="AJW139" s="1"/>
      <c r="AJX139" s="1"/>
      <c r="AJY139" s="1"/>
      <c r="AJZ139" s="1"/>
      <c r="AKA139" s="1"/>
      <c r="AKB139" s="1"/>
      <c r="AKC139" s="1"/>
      <c r="AKD139" s="1"/>
      <c r="AKE139" s="1"/>
      <c r="AKF139" s="1"/>
      <c r="AKG139" s="1"/>
      <c r="AKH139" s="1"/>
      <c r="AKI139" s="1"/>
      <c r="AKJ139" s="1"/>
      <c r="AKK139" s="1"/>
      <c r="AKL139" s="1"/>
      <c r="AKM139" s="1"/>
      <c r="AKN139" s="1"/>
      <c r="AKO139" s="1"/>
      <c r="AKP139" s="1"/>
      <c r="AKQ139" s="1"/>
      <c r="AKR139" s="1"/>
      <c r="AKS139" s="1"/>
      <c r="AKT139" s="1"/>
      <c r="AKU139" s="1"/>
      <c r="AKV139" s="1"/>
      <c r="AKW139" s="1"/>
      <c r="AKX139" s="1"/>
      <c r="AKY139" s="1"/>
      <c r="AKZ139" s="1"/>
      <c r="ALA139" s="1"/>
      <c r="ALB139" s="1"/>
      <c r="ALC139" s="1"/>
      <c r="ALD139" s="1"/>
      <c r="ALE139" s="1"/>
      <c r="ALF139" s="1"/>
      <c r="ALG139" s="1"/>
      <c r="ALH139" s="1"/>
      <c r="ALI139" s="1"/>
      <c r="ALJ139" s="1"/>
      <c r="ALK139" s="1"/>
      <c r="ALL139" s="1"/>
      <c r="ALM139" s="1"/>
      <c r="ALN139" s="1"/>
      <c r="ALO139" s="1"/>
      <c r="ALP139" s="1"/>
      <c r="ALQ139" s="1"/>
      <c r="ALR139" s="1"/>
      <c r="ALS139" s="1"/>
      <c r="ALT139" s="1"/>
      <c r="ALU139" s="1"/>
      <c r="ALV139" s="1"/>
      <c r="ALW139" s="1"/>
      <c r="ALX139" s="1"/>
      <c r="ALY139" s="1"/>
      <c r="ALZ139" s="1"/>
      <c r="AMA139" s="1"/>
      <c r="AMB139" s="1"/>
      <c r="AMC139" s="1"/>
      <c r="AMD139" s="1"/>
      <c r="AME139" s="1"/>
      <c r="AMF139" s="1"/>
      <c r="AMG139" s="1"/>
      <c r="AMH139" s="1"/>
      <c r="AMI139" s="1"/>
      <c r="AMJ139" s="1"/>
    </row>
    <row r="140" customFormat="false" ht="10.5" hidden="false" customHeight="true" outlineLevel="0" collapsed="false">
      <c r="A140" s="162"/>
      <c r="B140" s="162"/>
      <c r="C140" s="162"/>
      <c r="D140" s="162"/>
      <c r="E140" s="162"/>
      <c r="F140" s="162"/>
      <c r="G140" s="162"/>
      <c r="H140" s="162"/>
      <c r="I140" s="162"/>
      <c r="J140" s="19"/>
      <c r="K140" s="19"/>
      <c r="L140" s="19"/>
      <c r="M140" s="185"/>
      <c r="N140" s="185"/>
      <c r="O140" s="185"/>
      <c r="P140" s="186" t="n">
        <f aca="false">J140*M140</f>
        <v>0</v>
      </c>
      <c r="Q140" s="186"/>
      <c r="R140" s="186"/>
      <c r="S140" s="181"/>
      <c r="T140" s="166"/>
      <c r="U140" s="166"/>
      <c r="V140" s="166"/>
      <c r="W140" s="166"/>
      <c r="X140" s="166"/>
      <c r="Y140" s="166"/>
      <c r="Z140" s="166"/>
      <c r="AA140" s="166"/>
      <c r="AB140" s="166"/>
      <c r="AC140" s="166"/>
      <c r="AD140" s="166"/>
      <c r="AE140" s="19"/>
      <c r="AF140" s="19"/>
      <c r="AG140" s="19"/>
      <c r="AH140" s="185"/>
      <c r="AI140" s="185"/>
      <c r="AJ140" s="185"/>
      <c r="AK140" s="185"/>
      <c r="AL140" s="186" t="n">
        <f aca="false">AE140*AH140</f>
        <v>0</v>
      </c>
      <c r="AM140" s="186"/>
      <c r="AN140" s="186"/>
      <c r="AO140" s="186"/>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1"/>
      <c r="CE140" s="1"/>
      <c r="CF140" s="1"/>
      <c r="CG140" s="1"/>
      <c r="CH140" s="1"/>
      <c r="CI140" s="1"/>
      <c r="CJ140" s="1"/>
      <c r="CK140" s="1"/>
      <c r="CL140" s="1"/>
      <c r="CM140" s="1"/>
      <c r="CN140" s="1"/>
      <c r="CO140" s="1"/>
      <c r="CP140" s="1"/>
      <c r="CQ140" s="1"/>
      <c r="CR140" s="1"/>
      <c r="CS140" s="1"/>
      <c r="CT140" s="1"/>
      <c r="CU140" s="1"/>
      <c r="CV140" s="1"/>
      <c r="CW140" s="1"/>
      <c r="CX140" s="1"/>
      <c r="CY140" s="1"/>
      <c r="CZ140" s="1"/>
      <c r="DA140" s="1"/>
      <c r="DB140" s="1"/>
      <c r="DC140" s="1"/>
      <c r="DD140" s="1"/>
      <c r="DE140" s="1"/>
      <c r="DF140" s="1"/>
      <c r="DG140" s="1"/>
      <c r="DH140" s="1"/>
      <c r="DI140" s="1"/>
      <c r="DJ140" s="1"/>
      <c r="DK140" s="1"/>
      <c r="DL140" s="1"/>
      <c r="DM140" s="1"/>
      <c r="DN140" s="1"/>
      <c r="DO140" s="1"/>
      <c r="DP140" s="1"/>
      <c r="DQ140" s="1"/>
      <c r="DR140" s="1"/>
      <c r="DS140" s="1"/>
      <c r="DT140" s="1"/>
      <c r="DU140" s="1"/>
      <c r="DV140" s="1"/>
      <c r="DW140" s="1"/>
      <c r="DX140" s="1"/>
      <c r="DY140" s="1"/>
      <c r="DZ140" s="1"/>
      <c r="EA140" s="1"/>
      <c r="EB140" s="1"/>
      <c r="EC140" s="1"/>
      <c r="ED140" s="1"/>
      <c r="EE140" s="1"/>
      <c r="EF140" s="1"/>
      <c r="EG140" s="1"/>
      <c r="EH140" s="1"/>
      <c r="EI140" s="1"/>
      <c r="EJ140" s="1"/>
      <c r="EK140" s="1"/>
      <c r="EL140" s="1"/>
      <c r="EM140" s="1"/>
      <c r="EN140" s="1"/>
      <c r="EO140" s="1"/>
      <c r="EP140" s="1"/>
      <c r="EQ140" s="1"/>
      <c r="ER140" s="1"/>
      <c r="ES140" s="1"/>
      <c r="ET140" s="1"/>
      <c r="EU140" s="1"/>
      <c r="EV140" s="1"/>
      <c r="EW140" s="1"/>
      <c r="EX140" s="1"/>
      <c r="EY140" s="1"/>
      <c r="EZ140" s="1"/>
      <c r="FA140" s="1"/>
      <c r="FB140" s="1"/>
      <c r="FC140" s="1"/>
      <c r="FD140" s="1"/>
      <c r="FE140" s="1"/>
      <c r="FF140" s="1"/>
      <c r="FG140" s="1"/>
      <c r="FH140" s="1"/>
      <c r="FI140" s="1"/>
      <c r="FJ140" s="1"/>
      <c r="FK140" s="1"/>
      <c r="FL140" s="1"/>
      <c r="FM140" s="1"/>
      <c r="FN140" s="1"/>
      <c r="FO140" s="1"/>
      <c r="FP140" s="1"/>
      <c r="FQ140" s="1"/>
      <c r="FR140" s="1"/>
      <c r="FS140" s="1"/>
      <c r="FT140" s="1"/>
      <c r="FU140" s="1"/>
      <c r="FV140" s="1"/>
      <c r="FW140" s="1"/>
      <c r="FX140" s="1"/>
      <c r="FY140" s="1"/>
      <c r="FZ140" s="1"/>
      <c r="GA140" s="1"/>
      <c r="GB140" s="1"/>
      <c r="GC140" s="1"/>
      <c r="GD140" s="1"/>
      <c r="GE140" s="1"/>
      <c r="GF140" s="1"/>
      <c r="GG140" s="1"/>
      <c r="GH140" s="1"/>
      <c r="GI140" s="1"/>
      <c r="GJ140" s="1"/>
      <c r="GK140" s="1"/>
      <c r="GL140" s="1"/>
      <c r="GM140" s="1"/>
      <c r="GN140" s="1"/>
      <c r="GO140" s="1"/>
      <c r="GP140" s="1"/>
      <c r="GQ140" s="1"/>
      <c r="GR140" s="1"/>
      <c r="GS140" s="1"/>
      <c r="GT140" s="1"/>
      <c r="GU140" s="1"/>
      <c r="GV140" s="1"/>
      <c r="GW140" s="1"/>
      <c r="GX140" s="1"/>
      <c r="GY140" s="1"/>
      <c r="GZ140" s="1"/>
      <c r="HA140" s="1"/>
      <c r="HB140" s="1"/>
      <c r="HC140" s="1"/>
      <c r="HD140" s="1"/>
      <c r="HE140" s="1"/>
      <c r="HF140" s="1"/>
      <c r="HG140" s="1"/>
      <c r="HH140" s="1"/>
      <c r="HI140" s="1"/>
      <c r="HJ140" s="1"/>
      <c r="HK140" s="1"/>
      <c r="HL140" s="1"/>
      <c r="HM140" s="1"/>
      <c r="HN140" s="1"/>
      <c r="HO140" s="1"/>
      <c r="HP140" s="1"/>
      <c r="HQ140" s="1"/>
      <c r="HR140" s="1"/>
      <c r="HS140" s="1"/>
      <c r="HT140" s="1"/>
      <c r="HU140" s="1"/>
      <c r="HV140" s="1"/>
      <c r="HW140" s="1"/>
      <c r="HX140" s="1"/>
      <c r="HY140" s="1"/>
      <c r="HZ140" s="1"/>
      <c r="IA140" s="1"/>
      <c r="IB140" s="1"/>
      <c r="IC140" s="1"/>
      <c r="ID140" s="1"/>
      <c r="IE140" s="1"/>
      <c r="IF140" s="1"/>
      <c r="IG140" s="1"/>
      <c r="IH140" s="1"/>
      <c r="II140" s="1"/>
      <c r="IJ140" s="1"/>
      <c r="IK140" s="1"/>
      <c r="IL140" s="1"/>
      <c r="IM140" s="1"/>
      <c r="IN140" s="1"/>
      <c r="IO140" s="1"/>
      <c r="IP140" s="1"/>
      <c r="IQ140" s="1"/>
      <c r="IR140" s="1"/>
      <c r="IS140" s="1"/>
      <c r="IT140" s="1"/>
      <c r="IU140" s="1"/>
      <c r="IV140" s="1"/>
      <c r="IW140" s="1"/>
      <c r="IX140" s="1"/>
      <c r="IY140" s="1"/>
      <c r="IZ140" s="1"/>
      <c r="JA140" s="1"/>
      <c r="JB140" s="1"/>
      <c r="JC140" s="1"/>
      <c r="JD140" s="1"/>
      <c r="JE140" s="1"/>
      <c r="JF140" s="1"/>
      <c r="JG140" s="1"/>
      <c r="JH140" s="1"/>
      <c r="JI140" s="1"/>
      <c r="JJ140" s="1"/>
      <c r="JK140" s="1"/>
      <c r="JL140" s="1"/>
      <c r="JM140" s="1"/>
      <c r="JN140" s="1"/>
      <c r="JO140" s="1"/>
      <c r="JP140" s="1"/>
      <c r="JQ140" s="1"/>
      <c r="JR140" s="1"/>
      <c r="JS140" s="1"/>
      <c r="JT140" s="1"/>
      <c r="JU140" s="1"/>
      <c r="JV140" s="1"/>
      <c r="JW140" s="1"/>
      <c r="JX140" s="1"/>
      <c r="JY140" s="1"/>
      <c r="JZ140" s="1"/>
      <c r="KA140" s="1"/>
      <c r="KB140" s="1"/>
      <c r="KC140" s="1"/>
      <c r="KD140" s="1"/>
      <c r="KE140" s="1"/>
      <c r="KF140" s="1"/>
      <c r="KG140" s="1"/>
      <c r="KH140" s="1"/>
      <c r="KI140" s="1"/>
      <c r="KJ140" s="1"/>
      <c r="KK140" s="1"/>
      <c r="KL140" s="1"/>
      <c r="KM140" s="1"/>
      <c r="KN140" s="1"/>
      <c r="KO140" s="1"/>
      <c r="KP140" s="1"/>
      <c r="KQ140" s="1"/>
      <c r="KR140" s="1"/>
      <c r="KS140" s="1"/>
      <c r="KT140" s="1"/>
      <c r="KU140" s="1"/>
      <c r="KV140" s="1"/>
      <c r="KW140" s="1"/>
      <c r="KX140" s="1"/>
      <c r="KY140" s="1"/>
      <c r="KZ140" s="1"/>
      <c r="LA140" s="1"/>
      <c r="LB140" s="1"/>
      <c r="LC140" s="1"/>
      <c r="LD140" s="1"/>
      <c r="LE140" s="1"/>
      <c r="LF140" s="1"/>
      <c r="LG140" s="1"/>
      <c r="LH140" s="1"/>
      <c r="LI140" s="1"/>
      <c r="LJ140" s="1"/>
      <c r="LK140" s="1"/>
      <c r="LL140" s="1"/>
      <c r="LM140" s="1"/>
      <c r="LN140" s="1"/>
      <c r="LO140" s="1"/>
      <c r="LP140" s="1"/>
      <c r="LQ140" s="1"/>
      <c r="LR140" s="1"/>
      <c r="LS140" s="1"/>
      <c r="LT140" s="1"/>
      <c r="LU140" s="1"/>
      <c r="LV140" s="1"/>
      <c r="LW140" s="1"/>
      <c r="LX140" s="1"/>
      <c r="LY140" s="1"/>
      <c r="LZ140" s="1"/>
      <c r="MA140" s="1"/>
      <c r="MB140" s="1"/>
      <c r="MC140" s="1"/>
      <c r="MD140" s="1"/>
      <c r="ME140" s="1"/>
      <c r="MF140" s="1"/>
      <c r="MG140" s="1"/>
      <c r="MH140" s="1"/>
      <c r="MI140" s="1"/>
      <c r="MJ140" s="1"/>
      <c r="MK140" s="1"/>
      <c r="ML140" s="1"/>
      <c r="MM140" s="1"/>
      <c r="MN140" s="1"/>
      <c r="MO140" s="1"/>
      <c r="MP140" s="1"/>
      <c r="MQ140" s="1"/>
      <c r="MR140" s="1"/>
      <c r="MS140" s="1"/>
      <c r="MT140" s="1"/>
      <c r="MU140" s="1"/>
      <c r="MV140" s="1"/>
      <c r="MW140" s="1"/>
      <c r="MX140" s="1"/>
      <c r="MY140" s="1"/>
      <c r="MZ140" s="1"/>
      <c r="NA140" s="1"/>
      <c r="NB140" s="1"/>
      <c r="NC140" s="1"/>
      <c r="ND140" s="1"/>
      <c r="NE140" s="1"/>
      <c r="NF140" s="1"/>
      <c r="NG140" s="1"/>
      <c r="NH140" s="1"/>
      <c r="NI140" s="1"/>
      <c r="NJ140" s="1"/>
      <c r="NK140" s="1"/>
      <c r="NL140" s="1"/>
      <c r="NM140" s="1"/>
      <c r="NN140" s="1"/>
      <c r="NO140" s="1"/>
      <c r="NP140" s="1"/>
      <c r="NQ140" s="1"/>
      <c r="NR140" s="1"/>
      <c r="NS140" s="1"/>
      <c r="NT140" s="1"/>
      <c r="NU140" s="1"/>
      <c r="NV140" s="1"/>
      <c r="NW140" s="1"/>
      <c r="NX140" s="1"/>
      <c r="NY140" s="1"/>
      <c r="NZ140" s="1"/>
      <c r="OA140" s="1"/>
      <c r="OB140" s="1"/>
      <c r="OC140" s="1"/>
      <c r="OD140" s="1"/>
      <c r="OE140" s="1"/>
      <c r="OF140" s="1"/>
      <c r="OG140" s="1"/>
      <c r="OH140" s="1"/>
      <c r="OI140" s="1"/>
      <c r="OJ140" s="1"/>
      <c r="OK140" s="1"/>
      <c r="OL140" s="1"/>
      <c r="OM140" s="1"/>
      <c r="ON140" s="1"/>
      <c r="OO140" s="1"/>
      <c r="OP140" s="1"/>
      <c r="OQ140" s="1"/>
      <c r="OR140" s="1"/>
      <c r="OS140" s="1"/>
      <c r="OT140" s="1"/>
      <c r="OU140" s="1"/>
      <c r="OV140" s="1"/>
      <c r="OW140" s="1"/>
      <c r="OX140" s="1"/>
      <c r="OY140" s="1"/>
      <c r="OZ140" s="1"/>
      <c r="PA140" s="1"/>
      <c r="PB140" s="1"/>
      <c r="PC140" s="1"/>
      <c r="PD140" s="1"/>
      <c r="PE140" s="1"/>
      <c r="PF140" s="1"/>
      <c r="PG140" s="1"/>
      <c r="PH140" s="1"/>
      <c r="PI140" s="1"/>
      <c r="PJ140" s="1"/>
      <c r="PK140" s="1"/>
      <c r="PL140" s="1"/>
      <c r="PM140" s="1"/>
      <c r="PN140" s="1"/>
      <c r="PO140" s="1"/>
      <c r="PP140" s="1"/>
      <c r="PQ140" s="1"/>
      <c r="PR140" s="1"/>
      <c r="PS140" s="1"/>
      <c r="PT140" s="1"/>
      <c r="PU140" s="1"/>
      <c r="PV140" s="1"/>
      <c r="PW140" s="1"/>
      <c r="PX140" s="1"/>
      <c r="PY140" s="1"/>
      <c r="PZ140" s="1"/>
      <c r="QA140" s="1"/>
      <c r="QB140" s="1"/>
      <c r="QC140" s="1"/>
      <c r="QD140" s="1"/>
      <c r="QE140" s="1"/>
      <c r="QF140" s="1"/>
      <c r="QG140" s="1"/>
      <c r="QH140" s="1"/>
      <c r="QI140" s="1"/>
      <c r="QJ140" s="1"/>
      <c r="QK140" s="1"/>
      <c r="QL140" s="1"/>
      <c r="QM140" s="1"/>
      <c r="QN140" s="1"/>
      <c r="QO140" s="1"/>
      <c r="QP140" s="1"/>
      <c r="QQ140" s="1"/>
      <c r="QR140" s="1"/>
      <c r="QS140" s="1"/>
      <c r="QT140" s="1"/>
      <c r="QU140" s="1"/>
      <c r="QV140" s="1"/>
      <c r="QW140" s="1"/>
      <c r="QX140" s="1"/>
      <c r="QY140" s="1"/>
      <c r="QZ140" s="1"/>
      <c r="RA140" s="1"/>
      <c r="RB140" s="1"/>
      <c r="RC140" s="1"/>
      <c r="RD140" s="1"/>
      <c r="RE140" s="1"/>
      <c r="RF140" s="1"/>
      <c r="RG140" s="1"/>
      <c r="RH140" s="1"/>
      <c r="RI140" s="1"/>
      <c r="RJ140" s="1"/>
      <c r="RK140" s="1"/>
      <c r="RL140" s="1"/>
      <c r="RM140" s="1"/>
      <c r="RN140" s="1"/>
      <c r="RO140" s="1"/>
      <c r="RP140" s="1"/>
      <c r="RQ140" s="1"/>
      <c r="RR140" s="1"/>
      <c r="RS140" s="1"/>
      <c r="RT140" s="1"/>
      <c r="RU140" s="1"/>
      <c r="RV140" s="1"/>
      <c r="RW140" s="1"/>
      <c r="RX140" s="1"/>
      <c r="RY140" s="1"/>
      <c r="RZ140" s="1"/>
      <c r="SA140" s="1"/>
      <c r="SB140" s="1"/>
      <c r="SC140" s="1"/>
      <c r="SD140" s="1"/>
      <c r="SE140" s="1"/>
      <c r="SF140" s="1"/>
      <c r="SG140" s="1"/>
      <c r="SH140" s="1"/>
      <c r="SI140" s="1"/>
      <c r="SJ140" s="1"/>
      <c r="SK140" s="1"/>
      <c r="SL140" s="1"/>
      <c r="SM140" s="1"/>
      <c r="SN140" s="1"/>
      <c r="SO140" s="1"/>
      <c r="SP140" s="1"/>
      <c r="SQ140" s="1"/>
      <c r="SR140" s="1"/>
      <c r="SS140" s="1"/>
      <c r="ST140" s="1"/>
      <c r="SU140" s="1"/>
      <c r="SV140" s="1"/>
      <c r="SW140" s="1"/>
      <c r="SX140" s="1"/>
      <c r="SY140" s="1"/>
      <c r="SZ140" s="1"/>
      <c r="TA140" s="1"/>
      <c r="TB140" s="1"/>
      <c r="TC140" s="1"/>
      <c r="TD140" s="1"/>
      <c r="TE140" s="1"/>
      <c r="TF140" s="1"/>
      <c r="TG140" s="1"/>
      <c r="TH140" s="1"/>
      <c r="TI140" s="1"/>
      <c r="TJ140" s="1"/>
      <c r="TK140" s="1"/>
      <c r="TL140" s="1"/>
      <c r="TM140" s="1"/>
      <c r="TN140" s="1"/>
      <c r="TO140" s="1"/>
      <c r="TP140" s="1"/>
      <c r="TQ140" s="1"/>
      <c r="TR140" s="1"/>
      <c r="TS140" s="1"/>
      <c r="TT140" s="1"/>
      <c r="TU140" s="1"/>
      <c r="TV140" s="1"/>
      <c r="TW140" s="1"/>
      <c r="TX140" s="1"/>
      <c r="TY140" s="1"/>
      <c r="TZ140" s="1"/>
      <c r="UA140" s="1"/>
      <c r="UB140" s="1"/>
      <c r="UC140" s="1"/>
      <c r="UD140" s="1"/>
      <c r="UE140" s="1"/>
      <c r="UF140" s="1"/>
      <c r="UG140" s="1"/>
      <c r="UH140" s="1"/>
      <c r="UI140" s="1"/>
      <c r="UJ140" s="1"/>
      <c r="UK140" s="1"/>
      <c r="UL140" s="1"/>
      <c r="UM140" s="1"/>
      <c r="UN140" s="1"/>
      <c r="UO140" s="1"/>
      <c r="UP140" s="1"/>
      <c r="UQ140" s="1"/>
      <c r="UR140" s="1"/>
      <c r="US140" s="1"/>
      <c r="UT140" s="1"/>
      <c r="UU140" s="1"/>
      <c r="UV140" s="1"/>
      <c r="UW140" s="1"/>
      <c r="UX140" s="1"/>
      <c r="UY140" s="1"/>
      <c r="UZ140" s="1"/>
      <c r="VA140" s="1"/>
      <c r="VB140" s="1"/>
      <c r="VC140" s="1"/>
      <c r="VD140" s="1"/>
      <c r="VE140" s="1"/>
      <c r="VF140" s="1"/>
      <c r="VG140" s="1"/>
      <c r="VH140" s="1"/>
      <c r="VI140" s="1"/>
      <c r="VJ140" s="1"/>
      <c r="VK140" s="1"/>
      <c r="VL140" s="1"/>
      <c r="VM140" s="1"/>
      <c r="VN140" s="1"/>
      <c r="VO140" s="1"/>
      <c r="VP140" s="1"/>
      <c r="VQ140" s="1"/>
      <c r="VR140" s="1"/>
      <c r="VS140" s="1"/>
      <c r="VT140" s="1"/>
      <c r="VU140" s="1"/>
      <c r="VV140" s="1"/>
      <c r="VW140" s="1"/>
      <c r="VX140" s="1"/>
      <c r="VY140" s="1"/>
      <c r="VZ140" s="1"/>
      <c r="WA140" s="1"/>
      <c r="WB140" s="1"/>
      <c r="WC140" s="1"/>
      <c r="WD140" s="1"/>
      <c r="WE140" s="1"/>
      <c r="WF140" s="1"/>
      <c r="WG140" s="1"/>
      <c r="WH140" s="1"/>
      <c r="WI140" s="1"/>
      <c r="WJ140" s="1"/>
      <c r="WK140" s="1"/>
      <c r="WL140" s="1"/>
      <c r="WM140" s="1"/>
      <c r="WN140" s="1"/>
      <c r="WO140" s="1"/>
      <c r="WP140" s="1"/>
      <c r="WQ140" s="1"/>
      <c r="WR140" s="1"/>
      <c r="WS140" s="1"/>
      <c r="WT140" s="1"/>
      <c r="WU140" s="1"/>
      <c r="WV140" s="1"/>
      <c r="WW140" s="1"/>
      <c r="WX140" s="1"/>
      <c r="WY140" s="1"/>
      <c r="WZ140" s="1"/>
      <c r="XA140" s="1"/>
      <c r="XB140" s="1"/>
      <c r="XC140" s="1"/>
      <c r="XD140" s="1"/>
      <c r="XE140" s="1"/>
      <c r="XF140" s="1"/>
      <c r="XG140" s="1"/>
      <c r="XH140" s="1"/>
      <c r="XI140" s="1"/>
      <c r="XJ140" s="1"/>
      <c r="XK140" s="1"/>
      <c r="XL140" s="1"/>
      <c r="XM140" s="1"/>
      <c r="XN140" s="1"/>
      <c r="XO140" s="1"/>
      <c r="XP140" s="1"/>
      <c r="XQ140" s="1"/>
      <c r="XR140" s="1"/>
      <c r="XS140" s="1"/>
      <c r="XT140" s="1"/>
      <c r="XU140" s="1"/>
      <c r="XV140" s="1"/>
      <c r="XW140" s="1"/>
      <c r="XX140" s="1"/>
      <c r="XY140" s="1"/>
      <c r="XZ140" s="1"/>
      <c r="YA140" s="1"/>
      <c r="YB140" s="1"/>
      <c r="YC140" s="1"/>
      <c r="YD140" s="1"/>
      <c r="YE140" s="1"/>
      <c r="YF140" s="1"/>
      <c r="YG140" s="1"/>
      <c r="YH140" s="1"/>
      <c r="YI140" s="1"/>
      <c r="YJ140" s="1"/>
      <c r="YK140" s="1"/>
      <c r="YL140" s="1"/>
      <c r="YM140" s="1"/>
      <c r="YN140" s="1"/>
      <c r="YO140" s="1"/>
      <c r="YP140" s="1"/>
      <c r="YQ140" s="1"/>
      <c r="YR140" s="1"/>
      <c r="YS140" s="1"/>
      <c r="YT140" s="1"/>
      <c r="YU140" s="1"/>
      <c r="YV140" s="1"/>
      <c r="YW140" s="1"/>
      <c r="YX140" s="1"/>
      <c r="YY140" s="1"/>
      <c r="YZ140" s="1"/>
      <c r="ZA140" s="1"/>
      <c r="ZB140" s="1"/>
      <c r="ZC140" s="1"/>
      <c r="ZD140" s="1"/>
      <c r="ZE140" s="1"/>
      <c r="ZF140" s="1"/>
      <c r="ZG140" s="1"/>
      <c r="ZH140" s="1"/>
      <c r="ZI140" s="1"/>
      <c r="ZJ140" s="1"/>
      <c r="ZK140" s="1"/>
      <c r="ZL140" s="1"/>
      <c r="ZM140" s="1"/>
      <c r="ZN140" s="1"/>
      <c r="ZO140" s="1"/>
      <c r="ZP140" s="1"/>
      <c r="ZQ140" s="1"/>
      <c r="ZR140" s="1"/>
      <c r="ZS140" s="1"/>
      <c r="ZT140" s="1"/>
      <c r="ZU140" s="1"/>
      <c r="ZV140" s="1"/>
      <c r="ZW140" s="1"/>
      <c r="ZX140" s="1"/>
      <c r="ZY140" s="1"/>
      <c r="ZZ140" s="1"/>
      <c r="AAA140" s="1"/>
      <c r="AAB140" s="1"/>
      <c r="AAC140" s="1"/>
      <c r="AAD140" s="1"/>
      <c r="AAE140" s="1"/>
      <c r="AAF140" s="1"/>
      <c r="AAG140" s="1"/>
      <c r="AAH140" s="1"/>
      <c r="AAI140" s="1"/>
      <c r="AAJ140" s="1"/>
      <c r="AAK140" s="1"/>
      <c r="AAL140" s="1"/>
      <c r="AAM140" s="1"/>
      <c r="AAN140" s="1"/>
      <c r="AAO140" s="1"/>
      <c r="AAP140" s="1"/>
      <c r="AAQ140" s="1"/>
      <c r="AAR140" s="1"/>
      <c r="AAS140" s="1"/>
      <c r="AAT140" s="1"/>
      <c r="AAU140" s="1"/>
      <c r="AAV140" s="1"/>
      <c r="AAW140" s="1"/>
      <c r="AAX140" s="1"/>
      <c r="AAY140" s="1"/>
      <c r="AAZ140" s="1"/>
      <c r="ABA140" s="1"/>
      <c r="ABB140" s="1"/>
      <c r="ABC140" s="1"/>
      <c r="ABD140" s="1"/>
      <c r="ABE140" s="1"/>
      <c r="ABF140" s="1"/>
      <c r="ABG140" s="1"/>
      <c r="ABH140" s="1"/>
      <c r="ABI140" s="1"/>
      <c r="ABJ140" s="1"/>
      <c r="ABK140" s="1"/>
      <c r="ABL140" s="1"/>
      <c r="ABM140" s="1"/>
      <c r="ABN140" s="1"/>
      <c r="ABO140" s="1"/>
      <c r="ABP140" s="1"/>
      <c r="ABQ140" s="1"/>
      <c r="ABR140" s="1"/>
      <c r="ABS140" s="1"/>
      <c r="ABT140" s="1"/>
      <c r="ABU140" s="1"/>
      <c r="ABV140" s="1"/>
      <c r="ABW140" s="1"/>
      <c r="ABX140" s="1"/>
      <c r="ABY140" s="1"/>
      <c r="ABZ140" s="1"/>
      <c r="ACA140" s="1"/>
      <c r="ACB140" s="1"/>
      <c r="ACC140" s="1"/>
      <c r="ACD140" s="1"/>
      <c r="ACE140" s="1"/>
      <c r="ACF140" s="1"/>
      <c r="ACG140" s="1"/>
      <c r="ACH140" s="1"/>
      <c r="ACI140" s="1"/>
      <c r="ACJ140" s="1"/>
      <c r="ACK140" s="1"/>
      <c r="ACL140" s="1"/>
      <c r="ACM140" s="1"/>
      <c r="ACN140" s="1"/>
      <c r="ACO140" s="1"/>
      <c r="ACP140" s="1"/>
      <c r="ACQ140" s="1"/>
      <c r="ACR140" s="1"/>
      <c r="ACS140" s="1"/>
      <c r="ACT140" s="1"/>
      <c r="ACU140" s="1"/>
      <c r="ACV140" s="1"/>
      <c r="ACW140" s="1"/>
      <c r="ACX140" s="1"/>
      <c r="ACY140" s="1"/>
      <c r="ACZ140" s="1"/>
      <c r="ADA140" s="1"/>
      <c r="ADB140" s="1"/>
      <c r="ADC140" s="1"/>
      <c r="ADD140" s="1"/>
      <c r="ADE140" s="1"/>
      <c r="ADF140" s="1"/>
      <c r="ADG140" s="1"/>
      <c r="ADH140" s="1"/>
      <c r="ADI140" s="1"/>
      <c r="ADJ140" s="1"/>
      <c r="ADK140" s="1"/>
      <c r="ADL140" s="1"/>
      <c r="ADM140" s="1"/>
      <c r="ADN140" s="1"/>
      <c r="ADO140" s="1"/>
      <c r="ADP140" s="1"/>
      <c r="ADQ140" s="1"/>
      <c r="ADR140" s="1"/>
      <c r="ADS140" s="1"/>
      <c r="ADT140" s="1"/>
      <c r="ADU140" s="1"/>
      <c r="ADV140" s="1"/>
      <c r="ADW140" s="1"/>
      <c r="ADX140" s="1"/>
      <c r="ADY140" s="1"/>
      <c r="ADZ140" s="1"/>
      <c r="AEA140" s="1"/>
      <c r="AEB140" s="1"/>
      <c r="AEC140" s="1"/>
      <c r="AED140" s="1"/>
      <c r="AEE140" s="1"/>
      <c r="AEF140" s="1"/>
      <c r="AEG140" s="1"/>
      <c r="AEH140" s="1"/>
      <c r="AEI140" s="1"/>
      <c r="AEJ140" s="1"/>
      <c r="AEK140" s="1"/>
      <c r="AEL140" s="1"/>
      <c r="AEM140" s="1"/>
      <c r="AEN140" s="1"/>
      <c r="AEO140" s="1"/>
      <c r="AEP140" s="1"/>
      <c r="AEQ140" s="1"/>
      <c r="AER140" s="1"/>
      <c r="AES140" s="1"/>
      <c r="AET140" s="1"/>
      <c r="AEU140" s="1"/>
      <c r="AEV140" s="1"/>
      <c r="AEW140" s="1"/>
      <c r="AEX140" s="1"/>
      <c r="AEY140" s="1"/>
      <c r="AEZ140" s="1"/>
      <c r="AFA140" s="1"/>
      <c r="AFB140" s="1"/>
      <c r="AFC140" s="1"/>
      <c r="AFD140" s="1"/>
      <c r="AFE140" s="1"/>
      <c r="AFF140" s="1"/>
      <c r="AFG140" s="1"/>
      <c r="AFH140" s="1"/>
      <c r="AFI140" s="1"/>
      <c r="AFJ140" s="1"/>
      <c r="AFK140" s="1"/>
      <c r="AFL140" s="1"/>
      <c r="AFM140" s="1"/>
      <c r="AFN140" s="1"/>
      <c r="AFO140" s="1"/>
      <c r="AFP140" s="1"/>
      <c r="AFQ140" s="1"/>
      <c r="AFR140" s="1"/>
      <c r="AFS140" s="1"/>
      <c r="AFT140" s="1"/>
      <c r="AFU140" s="1"/>
      <c r="AFV140" s="1"/>
      <c r="AFW140" s="1"/>
      <c r="AFX140" s="1"/>
      <c r="AFY140" s="1"/>
      <c r="AFZ140" s="1"/>
      <c r="AGA140" s="1"/>
      <c r="AGB140" s="1"/>
      <c r="AGC140" s="1"/>
      <c r="AGD140" s="1"/>
      <c r="AGE140" s="1"/>
      <c r="AGF140" s="1"/>
      <c r="AGG140" s="1"/>
      <c r="AGH140" s="1"/>
      <c r="AGI140" s="1"/>
      <c r="AGJ140" s="1"/>
      <c r="AGK140" s="1"/>
      <c r="AGL140" s="1"/>
      <c r="AGM140" s="1"/>
      <c r="AGN140" s="1"/>
      <c r="AGO140" s="1"/>
      <c r="AGP140" s="1"/>
      <c r="AGQ140" s="1"/>
      <c r="AGR140" s="1"/>
      <c r="AGS140" s="1"/>
      <c r="AGT140" s="1"/>
      <c r="AGU140" s="1"/>
      <c r="AGV140" s="1"/>
      <c r="AGW140" s="1"/>
      <c r="AGX140" s="1"/>
      <c r="AGY140" s="1"/>
      <c r="AGZ140" s="1"/>
      <c r="AHA140" s="1"/>
      <c r="AHB140" s="1"/>
      <c r="AHC140" s="1"/>
      <c r="AHD140" s="1"/>
      <c r="AHE140" s="1"/>
      <c r="AHF140" s="1"/>
      <c r="AHG140" s="1"/>
      <c r="AHH140" s="1"/>
      <c r="AHI140" s="1"/>
      <c r="AHJ140" s="1"/>
      <c r="AHK140" s="1"/>
      <c r="AHL140" s="1"/>
      <c r="AHM140" s="1"/>
      <c r="AHN140" s="1"/>
      <c r="AHO140" s="1"/>
      <c r="AHP140" s="1"/>
      <c r="AHQ140" s="1"/>
      <c r="AHR140" s="1"/>
      <c r="AHS140" s="1"/>
      <c r="AHT140" s="1"/>
      <c r="AHU140" s="1"/>
      <c r="AHV140" s="1"/>
      <c r="AHW140" s="1"/>
      <c r="AHX140" s="1"/>
      <c r="AHY140" s="1"/>
      <c r="AHZ140" s="1"/>
      <c r="AIA140" s="1"/>
      <c r="AIB140" s="1"/>
      <c r="AIC140" s="1"/>
      <c r="AID140" s="1"/>
      <c r="AIE140" s="1"/>
      <c r="AIF140" s="1"/>
      <c r="AIG140" s="1"/>
      <c r="AIH140" s="1"/>
      <c r="AII140" s="1"/>
      <c r="AIJ140" s="1"/>
      <c r="AIK140" s="1"/>
      <c r="AIL140" s="1"/>
      <c r="AIM140" s="1"/>
      <c r="AIN140" s="1"/>
      <c r="AIO140" s="1"/>
      <c r="AIP140" s="1"/>
      <c r="AIQ140" s="1"/>
      <c r="AIR140" s="1"/>
      <c r="AIS140" s="1"/>
      <c r="AIT140" s="1"/>
      <c r="AIU140" s="1"/>
      <c r="AIV140" s="1"/>
      <c r="AIW140" s="1"/>
      <c r="AIX140" s="1"/>
      <c r="AIY140" s="1"/>
      <c r="AIZ140" s="1"/>
      <c r="AJA140" s="1"/>
      <c r="AJB140" s="1"/>
      <c r="AJC140" s="1"/>
      <c r="AJD140" s="1"/>
      <c r="AJE140" s="1"/>
      <c r="AJF140" s="1"/>
      <c r="AJG140" s="1"/>
      <c r="AJH140" s="1"/>
      <c r="AJI140" s="1"/>
      <c r="AJJ140" s="1"/>
      <c r="AJK140" s="1"/>
      <c r="AJL140" s="1"/>
      <c r="AJM140" s="1"/>
      <c r="AJN140" s="1"/>
      <c r="AJO140" s="1"/>
      <c r="AJP140" s="1"/>
      <c r="AJQ140" s="1"/>
      <c r="AJR140" s="1"/>
      <c r="AJS140" s="1"/>
      <c r="AJT140" s="1"/>
      <c r="AJU140" s="1"/>
      <c r="AJV140" s="1"/>
      <c r="AJW140" s="1"/>
      <c r="AJX140" s="1"/>
      <c r="AJY140" s="1"/>
      <c r="AJZ140" s="1"/>
      <c r="AKA140" s="1"/>
      <c r="AKB140" s="1"/>
      <c r="AKC140" s="1"/>
      <c r="AKD140" s="1"/>
      <c r="AKE140" s="1"/>
      <c r="AKF140" s="1"/>
      <c r="AKG140" s="1"/>
      <c r="AKH140" s="1"/>
      <c r="AKI140" s="1"/>
      <c r="AKJ140" s="1"/>
      <c r="AKK140" s="1"/>
      <c r="AKL140" s="1"/>
      <c r="AKM140" s="1"/>
      <c r="AKN140" s="1"/>
      <c r="AKO140" s="1"/>
      <c r="AKP140" s="1"/>
      <c r="AKQ140" s="1"/>
      <c r="AKR140" s="1"/>
      <c r="AKS140" s="1"/>
      <c r="AKT140" s="1"/>
      <c r="AKU140" s="1"/>
      <c r="AKV140" s="1"/>
      <c r="AKW140" s="1"/>
      <c r="AKX140" s="1"/>
      <c r="AKY140" s="1"/>
      <c r="AKZ140" s="1"/>
      <c r="ALA140" s="1"/>
      <c r="ALB140" s="1"/>
      <c r="ALC140" s="1"/>
      <c r="ALD140" s="1"/>
      <c r="ALE140" s="1"/>
      <c r="ALF140" s="1"/>
      <c r="ALG140" s="1"/>
      <c r="ALH140" s="1"/>
      <c r="ALI140" s="1"/>
      <c r="ALJ140" s="1"/>
      <c r="ALK140" s="1"/>
      <c r="ALL140" s="1"/>
      <c r="ALM140" s="1"/>
      <c r="ALN140" s="1"/>
      <c r="ALO140" s="1"/>
      <c r="ALP140" s="1"/>
      <c r="ALQ140" s="1"/>
      <c r="ALR140" s="1"/>
      <c r="ALS140" s="1"/>
      <c r="ALT140" s="1"/>
      <c r="ALU140" s="1"/>
      <c r="ALV140" s="1"/>
      <c r="ALW140" s="1"/>
      <c r="ALX140" s="1"/>
      <c r="ALY140" s="1"/>
      <c r="ALZ140" s="1"/>
      <c r="AMA140" s="1"/>
      <c r="AMB140" s="1"/>
      <c r="AMC140" s="1"/>
      <c r="AMD140" s="1"/>
      <c r="AME140" s="1"/>
      <c r="AMF140" s="1"/>
      <c r="AMG140" s="1"/>
      <c r="AMH140" s="1"/>
      <c r="AMI140" s="1"/>
      <c r="AMJ140" s="1"/>
    </row>
    <row r="141" customFormat="false" ht="10.5" hidden="false" customHeight="true" outlineLevel="0" collapsed="false">
      <c r="A141" s="162"/>
      <c r="B141" s="162"/>
      <c r="C141" s="162"/>
      <c r="D141" s="162"/>
      <c r="E141" s="162"/>
      <c r="F141" s="162"/>
      <c r="G141" s="162"/>
      <c r="H141" s="162"/>
      <c r="I141" s="162"/>
      <c r="J141" s="19"/>
      <c r="K141" s="19"/>
      <c r="L141" s="19"/>
      <c r="M141" s="185"/>
      <c r="N141" s="185"/>
      <c r="O141" s="185"/>
      <c r="P141" s="187" t="n">
        <f aca="false">J141*M141</f>
        <v>0</v>
      </c>
      <c r="Q141" s="187"/>
      <c r="R141" s="187"/>
      <c r="S141" s="181"/>
      <c r="T141" s="166"/>
      <c r="U141" s="166"/>
      <c r="V141" s="166"/>
      <c r="W141" s="166"/>
      <c r="X141" s="166"/>
      <c r="Y141" s="166"/>
      <c r="Z141" s="166"/>
      <c r="AA141" s="166"/>
      <c r="AB141" s="166"/>
      <c r="AC141" s="166"/>
      <c r="AD141" s="166"/>
      <c r="AE141" s="19"/>
      <c r="AF141" s="19"/>
      <c r="AG141" s="19"/>
      <c r="AH141" s="185"/>
      <c r="AI141" s="185"/>
      <c r="AJ141" s="185"/>
      <c r="AK141" s="185"/>
      <c r="AL141" s="186" t="n">
        <f aca="false">AE141*AH141</f>
        <v>0</v>
      </c>
      <c r="AM141" s="186"/>
      <c r="AN141" s="186"/>
      <c r="AO141" s="186"/>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1"/>
      <c r="DJ141" s="1"/>
      <c r="DK141" s="1"/>
      <c r="DL141" s="1"/>
      <c r="DM141" s="1"/>
      <c r="DN141" s="1"/>
      <c r="DO141" s="1"/>
      <c r="DP141" s="1"/>
      <c r="DQ141" s="1"/>
      <c r="DR141" s="1"/>
      <c r="DS141" s="1"/>
      <c r="DT141" s="1"/>
      <c r="DU141" s="1"/>
      <c r="DV141" s="1"/>
      <c r="DW141" s="1"/>
      <c r="DX141" s="1"/>
      <c r="DY141" s="1"/>
      <c r="DZ141" s="1"/>
      <c r="EA141" s="1"/>
      <c r="EB141" s="1"/>
      <c r="EC141" s="1"/>
      <c r="ED141" s="1"/>
      <c r="EE141" s="1"/>
      <c r="EF141" s="1"/>
      <c r="EG141" s="1"/>
      <c r="EH141" s="1"/>
      <c r="EI141" s="1"/>
      <c r="EJ141" s="1"/>
      <c r="EK141" s="1"/>
      <c r="EL141" s="1"/>
      <c r="EM141" s="1"/>
      <c r="EN141" s="1"/>
      <c r="EO141" s="1"/>
      <c r="EP141" s="1"/>
      <c r="EQ141" s="1"/>
      <c r="ER141" s="1"/>
      <c r="ES141" s="1"/>
      <c r="ET141" s="1"/>
      <c r="EU141" s="1"/>
      <c r="EV141" s="1"/>
      <c r="EW141" s="1"/>
      <c r="EX141" s="1"/>
      <c r="EY141" s="1"/>
      <c r="EZ141" s="1"/>
      <c r="FA141" s="1"/>
      <c r="FB141" s="1"/>
      <c r="FC141" s="1"/>
      <c r="FD141" s="1"/>
      <c r="FE141" s="1"/>
      <c r="FF141" s="1"/>
      <c r="FG141" s="1"/>
      <c r="FH141" s="1"/>
      <c r="FI141" s="1"/>
      <c r="FJ141" s="1"/>
      <c r="FK141" s="1"/>
      <c r="FL141" s="1"/>
      <c r="FM141" s="1"/>
      <c r="FN141" s="1"/>
      <c r="FO141" s="1"/>
      <c r="FP141" s="1"/>
      <c r="FQ141" s="1"/>
      <c r="FR141" s="1"/>
      <c r="FS141" s="1"/>
      <c r="FT141" s="1"/>
      <c r="FU141" s="1"/>
      <c r="FV141" s="1"/>
      <c r="FW141" s="1"/>
      <c r="FX141" s="1"/>
      <c r="FY141" s="1"/>
      <c r="FZ141" s="1"/>
      <c r="GA141" s="1"/>
      <c r="GB141" s="1"/>
      <c r="GC141" s="1"/>
      <c r="GD141" s="1"/>
      <c r="GE141" s="1"/>
      <c r="GF141" s="1"/>
      <c r="GG141" s="1"/>
      <c r="GH141" s="1"/>
      <c r="GI141" s="1"/>
      <c r="GJ141" s="1"/>
      <c r="GK141" s="1"/>
      <c r="GL141" s="1"/>
      <c r="GM141" s="1"/>
      <c r="GN141" s="1"/>
      <c r="GO141" s="1"/>
      <c r="GP141" s="1"/>
      <c r="GQ141" s="1"/>
      <c r="GR141" s="1"/>
      <c r="GS141" s="1"/>
      <c r="GT141" s="1"/>
      <c r="GU141" s="1"/>
      <c r="GV141" s="1"/>
      <c r="GW141" s="1"/>
      <c r="GX141" s="1"/>
      <c r="GY141" s="1"/>
      <c r="GZ141" s="1"/>
      <c r="HA141" s="1"/>
      <c r="HB141" s="1"/>
      <c r="HC141" s="1"/>
      <c r="HD141" s="1"/>
      <c r="HE141" s="1"/>
      <c r="HF141" s="1"/>
      <c r="HG141" s="1"/>
      <c r="HH141" s="1"/>
      <c r="HI141" s="1"/>
      <c r="HJ141" s="1"/>
      <c r="HK141" s="1"/>
      <c r="HL141" s="1"/>
      <c r="HM141" s="1"/>
      <c r="HN141" s="1"/>
      <c r="HO141" s="1"/>
      <c r="HP141" s="1"/>
      <c r="HQ141" s="1"/>
      <c r="HR141" s="1"/>
      <c r="HS141" s="1"/>
      <c r="HT141" s="1"/>
      <c r="HU141" s="1"/>
      <c r="HV141" s="1"/>
      <c r="HW141" s="1"/>
      <c r="HX141" s="1"/>
      <c r="HY141" s="1"/>
      <c r="HZ141" s="1"/>
      <c r="IA141" s="1"/>
      <c r="IB141" s="1"/>
      <c r="IC141" s="1"/>
      <c r="ID141" s="1"/>
      <c r="IE141" s="1"/>
      <c r="IF141" s="1"/>
      <c r="IG141" s="1"/>
      <c r="IH141" s="1"/>
      <c r="II141" s="1"/>
      <c r="IJ141" s="1"/>
      <c r="IK141" s="1"/>
      <c r="IL141" s="1"/>
      <c r="IM141" s="1"/>
      <c r="IN141" s="1"/>
      <c r="IO141" s="1"/>
      <c r="IP141" s="1"/>
      <c r="IQ141" s="1"/>
      <c r="IR141" s="1"/>
      <c r="IS141" s="1"/>
      <c r="IT141" s="1"/>
      <c r="IU141" s="1"/>
      <c r="IV141" s="1"/>
      <c r="IW141" s="1"/>
      <c r="IX141" s="1"/>
      <c r="IY141" s="1"/>
      <c r="IZ141" s="1"/>
      <c r="JA141" s="1"/>
      <c r="JB141" s="1"/>
      <c r="JC141" s="1"/>
      <c r="JD141" s="1"/>
      <c r="JE141" s="1"/>
      <c r="JF141" s="1"/>
      <c r="JG141" s="1"/>
      <c r="JH141" s="1"/>
      <c r="JI141" s="1"/>
      <c r="JJ141" s="1"/>
      <c r="JK141" s="1"/>
      <c r="JL141" s="1"/>
      <c r="JM141" s="1"/>
      <c r="JN141" s="1"/>
      <c r="JO141" s="1"/>
      <c r="JP141" s="1"/>
      <c r="JQ141" s="1"/>
      <c r="JR141" s="1"/>
      <c r="JS141" s="1"/>
      <c r="JT141" s="1"/>
      <c r="JU141" s="1"/>
      <c r="JV141" s="1"/>
      <c r="JW141" s="1"/>
      <c r="JX141" s="1"/>
      <c r="JY141" s="1"/>
      <c r="JZ141" s="1"/>
      <c r="KA141" s="1"/>
      <c r="KB141" s="1"/>
      <c r="KC141" s="1"/>
      <c r="KD141" s="1"/>
      <c r="KE141" s="1"/>
      <c r="KF141" s="1"/>
      <c r="KG141" s="1"/>
      <c r="KH141" s="1"/>
      <c r="KI141" s="1"/>
      <c r="KJ141" s="1"/>
      <c r="KK141" s="1"/>
      <c r="KL141" s="1"/>
      <c r="KM141" s="1"/>
      <c r="KN141" s="1"/>
      <c r="KO141" s="1"/>
      <c r="KP141" s="1"/>
      <c r="KQ141" s="1"/>
      <c r="KR141" s="1"/>
      <c r="KS141" s="1"/>
      <c r="KT141" s="1"/>
      <c r="KU141" s="1"/>
      <c r="KV141" s="1"/>
      <c r="KW141" s="1"/>
      <c r="KX141" s="1"/>
      <c r="KY141" s="1"/>
      <c r="KZ141" s="1"/>
      <c r="LA141" s="1"/>
      <c r="LB141" s="1"/>
      <c r="LC141" s="1"/>
      <c r="LD141" s="1"/>
      <c r="LE141" s="1"/>
      <c r="LF141" s="1"/>
      <c r="LG141" s="1"/>
      <c r="LH141" s="1"/>
      <c r="LI141" s="1"/>
      <c r="LJ141" s="1"/>
      <c r="LK141" s="1"/>
      <c r="LL141" s="1"/>
      <c r="LM141" s="1"/>
      <c r="LN141" s="1"/>
      <c r="LO141" s="1"/>
      <c r="LP141" s="1"/>
      <c r="LQ141" s="1"/>
      <c r="LR141" s="1"/>
      <c r="LS141" s="1"/>
      <c r="LT141" s="1"/>
      <c r="LU141" s="1"/>
      <c r="LV141" s="1"/>
      <c r="LW141" s="1"/>
      <c r="LX141" s="1"/>
      <c r="LY141" s="1"/>
      <c r="LZ141" s="1"/>
      <c r="MA141" s="1"/>
      <c r="MB141" s="1"/>
      <c r="MC141" s="1"/>
      <c r="MD141" s="1"/>
      <c r="ME141" s="1"/>
      <c r="MF141" s="1"/>
      <c r="MG141" s="1"/>
      <c r="MH141" s="1"/>
      <c r="MI141" s="1"/>
      <c r="MJ141" s="1"/>
      <c r="MK141" s="1"/>
      <c r="ML141" s="1"/>
      <c r="MM141" s="1"/>
      <c r="MN141" s="1"/>
      <c r="MO141" s="1"/>
      <c r="MP141" s="1"/>
      <c r="MQ141" s="1"/>
      <c r="MR141" s="1"/>
      <c r="MS141" s="1"/>
      <c r="MT141" s="1"/>
      <c r="MU141" s="1"/>
      <c r="MV141" s="1"/>
      <c r="MW141" s="1"/>
      <c r="MX141" s="1"/>
      <c r="MY141" s="1"/>
      <c r="MZ141" s="1"/>
      <c r="NA141" s="1"/>
      <c r="NB141" s="1"/>
      <c r="NC141" s="1"/>
      <c r="ND141" s="1"/>
      <c r="NE141" s="1"/>
      <c r="NF141" s="1"/>
      <c r="NG141" s="1"/>
      <c r="NH141" s="1"/>
      <c r="NI141" s="1"/>
      <c r="NJ141" s="1"/>
      <c r="NK141" s="1"/>
      <c r="NL141" s="1"/>
      <c r="NM141" s="1"/>
      <c r="NN141" s="1"/>
      <c r="NO141" s="1"/>
      <c r="NP141" s="1"/>
      <c r="NQ141" s="1"/>
      <c r="NR141" s="1"/>
      <c r="NS141" s="1"/>
      <c r="NT141" s="1"/>
      <c r="NU141" s="1"/>
      <c r="NV141" s="1"/>
      <c r="NW141" s="1"/>
      <c r="NX141" s="1"/>
      <c r="NY141" s="1"/>
      <c r="NZ141" s="1"/>
      <c r="OA141" s="1"/>
      <c r="OB141" s="1"/>
      <c r="OC141" s="1"/>
      <c r="OD141" s="1"/>
      <c r="OE141" s="1"/>
      <c r="OF141" s="1"/>
      <c r="OG141" s="1"/>
      <c r="OH141" s="1"/>
      <c r="OI141" s="1"/>
      <c r="OJ141" s="1"/>
      <c r="OK141" s="1"/>
      <c r="OL141" s="1"/>
      <c r="OM141" s="1"/>
      <c r="ON141" s="1"/>
      <c r="OO141" s="1"/>
      <c r="OP141" s="1"/>
      <c r="OQ141" s="1"/>
      <c r="OR141" s="1"/>
      <c r="OS141" s="1"/>
      <c r="OT141" s="1"/>
      <c r="OU141" s="1"/>
      <c r="OV141" s="1"/>
      <c r="OW141" s="1"/>
      <c r="OX141" s="1"/>
      <c r="OY141" s="1"/>
      <c r="OZ141" s="1"/>
      <c r="PA141" s="1"/>
      <c r="PB141" s="1"/>
      <c r="PC141" s="1"/>
      <c r="PD141" s="1"/>
      <c r="PE141" s="1"/>
      <c r="PF141" s="1"/>
      <c r="PG141" s="1"/>
      <c r="PH141" s="1"/>
      <c r="PI141" s="1"/>
      <c r="PJ141" s="1"/>
      <c r="PK141" s="1"/>
      <c r="PL141" s="1"/>
      <c r="PM141" s="1"/>
      <c r="PN141" s="1"/>
      <c r="PO141" s="1"/>
      <c r="PP141" s="1"/>
      <c r="PQ141" s="1"/>
      <c r="PR141" s="1"/>
      <c r="PS141" s="1"/>
      <c r="PT141" s="1"/>
      <c r="PU141" s="1"/>
      <c r="PV141" s="1"/>
      <c r="PW141" s="1"/>
      <c r="PX141" s="1"/>
      <c r="PY141" s="1"/>
      <c r="PZ141" s="1"/>
      <c r="QA141" s="1"/>
      <c r="QB141" s="1"/>
      <c r="QC141" s="1"/>
      <c r="QD141" s="1"/>
      <c r="QE141" s="1"/>
      <c r="QF141" s="1"/>
      <c r="QG141" s="1"/>
      <c r="QH141" s="1"/>
      <c r="QI141" s="1"/>
      <c r="QJ141" s="1"/>
      <c r="QK141" s="1"/>
      <c r="QL141" s="1"/>
      <c r="QM141" s="1"/>
      <c r="QN141" s="1"/>
      <c r="QO141" s="1"/>
      <c r="QP141" s="1"/>
      <c r="QQ141" s="1"/>
      <c r="QR141" s="1"/>
      <c r="QS141" s="1"/>
      <c r="QT141" s="1"/>
      <c r="QU141" s="1"/>
      <c r="QV141" s="1"/>
      <c r="QW141" s="1"/>
      <c r="QX141" s="1"/>
      <c r="QY141" s="1"/>
      <c r="QZ141" s="1"/>
      <c r="RA141" s="1"/>
      <c r="RB141" s="1"/>
      <c r="RC141" s="1"/>
      <c r="RD141" s="1"/>
      <c r="RE141" s="1"/>
      <c r="RF141" s="1"/>
      <c r="RG141" s="1"/>
      <c r="RH141" s="1"/>
      <c r="RI141" s="1"/>
      <c r="RJ141" s="1"/>
      <c r="RK141" s="1"/>
      <c r="RL141" s="1"/>
      <c r="RM141" s="1"/>
      <c r="RN141" s="1"/>
      <c r="RO141" s="1"/>
      <c r="RP141" s="1"/>
      <c r="RQ141" s="1"/>
      <c r="RR141" s="1"/>
      <c r="RS141" s="1"/>
      <c r="RT141" s="1"/>
      <c r="RU141" s="1"/>
      <c r="RV141" s="1"/>
      <c r="RW141" s="1"/>
      <c r="RX141" s="1"/>
      <c r="RY141" s="1"/>
      <c r="RZ141" s="1"/>
      <c r="SA141" s="1"/>
      <c r="SB141" s="1"/>
      <c r="SC141" s="1"/>
      <c r="SD141" s="1"/>
      <c r="SE141" s="1"/>
      <c r="SF141" s="1"/>
      <c r="SG141" s="1"/>
      <c r="SH141" s="1"/>
      <c r="SI141" s="1"/>
      <c r="SJ141" s="1"/>
      <c r="SK141" s="1"/>
      <c r="SL141" s="1"/>
      <c r="SM141" s="1"/>
      <c r="SN141" s="1"/>
      <c r="SO141" s="1"/>
      <c r="SP141" s="1"/>
      <c r="SQ141" s="1"/>
      <c r="SR141" s="1"/>
      <c r="SS141" s="1"/>
      <c r="ST141" s="1"/>
      <c r="SU141" s="1"/>
      <c r="SV141" s="1"/>
      <c r="SW141" s="1"/>
      <c r="SX141" s="1"/>
      <c r="SY141" s="1"/>
      <c r="SZ141" s="1"/>
      <c r="TA141" s="1"/>
      <c r="TB141" s="1"/>
      <c r="TC141" s="1"/>
      <c r="TD141" s="1"/>
      <c r="TE141" s="1"/>
      <c r="TF141" s="1"/>
      <c r="TG141" s="1"/>
      <c r="TH141" s="1"/>
      <c r="TI141" s="1"/>
      <c r="TJ141" s="1"/>
      <c r="TK141" s="1"/>
      <c r="TL141" s="1"/>
      <c r="TM141" s="1"/>
      <c r="TN141" s="1"/>
      <c r="TO141" s="1"/>
      <c r="TP141" s="1"/>
      <c r="TQ141" s="1"/>
      <c r="TR141" s="1"/>
      <c r="TS141" s="1"/>
      <c r="TT141" s="1"/>
      <c r="TU141" s="1"/>
      <c r="TV141" s="1"/>
      <c r="TW141" s="1"/>
      <c r="TX141" s="1"/>
      <c r="TY141" s="1"/>
      <c r="TZ141" s="1"/>
      <c r="UA141" s="1"/>
      <c r="UB141" s="1"/>
      <c r="UC141" s="1"/>
      <c r="UD141" s="1"/>
      <c r="UE141" s="1"/>
      <c r="UF141" s="1"/>
      <c r="UG141" s="1"/>
      <c r="UH141" s="1"/>
      <c r="UI141" s="1"/>
      <c r="UJ141" s="1"/>
      <c r="UK141" s="1"/>
      <c r="UL141" s="1"/>
      <c r="UM141" s="1"/>
      <c r="UN141" s="1"/>
      <c r="UO141" s="1"/>
      <c r="UP141" s="1"/>
      <c r="UQ141" s="1"/>
      <c r="UR141" s="1"/>
      <c r="US141" s="1"/>
      <c r="UT141" s="1"/>
      <c r="UU141" s="1"/>
      <c r="UV141" s="1"/>
      <c r="UW141" s="1"/>
      <c r="UX141" s="1"/>
      <c r="UY141" s="1"/>
      <c r="UZ141" s="1"/>
      <c r="VA141" s="1"/>
      <c r="VB141" s="1"/>
      <c r="VC141" s="1"/>
      <c r="VD141" s="1"/>
      <c r="VE141" s="1"/>
      <c r="VF141" s="1"/>
      <c r="VG141" s="1"/>
      <c r="VH141" s="1"/>
      <c r="VI141" s="1"/>
      <c r="VJ141" s="1"/>
      <c r="VK141" s="1"/>
      <c r="VL141" s="1"/>
      <c r="VM141" s="1"/>
      <c r="VN141" s="1"/>
      <c r="VO141" s="1"/>
      <c r="VP141" s="1"/>
      <c r="VQ141" s="1"/>
      <c r="VR141" s="1"/>
      <c r="VS141" s="1"/>
      <c r="VT141" s="1"/>
      <c r="VU141" s="1"/>
      <c r="VV141" s="1"/>
      <c r="VW141" s="1"/>
      <c r="VX141" s="1"/>
      <c r="VY141" s="1"/>
      <c r="VZ141" s="1"/>
      <c r="WA141" s="1"/>
      <c r="WB141" s="1"/>
      <c r="WC141" s="1"/>
      <c r="WD141" s="1"/>
      <c r="WE141" s="1"/>
      <c r="WF141" s="1"/>
      <c r="WG141" s="1"/>
      <c r="WH141" s="1"/>
      <c r="WI141" s="1"/>
      <c r="WJ141" s="1"/>
      <c r="WK141" s="1"/>
      <c r="WL141" s="1"/>
      <c r="WM141" s="1"/>
      <c r="WN141" s="1"/>
      <c r="WO141" s="1"/>
      <c r="WP141" s="1"/>
      <c r="WQ141" s="1"/>
      <c r="WR141" s="1"/>
      <c r="WS141" s="1"/>
      <c r="WT141" s="1"/>
      <c r="WU141" s="1"/>
      <c r="WV141" s="1"/>
      <c r="WW141" s="1"/>
      <c r="WX141" s="1"/>
      <c r="WY141" s="1"/>
      <c r="WZ141" s="1"/>
      <c r="XA141" s="1"/>
      <c r="XB141" s="1"/>
      <c r="XC141" s="1"/>
      <c r="XD141" s="1"/>
      <c r="XE141" s="1"/>
      <c r="XF141" s="1"/>
      <c r="XG141" s="1"/>
      <c r="XH141" s="1"/>
      <c r="XI141" s="1"/>
      <c r="XJ141" s="1"/>
      <c r="XK141" s="1"/>
      <c r="XL141" s="1"/>
      <c r="XM141" s="1"/>
      <c r="XN141" s="1"/>
      <c r="XO141" s="1"/>
      <c r="XP141" s="1"/>
      <c r="XQ141" s="1"/>
      <c r="XR141" s="1"/>
      <c r="XS141" s="1"/>
      <c r="XT141" s="1"/>
      <c r="XU141" s="1"/>
      <c r="XV141" s="1"/>
      <c r="XW141" s="1"/>
      <c r="XX141" s="1"/>
      <c r="XY141" s="1"/>
      <c r="XZ141" s="1"/>
      <c r="YA141" s="1"/>
      <c r="YB141" s="1"/>
      <c r="YC141" s="1"/>
      <c r="YD141" s="1"/>
      <c r="YE141" s="1"/>
      <c r="YF141" s="1"/>
      <c r="YG141" s="1"/>
      <c r="YH141" s="1"/>
      <c r="YI141" s="1"/>
      <c r="YJ141" s="1"/>
      <c r="YK141" s="1"/>
      <c r="YL141" s="1"/>
      <c r="YM141" s="1"/>
      <c r="YN141" s="1"/>
      <c r="YO141" s="1"/>
      <c r="YP141" s="1"/>
      <c r="YQ141" s="1"/>
      <c r="YR141" s="1"/>
      <c r="YS141" s="1"/>
      <c r="YT141" s="1"/>
      <c r="YU141" s="1"/>
      <c r="YV141" s="1"/>
      <c r="YW141" s="1"/>
      <c r="YX141" s="1"/>
      <c r="YY141" s="1"/>
      <c r="YZ141" s="1"/>
      <c r="ZA141" s="1"/>
      <c r="ZB141" s="1"/>
      <c r="ZC141" s="1"/>
      <c r="ZD141" s="1"/>
      <c r="ZE141" s="1"/>
      <c r="ZF141" s="1"/>
      <c r="ZG141" s="1"/>
      <c r="ZH141" s="1"/>
      <c r="ZI141" s="1"/>
      <c r="ZJ141" s="1"/>
      <c r="ZK141" s="1"/>
      <c r="ZL141" s="1"/>
      <c r="ZM141" s="1"/>
      <c r="ZN141" s="1"/>
      <c r="ZO141" s="1"/>
      <c r="ZP141" s="1"/>
      <c r="ZQ141" s="1"/>
      <c r="ZR141" s="1"/>
      <c r="ZS141" s="1"/>
      <c r="ZT141" s="1"/>
      <c r="ZU141" s="1"/>
      <c r="ZV141" s="1"/>
      <c r="ZW141" s="1"/>
      <c r="ZX141" s="1"/>
      <c r="ZY141" s="1"/>
      <c r="ZZ141" s="1"/>
      <c r="AAA141" s="1"/>
      <c r="AAB141" s="1"/>
      <c r="AAC141" s="1"/>
      <c r="AAD141" s="1"/>
      <c r="AAE141" s="1"/>
      <c r="AAF141" s="1"/>
      <c r="AAG141" s="1"/>
      <c r="AAH141" s="1"/>
      <c r="AAI141" s="1"/>
      <c r="AAJ141" s="1"/>
      <c r="AAK141" s="1"/>
      <c r="AAL141" s="1"/>
      <c r="AAM141" s="1"/>
      <c r="AAN141" s="1"/>
      <c r="AAO141" s="1"/>
      <c r="AAP141" s="1"/>
      <c r="AAQ141" s="1"/>
      <c r="AAR141" s="1"/>
      <c r="AAS141" s="1"/>
      <c r="AAT141" s="1"/>
      <c r="AAU141" s="1"/>
      <c r="AAV141" s="1"/>
      <c r="AAW141" s="1"/>
      <c r="AAX141" s="1"/>
      <c r="AAY141" s="1"/>
      <c r="AAZ141" s="1"/>
      <c r="ABA141" s="1"/>
      <c r="ABB141" s="1"/>
      <c r="ABC141" s="1"/>
      <c r="ABD141" s="1"/>
      <c r="ABE141" s="1"/>
      <c r="ABF141" s="1"/>
      <c r="ABG141" s="1"/>
      <c r="ABH141" s="1"/>
      <c r="ABI141" s="1"/>
      <c r="ABJ141" s="1"/>
      <c r="ABK141" s="1"/>
      <c r="ABL141" s="1"/>
      <c r="ABM141" s="1"/>
      <c r="ABN141" s="1"/>
      <c r="ABO141" s="1"/>
      <c r="ABP141" s="1"/>
      <c r="ABQ141" s="1"/>
      <c r="ABR141" s="1"/>
      <c r="ABS141" s="1"/>
      <c r="ABT141" s="1"/>
      <c r="ABU141" s="1"/>
      <c r="ABV141" s="1"/>
      <c r="ABW141" s="1"/>
      <c r="ABX141" s="1"/>
      <c r="ABY141" s="1"/>
      <c r="ABZ141" s="1"/>
      <c r="ACA141" s="1"/>
      <c r="ACB141" s="1"/>
      <c r="ACC141" s="1"/>
      <c r="ACD141" s="1"/>
      <c r="ACE141" s="1"/>
      <c r="ACF141" s="1"/>
      <c r="ACG141" s="1"/>
      <c r="ACH141" s="1"/>
      <c r="ACI141" s="1"/>
      <c r="ACJ141" s="1"/>
      <c r="ACK141" s="1"/>
      <c r="ACL141" s="1"/>
      <c r="ACM141" s="1"/>
      <c r="ACN141" s="1"/>
      <c r="ACO141" s="1"/>
      <c r="ACP141" s="1"/>
      <c r="ACQ141" s="1"/>
      <c r="ACR141" s="1"/>
      <c r="ACS141" s="1"/>
      <c r="ACT141" s="1"/>
      <c r="ACU141" s="1"/>
      <c r="ACV141" s="1"/>
      <c r="ACW141" s="1"/>
      <c r="ACX141" s="1"/>
      <c r="ACY141" s="1"/>
      <c r="ACZ141" s="1"/>
      <c r="ADA141" s="1"/>
      <c r="ADB141" s="1"/>
      <c r="ADC141" s="1"/>
      <c r="ADD141" s="1"/>
      <c r="ADE141" s="1"/>
      <c r="ADF141" s="1"/>
      <c r="ADG141" s="1"/>
      <c r="ADH141" s="1"/>
      <c r="ADI141" s="1"/>
      <c r="ADJ141" s="1"/>
      <c r="ADK141" s="1"/>
      <c r="ADL141" s="1"/>
      <c r="ADM141" s="1"/>
      <c r="ADN141" s="1"/>
      <c r="ADO141" s="1"/>
      <c r="ADP141" s="1"/>
      <c r="ADQ141" s="1"/>
      <c r="ADR141" s="1"/>
      <c r="ADS141" s="1"/>
      <c r="ADT141" s="1"/>
      <c r="ADU141" s="1"/>
      <c r="ADV141" s="1"/>
      <c r="ADW141" s="1"/>
      <c r="ADX141" s="1"/>
      <c r="ADY141" s="1"/>
      <c r="ADZ141" s="1"/>
      <c r="AEA141" s="1"/>
      <c r="AEB141" s="1"/>
      <c r="AEC141" s="1"/>
      <c r="AED141" s="1"/>
      <c r="AEE141" s="1"/>
      <c r="AEF141" s="1"/>
      <c r="AEG141" s="1"/>
      <c r="AEH141" s="1"/>
      <c r="AEI141" s="1"/>
      <c r="AEJ141" s="1"/>
      <c r="AEK141" s="1"/>
      <c r="AEL141" s="1"/>
      <c r="AEM141" s="1"/>
      <c r="AEN141" s="1"/>
      <c r="AEO141" s="1"/>
      <c r="AEP141" s="1"/>
      <c r="AEQ141" s="1"/>
      <c r="AER141" s="1"/>
      <c r="AES141" s="1"/>
      <c r="AET141" s="1"/>
      <c r="AEU141" s="1"/>
      <c r="AEV141" s="1"/>
      <c r="AEW141" s="1"/>
      <c r="AEX141" s="1"/>
      <c r="AEY141" s="1"/>
      <c r="AEZ141" s="1"/>
      <c r="AFA141" s="1"/>
      <c r="AFB141" s="1"/>
      <c r="AFC141" s="1"/>
      <c r="AFD141" s="1"/>
      <c r="AFE141" s="1"/>
      <c r="AFF141" s="1"/>
      <c r="AFG141" s="1"/>
      <c r="AFH141" s="1"/>
      <c r="AFI141" s="1"/>
      <c r="AFJ141" s="1"/>
      <c r="AFK141" s="1"/>
      <c r="AFL141" s="1"/>
      <c r="AFM141" s="1"/>
      <c r="AFN141" s="1"/>
      <c r="AFO141" s="1"/>
      <c r="AFP141" s="1"/>
      <c r="AFQ141" s="1"/>
      <c r="AFR141" s="1"/>
      <c r="AFS141" s="1"/>
      <c r="AFT141" s="1"/>
      <c r="AFU141" s="1"/>
      <c r="AFV141" s="1"/>
      <c r="AFW141" s="1"/>
      <c r="AFX141" s="1"/>
      <c r="AFY141" s="1"/>
      <c r="AFZ141" s="1"/>
      <c r="AGA141" s="1"/>
      <c r="AGB141" s="1"/>
      <c r="AGC141" s="1"/>
      <c r="AGD141" s="1"/>
      <c r="AGE141" s="1"/>
      <c r="AGF141" s="1"/>
      <c r="AGG141" s="1"/>
      <c r="AGH141" s="1"/>
      <c r="AGI141" s="1"/>
      <c r="AGJ141" s="1"/>
      <c r="AGK141" s="1"/>
      <c r="AGL141" s="1"/>
      <c r="AGM141" s="1"/>
      <c r="AGN141" s="1"/>
      <c r="AGO141" s="1"/>
      <c r="AGP141" s="1"/>
      <c r="AGQ141" s="1"/>
      <c r="AGR141" s="1"/>
      <c r="AGS141" s="1"/>
      <c r="AGT141" s="1"/>
      <c r="AGU141" s="1"/>
      <c r="AGV141" s="1"/>
      <c r="AGW141" s="1"/>
      <c r="AGX141" s="1"/>
      <c r="AGY141" s="1"/>
      <c r="AGZ141" s="1"/>
      <c r="AHA141" s="1"/>
      <c r="AHB141" s="1"/>
      <c r="AHC141" s="1"/>
      <c r="AHD141" s="1"/>
      <c r="AHE141" s="1"/>
      <c r="AHF141" s="1"/>
      <c r="AHG141" s="1"/>
      <c r="AHH141" s="1"/>
      <c r="AHI141" s="1"/>
      <c r="AHJ141" s="1"/>
      <c r="AHK141" s="1"/>
      <c r="AHL141" s="1"/>
      <c r="AHM141" s="1"/>
      <c r="AHN141" s="1"/>
      <c r="AHO141" s="1"/>
      <c r="AHP141" s="1"/>
      <c r="AHQ141" s="1"/>
      <c r="AHR141" s="1"/>
      <c r="AHS141" s="1"/>
      <c r="AHT141" s="1"/>
      <c r="AHU141" s="1"/>
      <c r="AHV141" s="1"/>
      <c r="AHW141" s="1"/>
      <c r="AHX141" s="1"/>
      <c r="AHY141" s="1"/>
      <c r="AHZ141" s="1"/>
      <c r="AIA141" s="1"/>
      <c r="AIB141" s="1"/>
      <c r="AIC141" s="1"/>
      <c r="AID141" s="1"/>
      <c r="AIE141" s="1"/>
      <c r="AIF141" s="1"/>
      <c r="AIG141" s="1"/>
      <c r="AIH141" s="1"/>
      <c r="AII141" s="1"/>
      <c r="AIJ141" s="1"/>
      <c r="AIK141" s="1"/>
      <c r="AIL141" s="1"/>
      <c r="AIM141" s="1"/>
      <c r="AIN141" s="1"/>
      <c r="AIO141" s="1"/>
      <c r="AIP141" s="1"/>
      <c r="AIQ141" s="1"/>
      <c r="AIR141" s="1"/>
      <c r="AIS141" s="1"/>
      <c r="AIT141" s="1"/>
      <c r="AIU141" s="1"/>
      <c r="AIV141" s="1"/>
      <c r="AIW141" s="1"/>
      <c r="AIX141" s="1"/>
      <c r="AIY141" s="1"/>
      <c r="AIZ141" s="1"/>
      <c r="AJA141" s="1"/>
      <c r="AJB141" s="1"/>
      <c r="AJC141" s="1"/>
      <c r="AJD141" s="1"/>
      <c r="AJE141" s="1"/>
      <c r="AJF141" s="1"/>
      <c r="AJG141" s="1"/>
      <c r="AJH141" s="1"/>
      <c r="AJI141" s="1"/>
      <c r="AJJ141" s="1"/>
      <c r="AJK141" s="1"/>
      <c r="AJL141" s="1"/>
      <c r="AJM141" s="1"/>
      <c r="AJN141" s="1"/>
      <c r="AJO141" s="1"/>
      <c r="AJP141" s="1"/>
      <c r="AJQ141" s="1"/>
      <c r="AJR141" s="1"/>
      <c r="AJS141" s="1"/>
      <c r="AJT141" s="1"/>
      <c r="AJU141" s="1"/>
      <c r="AJV141" s="1"/>
      <c r="AJW141" s="1"/>
      <c r="AJX141" s="1"/>
      <c r="AJY141" s="1"/>
      <c r="AJZ141" s="1"/>
      <c r="AKA141" s="1"/>
      <c r="AKB141" s="1"/>
      <c r="AKC141" s="1"/>
      <c r="AKD141" s="1"/>
      <c r="AKE141" s="1"/>
      <c r="AKF141" s="1"/>
      <c r="AKG141" s="1"/>
      <c r="AKH141" s="1"/>
      <c r="AKI141" s="1"/>
      <c r="AKJ141" s="1"/>
      <c r="AKK141" s="1"/>
      <c r="AKL141" s="1"/>
      <c r="AKM141" s="1"/>
      <c r="AKN141" s="1"/>
      <c r="AKO141" s="1"/>
      <c r="AKP141" s="1"/>
      <c r="AKQ141" s="1"/>
      <c r="AKR141" s="1"/>
      <c r="AKS141" s="1"/>
      <c r="AKT141" s="1"/>
      <c r="AKU141" s="1"/>
      <c r="AKV141" s="1"/>
      <c r="AKW141" s="1"/>
      <c r="AKX141" s="1"/>
      <c r="AKY141" s="1"/>
      <c r="AKZ141" s="1"/>
      <c r="ALA141" s="1"/>
      <c r="ALB141" s="1"/>
      <c r="ALC141" s="1"/>
      <c r="ALD141" s="1"/>
      <c r="ALE141" s="1"/>
      <c r="ALF141" s="1"/>
      <c r="ALG141" s="1"/>
      <c r="ALH141" s="1"/>
      <c r="ALI141" s="1"/>
      <c r="ALJ141" s="1"/>
      <c r="ALK141" s="1"/>
      <c r="ALL141" s="1"/>
      <c r="ALM141" s="1"/>
      <c r="ALN141" s="1"/>
      <c r="ALO141" s="1"/>
      <c r="ALP141" s="1"/>
      <c r="ALQ141" s="1"/>
      <c r="ALR141" s="1"/>
      <c r="ALS141" s="1"/>
      <c r="ALT141" s="1"/>
      <c r="ALU141" s="1"/>
      <c r="ALV141" s="1"/>
      <c r="ALW141" s="1"/>
      <c r="ALX141" s="1"/>
      <c r="ALY141" s="1"/>
      <c r="ALZ141" s="1"/>
      <c r="AMA141" s="1"/>
      <c r="AMB141" s="1"/>
      <c r="AMC141" s="1"/>
      <c r="AMD141" s="1"/>
      <c r="AME141" s="1"/>
      <c r="AMF141" s="1"/>
      <c r="AMG141" s="1"/>
      <c r="AMH141" s="1"/>
      <c r="AMI141" s="1"/>
      <c r="AMJ141" s="1"/>
    </row>
    <row r="142" customFormat="false" ht="10.5" hidden="false" customHeight="true" outlineLevel="0" collapsed="false">
      <c r="A142" s="188" t="s">
        <v>260</v>
      </c>
      <c r="B142" s="188"/>
      <c r="C142" s="188"/>
      <c r="D142" s="188"/>
      <c r="E142" s="188"/>
      <c r="F142" s="188"/>
      <c r="G142" s="188"/>
      <c r="H142" s="188"/>
      <c r="I142" s="188"/>
      <c r="J142" s="188"/>
      <c r="K142" s="188"/>
      <c r="L142" s="188"/>
      <c r="M142" s="188"/>
      <c r="N142" s="188"/>
      <c r="O142" s="188"/>
      <c r="P142" s="189" t="n">
        <f aca="false">SUM(P134:R141)</f>
        <v>0</v>
      </c>
      <c r="Q142" s="189"/>
      <c r="R142" s="189"/>
      <c r="S142" s="181"/>
      <c r="T142" s="190" t="s">
        <v>260</v>
      </c>
      <c r="U142" s="190"/>
      <c r="V142" s="190"/>
      <c r="W142" s="190"/>
      <c r="X142" s="190"/>
      <c r="Y142" s="190"/>
      <c r="Z142" s="190"/>
      <c r="AA142" s="190"/>
      <c r="AB142" s="190"/>
      <c r="AC142" s="190"/>
      <c r="AD142" s="190"/>
      <c r="AE142" s="190"/>
      <c r="AF142" s="190"/>
      <c r="AG142" s="190"/>
      <c r="AH142" s="190"/>
      <c r="AI142" s="190"/>
      <c r="AJ142" s="190"/>
      <c r="AK142" s="190"/>
      <c r="AL142" s="186" t="n">
        <f aca="false">SUM(AL134:AO141)</f>
        <v>0</v>
      </c>
      <c r="AM142" s="186"/>
      <c r="AN142" s="186"/>
      <c r="AO142" s="186"/>
      <c r="BE142" s="1"/>
      <c r="BF142" s="1"/>
      <c r="BG142" s="1"/>
      <c r="BH142" s="1"/>
      <c r="BI142" s="1"/>
      <c r="BJ142" s="1"/>
      <c r="BK142" s="1"/>
      <c r="BL142" s="1"/>
      <c r="BM142" s="1"/>
      <c r="BN142" s="1"/>
      <c r="BO142" s="1"/>
      <c r="BP142" s="1"/>
      <c r="BQ142" s="1"/>
      <c r="BR142" s="1"/>
      <c r="BS142" s="1"/>
      <c r="BT142" s="1"/>
      <c r="BU142" s="1"/>
      <c r="BV142" s="1"/>
      <c r="BW142" s="1"/>
      <c r="BX142" s="1"/>
      <c r="BY142" s="1"/>
      <c r="BZ142" s="1"/>
      <c r="CA142" s="1"/>
      <c r="CB142" s="1"/>
      <c r="CC142" s="1"/>
      <c r="CD142" s="1"/>
      <c r="CE142" s="1"/>
      <c r="CF142" s="1"/>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1"/>
      <c r="DJ142" s="1"/>
      <c r="DK142" s="1"/>
      <c r="DL142" s="1"/>
      <c r="DM142" s="1"/>
      <c r="DN142" s="1"/>
      <c r="DO142" s="1"/>
      <c r="DP142" s="1"/>
      <c r="DQ142" s="1"/>
      <c r="DR142" s="1"/>
      <c r="DS142" s="1"/>
      <c r="DT142" s="1"/>
      <c r="DU142" s="1"/>
      <c r="DV142" s="1"/>
      <c r="DW142" s="1"/>
      <c r="DX142" s="1"/>
      <c r="DY142" s="1"/>
      <c r="DZ142" s="1"/>
      <c r="EA142" s="1"/>
      <c r="EB142" s="1"/>
      <c r="EC142" s="1"/>
      <c r="ED142" s="1"/>
      <c r="EE142" s="1"/>
      <c r="EF142" s="1"/>
      <c r="EG142" s="1"/>
      <c r="EH142" s="1"/>
      <c r="EI142" s="1"/>
      <c r="EJ142" s="1"/>
      <c r="EK142" s="1"/>
      <c r="EL142" s="1"/>
      <c r="EM142" s="1"/>
      <c r="EN142" s="1"/>
      <c r="EO142" s="1"/>
      <c r="EP142" s="1"/>
      <c r="EQ142" s="1"/>
      <c r="ER142" s="1"/>
      <c r="ES142" s="1"/>
      <c r="ET142" s="1"/>
      <c r="EU142" s="1"/>
      <c r="EV142" s="1"/>
      <c r="EW142" s="1"/>
      <c r="EX142" s="1"/>
      <c r="EY142" s="1"/>
      <c r="EZ142" s="1"/>
      <c r="FA142" s="1"/>
      <c r="FB142" s="1"/>
      <c r="FC142" s="1"/>
      <c r="FD142" s="1"/>
      <c r="FE142" s="1"/>
      <c r="FF142" s="1"/>
      <c r="FG142" s="1"/>
      <c r="FH142" s="1"/>
      <c r="FI142" s="1"/>
      <c r="FJ142" s="1"/>
      <c r="FK142" s="1"/>
      <c r="FL142" s="1"/>
      <c r="FM142" s="1"/>
      <c r="FN142" s="1"/>
      <c r="FO142" s="1"/>
      <c r="FP142" s="1"/>
      <c r="FQ142" s="1"/>
      <c r="FR142" s="1"/>
      <c r="FS142" s="1"/>
      <c r="FT142" s="1"/>
      <c r="FU142" s="1"/>
      <c r="FV142" s="1"/>
      <c r="FW142" s="1"/>
      <c r="FX142" s="1"/>
      <c r="FY142" s="1"/>
      <c r="FZ142" s="1"/>
      <c r="GA142" s="1"/>
      <c r="GB142" s="1"/>
      <c r="GC142" s="1"/>
      <c r="GD142" s="1"/>
      <c r="GE142" s="1"/>
      <c r="GF142" s="1"/>
      <c r="GG142" s="1"/>
      <c r="GH142" s="1"/>
      <c r="GI142" s="1"/>
      <c r="GJ142" s="1"/>
      <c r="GK142" s="1"/>
      <c r="GL142" s="1"/>
      <c r="GM142" s="1"/>
      <c r="GN142" s="1"/>
      <c r="GO142" s="1"/>
      <c r="GP142" s="1"/>
      <c r="GQ142" s="1"/>
      <c r="GR142" s="1"/>
      <c r="GS142" s="1"/>
      <c r="GT142" s="1"/>
      <c r="GU142" s="1"/>
      <c r="GV142" s="1"/>
      <c r="GW142" s="1"/>
      <c r="GX142" s="1"/>
      <c r="GY142" s="1"/>
      <c r="GZ142" s="1"/>
      <c r="HA142" s="1"/>
      <c r="HB142" s="1"/>
      <c r="HC142" s="1"/>
      <c r="HD142" s="1"/>
      <c r="HE142" s="1"/>
      <c r="HF142" s="1"/>
      <c r="HG142" s="1"/>
      <c r="HH142" s="1"/>
      <c r="HI142" s="1"/>
      <c r="HJ142" s="1"/>
      <c r="HK142" s="1"/>
      <c r="HL142" s="1"/>
      <c r="HM142" s="1"/>
      <c r="HN142" s="1"/>
      <c r="HO142" s="1"/>
      <c r="HP142" s="1"/>
      <c r="HQ142" s="1"/>
      <c r="HR142" s="1"/>
      <c r="HS142" s="1"/>
      <c r="HT142" s="1"/>
      <c r="HU142" s="1"/>
      <c r="HV142" s="1"/>
      <c r="HW142" s="1"/>
      <c r="HX142" s="1"/>
      <c r="HY142" s="1"/>
      <c r="HZ142" s="1"/>
      <c r="IA142" s="1"/>
      <c r="IB142" s="1"/>
      <c r="IC142" s="1"/>
      <c r="ID142" s="1"/>
      <c r="IE142" s="1"/>
      <c r="IF142" s="1"/>
      <c r="IG142" s="1"/>
      <c r="IH142" s="1"/>
      <c r="II142" s="1"/>
      <c r="IJ142" s="1"/>
      <c r="IK142" s="1"/>
      <c r="IL142" s="1"/>
      <c r="IM142" s="1"/>
      <c r="IN142" s="1"/>
      <c r="IO142" s="1"/>
      <c r="IP142" s="1"/>
      <c r="IQ142" s="1"/>
      <c r="IR142" s="1"/>
      <c r="IS142" s="1"/>
      <c r="IT142" s="1"/>
      <c r="IU142" s="1"/>
      <c r="IV142" s="1"/>
      <c r="IW142" s="1"/>
      <c r="IX142" s="1"/>
      <c r="IY142" s="1"/>
      <c r="IZ142" s="1"/>
      <c r="JA142" s="1"/>
      <c r="JB142" s="1"/>
      <c r="JC142" s="1"/>
      <c r="JD142" s="1"/>
      <c r="JE142" s="1"/>
      <c r="JF142" s="1"/>
      <c r="JG142" s="1"/>
      <c r="JH142" s="1"/>
      <c r="JI142" s="1"/>
      <c r="JJ142" s="1"/>
      <c r="JK142" s="1"/>
      <c r="JL142" s="1"/>
      <c r="JM142" s="1"/>
      <c r="JN142" s="1"/>
      <c r="JO142" s="1"/>
      <c r="JP142" s="1"/>
      <c r="JQ142" s="1"/>
      <c r="JR142" s="1"/>
      <c r="JS142" s="1"/>
      <c r="JT142" s="1"/>
      <c r="JU142" s="1"/>
      <c r="JV142" s="1"/>
      <c r="JW142" s="1"/>
      <c r="JX142" s="1"/>
      <c r="JY142" s="1"/>
      <c r="JZ142" s="1"/>
      <c r="KA142" s="1"/>
      <c r="KB142" s="1"/>
      <c r="KC142" s="1"/>
      <c r="KD142" s="1"/>
      <c r="KE142" s="1"/>
      <c r="KF142" s="1"/>
      <c r="KG142" s="1"/>
      <c r="KH142" s="1"/>
      <c r="KI142" s="1"/>
      <c r="KJ142" s="1"/>
      <c r="KK142" s="1"/>
      <c r="KL142" s="1"/>
      <c r="KM142" s="1"/>
      <c r="KN142" s="1"/>
      <c r="KO142" s="1"/>
      <c r="KP142" s="1"/>
      <c r="KQ142" s="1"/>
      <c r="KR142" s="1"/>
      <c r="KS142" s="1"/>
      <c r="KT142" s="1"/>
      <c r="KU142" s="1"/>
      <c r="KV142" s="1"/>
      <c r="KW142" s="1"/>
      <c r="KX142" s="1"/>
      <c r="KY142" s="1"/>
      <c r="KZ142" s="1"/>
      <c r="LA142" s="1"/>
      <c r="LB142" s="1"/>
      <c r="LC142" s="1"/>
      <c r="LD142" s="1"/>
      <c r="LE142" s="1"/>
      <c r="LF142" s="1"/>
      <c r="LG142" s="1"/>
      <c r="LH142" s="1"/>
      <c r="LI142" s="1"/>
      <c r="LJ142" s="1"/>
      <c r="LK142" s="1"/>
      <c r="LL142" s="1"/>
      <c r="LM142" s="1"/>
      <c r="LN142" s="1"/>
      <c r="LO142" s="1"/>
      <c r="LP142" s="1"/>
      <c r="LQ142" s="1"/>
      <c r="LR142" s="1"/>
      <c r="LS142" s="1"/>
      <c r="LT142" s="1"/>
      <c r="LU142" s="1"/>
      <c r="LV142" s="1"/>
      <c r="LW142" s="1"/>
      <c r="LX142" s="1"/>
      <c r="LY142" s="1"/>
      <c r="LZ142" s="1"/>
      <c r="MA142" s="1"/>
      <c r="MB142" s="1"/>
      <c r="MC142" s="1"/>
      <c r="MD142" s="1"/>
      <c r="ME142" s="1"/>
      <c r="MF142" s="1"/>
      <c r="MG142" s="1"/>
      <c r="MH142" s="1"/>
      <c r="MI142" s="1"/>
      <c r="MJ142" s="1"/>
      <c r="MK142" s="1"/>
      <c r="ML142" s="1"/>
      <c r="MM142" s="1"/>
      <c r="MN142" s="1"/>
      <c r="MO142" s="1"/>
      <c r="MP142" s="1"/>
      <c r="MQ142" s="1"/>
      <c r="MR142" s="1"/>
      <c r="MS142" s="1"/>
      <c r="MT142" s="1"/>
      <c r="MU142" s="1"/>
      <c r="MV142" s="1"/>
      <c r="MW142" s="1"/>
      <c r="MX142" s="1"/>
      <c r="MY142" s="1"/>
      <c r="MZ142" s="1"/>
      <c r="NA142" s="1"/>
      <c r="NB142" s="1"/>
      <c r="NC142" s="1"/>
      <c r="ND142" s="1"/>
      <c r="NE142" s="1"/>
      <c r="NF142" s="1"/>
      <c r="NG142" s="1"/>
      <c r="NH142" s="1"/>
      <c r="NI142" s="1"/>
      <c r="NJ142" s="1"/>
      <c r="NK142" s="1"/>
      <c r="NL142" s="1"/>
      <c r="NM142" s="1"/>
      <c r="NN142" s="1"/>
      <c r="NO142" s="1"/>
      <c r="NP142" s="1"/>
      <c r="NQ142" s="1"/>
      <c r="NR142" s="1"/>
      <c r="NS142" s="1"/>
      <c r="NT142" s="1"/>
      <c r="NU142" s="1"/>
      <c r="NV142" s="1"/>
      <c r="NW142" s="1"/>
      <c r="NX142" s="1"/>
      <c r="NY142" s="1"/>
      <c r="NZ142" s="1"/>
      <c r="OA142" s="1"/>
      <c r="OB142" s="1"/>
      <c r="OC142" s="1"/>
      <c r="OD142" s="1"/>
      <c r="OE142" s="1"/>
      <c r="OF142" s="1"/>
      <c r="OG142" s="1"/>
      <c r="OH142" s="1"/>
      <c r="OI142" s="1"/>
      <c r="OJ142" s="1"/>
      <c r="OK142" s="1"/>
      <c r="OL142" s="1"/>
      <c r="OM142" s="1"/>
      <c r="ON142" s="1"/>
      <c r="OO142" s="1"/>
      <c r="OP142" s="1"/>
      <c r="OQ142" s="1"/>
      <c r="OR142" s="1"/>
      <c r="OS142" s="1"/>
      <c r="OT142" s="1"/>
      <c r="OU142" s="1"/>
      <c r="OV142" s="1"/>
      <c r="OW142" s="1"/>
      <c r="OX142" s="1"/>
      <c r="OY142" s="1"/>
      <c r="OZ142" s="1"/>
      <c r="PA142" s="1"/>
      <c r="PB142" s="1"/>
      <c r="PC142" s="1"/>
      <c r="PD142" s="1"/>
      <c r="PE142" s="1"/>
      <c r="PF142" s="1"/>
      <c r="PG142" s="1"/>
      <c r="PH142" s="1"/>
      <c r="PI142" s="1"/>
      <c r="PJ142" s="1"/>
      <c r="PK142" s="1"/>
      <c r="PL142" s="1"/>
      <c r="PM142" s="1"/>
      <c r="PN142" s="1"/>
      <c r="PO142" s="1"/>
      <c r="PP142" s="1"/>
      <c r="PQ142" s="1"/>
      <c r="PR142" s="1"/>
      <c r="PS142" s="1"/>
      <c r="PT142" s="1"/>
      <c r="PU142" s="1"/>
      <c r="PV142" s="1"/>
      <c r="PW142" s="1"/>
      <c r="PX142" s="1"/>
      <c r="PY142" s="1"/>
      <c r="PZ142" s="1"/>
      <c r="QA142" s="1"/>
      <c r="QB142" s="1"/>
      <c r="QC142" s="1"/>
      <c r="QD142" s="1"/>
      <c r="QE142" s="1"/>
      <c r="QF142" s="1"/>
      <c r="QG142" s="1"/>
      <c r="QH142" s="1"/>
      <c r="QI142" s="1"/>
      <c r="QJ142" s="1"/>
      <c r="QK142" s="1"/>
      <c r="QL142" s="1"/>
      <c r="QM142" s="1"/>
      <c r="QN142" s="1"/>
      <c r="QO142" s="1"/>
      <c r="QP142" s="1"/>
      <c r="QQ142" s="1"/>
      <c r="QR142" s="1"/>
      <c r="QS142" s="1"/>
      <c r="QT142" s="1"/>
      <c r="QU142" s="1"/>
      <c r="QV142" s="1"/>
      <c r="QW142" s="1"/>
      <c r="QX142" s="1"/>
      <c r="QY142" s="1"/>
      <c r="QZ142" s="1"/>
      <c r="RA142" s="1"/>
      <c r="RB142" s="1"/>
      <c r="RC142" s="1"/>
      <c r="RD142" s="1"/>
      <c r="RE142" s="1"/>
      <c r="RF142" s="1"/>
      <c r="RG142" s="1"/>
      <c r="RH142" s="1"/>
      <c r="RI142" s="1"/>
      <c r="RJ142" s="1"/>
      <c r="RK142" s="1"/>
      <c r="RL142" s="1"/>
      <c r="RM142" s="1"/>
      <c r="RN142" s="1"/>
      <c r="RO142" s="1"/>
      <c r="RP142" s="1"/>
      <c r="RQ142" s="1"/>
      <c r="RR142" s="1"/>
      <c r="RS142" s="1"/>
      <c r="RT142" s="1"/>
      <c r="RU142" s="1"/>
      <c r="RV142" s="1"/>
      <c r="RW142" s="1"/>
      <c r="RX142" s="1"/>
      <c r="RY142" s="1"/>
      <c r="RZ142" s="1"/>
      <c r="SA142" s="1"/>
      <c r="SB142" s="1"/>
      <c r="SC142" s="1"/>
      <c r="SD142" s="1"/>
      <c r="SE142" s="1"/>
      <c r="SF142" s="1"/>
      <c r="SG142" s="1"/>
      <c r="SH142" s="1"/>
      <c r="SI142" s="1"/>
      <c r="SJ142" s="1"/>
      <c r="SK142" s="1"/>
      <c r="SL142" s="1"/>
      <c r="SM142" s="1"/>
      <c r="SN142" s="1"/>
      <c r="SO142" s="1"/>
      <c r="SP142" s="1"/>
      <c r="SQ142" s="1"/>
      <c r="SR142" s="1"/>
      <c r="SS142" s="1"/>
      <c r="ST142" s="1"/>
      <c r="SU142" s="1"/>
      <c r="SV142" s="1"/>
      <c r="SW142" s="1"/>
      <c r="SX142" s="1"/>
      <c r="SY142" s="1"/>
      <c r="SZ142" s="1"/>
      <c r="TA142" s="1"/>
      <c r="TB142" s="1"/>
      <c r="TC142" s="1"/>
      <c r="TD142" s="1"/>
      <c r="TE142" s="1"/>
      <c r="TF142" s="1"/>
      <c r="TG142" s="1"/>
      <c r="TH142" s="1"/>
      <c r="TI142" s="1"/>
      <c r="TJ142" s="1"/>
      <c r="TK142" s="1"/>
      <c r="TL142" s="1"/>
      <c r="TM142" s="1"/>
      <c r="TN142" s="1"/>
      <c r="TO142" s="1"/>
      <c r="TP142" s="1"/>
      <c r="TQ142" s="1"/>
      <c r="TR142" s="1"/>
      <c r="TS142" s="1"/>
      <c r="TT142" s="1"/>
      <c r="TU142" s="1"/>
      <c r="TV142" s="1"/>
      <c r="TW142" s="1"/>
      <c r="TX142" s="1"/>
      <c r="TY142" s="1"/>
      <c r="TZ142" s="1"/>
      <c r="UA142" s="1"/>
      <c r="UB142" s="1"/>
      <c r="UC142" s="1"/>
      <c r="UD142" s="1"/>
      <c r="UE142" s="1"/>
      <c r="UF142" s="1"/>
      <c r="UG142" s="1"/>
      <c r="UH142" s="1"/>
      <c r="UI142" s="1"/>
      <c r="UJ142" s="1"/>
      <c r="UK142" s="1"/>
      <c r="UL142" s="1"/>
      <c r="UM142" s="1"/>
      <c r="UN142" s="1"/>
      <c r="UO142" s="1"/>
      <c r="UP142" s="1"/>
      <c r="UQ142" s="1"/>
      <c r="UR142" s="1"/>
      <c r="US142" s="1"/>
      <c r="UT142" s="1"/>
      <c r="UU142" s="1"/>
      <c r="UV142" s="1"/>
      <c r="UW142" s="1"/>
      <c r="UX142" s="1"/>
      <c r="UY142" s="1"/>
      <c r="UZ142" s="1"/>
      <c r="VA142" s="1"/>
      <c r="VB142" s="1"/>
      <c r="VC142" s="1"/>
      <c r="VD142" s="1"/>
      <c r="VE142" s="1"/>
      <c r="VF142" s="1"/>
      <c r="VG142" s="1"/>
      <c r="VH142" s="1"/>
      <c r="VI142" s="1"/>
      <c r="VJ142" s="1"/>
      <c r="VK142" s="1"/>
      <c r="VL142" s="1"/>
      <c r="VM142" s="1"/>
      <c r="VN142" s="1"/>
      <c r="VO142" s="1"/>
      <c r="VP142" s="1"/>
      <c r="VQ142" s="1"/>
      <c r="VR142" s="1"/>
      <c r="VS142" s="1"/>
      <c r="VT142" s="1"/>
      <c r="VU142" s="1"/>
      <c r="VV142" s="1"/>
      <c r="VW142" s="1"/>
      <c r="VX142" s="1"/>
      <c r="VY142" s="1"/>
      <c r="VZ142" s="1"/>
      <c r="WA142" s="1"/>
      <c r="WB142" s="1"/>
      <c r="WC142" s="1"/>
      <c r="WD142" s="1"/>
      <c r="WE142" s="1"/>
      <c r="WF142" s="1"/>
      <c r="WG142" s="1"/>
      <c r="WH142" s="1"/>
      <c r="WI142" s="1"/>
      <c r="WJ142" s="1"/>
      <c r="WK142" s="1"/>
      <c r="WL142" s="1"/>
      <c r="WM142" s="1"/>
      <c r="WN142" s="1"/>
      <c r="WO142" s="1"/>
      <c r="WP142" s="1"/>
      <c r="WQ142" s="1"/>
      <c r="WR142" s="1"/>
      <c r="WS142" s="1"/>
      <c r="WT142" s="1"/>
      <c r="WU142" s="1"/>
      <c r="WV142" s="1"/>
      <c r="WW142" s="1"/>
      <c r="WX142" s="1"/>
      <c r="WY142" s="1"/>
      <c r="WZ142" s="1"/>
      <c r="XA142" s="1"/>
      <c r="XB142" s="1"/>
      <c r="XC142" s="1"/>
      <c r="XD142" s="1"/>
      <c r="XE142" s="1"/>
      <c r="XF142" s="1"/>
      <c r="XG142" s="1"/>
      <c r="XH142" s="1"/>
      <c r="XI142" s="1"/>
      <c r="XJ142" s="1"/>
      <c r="XK142" s="1"/>
      <c r="XL142" s="1"/>
      <c r="XM142" s="1"/>
      <c r="XN142" s="1"/>
      <c r="XO142" s="1"/>
      <c r="XP142" s="1"/>
      <c r="XQ142" s="1"/>
      <c r="XR142" s="1"/>
      <c r="XS142" s="1"/>
      <c r="XT142" s="1"/>
      <c r="XU142" s="1"/>
      <c r="XV142" s="1"/>
      <c r="XW142" s="1"/>
      <c r="XX142" s="1"/>
      <c r="XY142" s="1"/>
      <c r="XZ142" s="1"/>
      <c r="YA142" s="1"/>
      <c r="YB142" s="1"/>
      <c r="YC142" s="1"/>
      <c r="YD142" s="1"/>
      <c r="YE142" s="1"/>
      <c r="YF142" s="1"/>
      <c r="YG142" s="1"/>
      <c r="YH142" s="1"/>
      <c r="YI142" s="1"/>
      <c r="YJ142" s="1"/>
      <c r="YK142" s="1"/>
      <c r="YL142" s="1"/>
      <c r="YM142" s="1"/>
      <c r="YN142" s="1"/>
      <c r="YO142" s="1"/>
      <c r="YP142" s="1"/>
      <c r="YQ142" s="1"/>
      <c r="YR142" s="1"/>
      <c r="YS142" s="1"/>
      <c r="YT142" s="1"/>
      <c r="YU142" s="1"/>
      <c r="YV142" s="1"/>
      <c r="YW142" s="1"/>
      <c r="YX142" s="1"/>
      <c r="YY142" s="1"/>
      <c r="YZ142" s="1"/>
      <c r="ZA142" s="1"/>
      <c r="ZB142" s="1"/>
      <c r="ZC142" s="1"/>
      <c r="ZD142" s="1"/>
      <c r="ZE142" s="1"/>
      <c r="ZF142" s="1"/>
      <c r="ZG142" s="1"/>
      <c r="ZH142" s="1"/>
      <c r="ZI142" s="1"/>
      <c r="ZJ142" s="1"/>
      <c r="ZK142" s="1"/>
      <c r="ZL142" s="1"/>
      <c r="ZM142" s="1"/>
      <c r="ZN142" s="1"/>
      <c r="ZO142" s="1"/>
      <c r="ZP142" s="1"/>
      <c r="ZQ142" s="1"/>
      <c r="ZR142" s="1"/>
      <c r="ZS142" s="1"/>
      <c r="ZT142" s="1"/>
      <c r="ZU142" s="1"/>
      <c r="ZV142" s="1"/>
      <c r="ZW142" s="1"/>
      <c r="ZX142" s="1"/>
      <c r="ZY142" s="1"/>
      <c r="ZZ142" s="1"/>
      <c r="AAA142" s="1"/>
      <c r="AAB142" s="1"/>
      <c r="AAC142" s="1"/>
      <c r="AAD142" s="1"/>
      <c r="AAE142" s="1"/>
      <c r="AAF142" s="1"/>
      <c r="AAG142" s="1"/>
      <c r="AAH142" s="1"/>
      <c r="AAI142" s="1"/>
      <c r="AAJ142" s="1"/>
      <c r="AAK142" s="1"/>
      <c r="AAL142" s="1"/>
      <c r="AAM142" s="1"/>
      <c r="AAN142" s="1"/>
      <c r="AAO142" s="1"/>
      <c r="AAP142" s="1"/>
      <c r="AAQ142" s="1"/>
      <c r="AAR142" s="1"/>
      <c r="AAS142" s="1"/>
      <c r="AAT142" s="1"/>
      <c r="AAU142" s="1"/>
      <c r="AAV142" s="1"/>
      <c r="AAW142" s="1"/>
      <c r="AAX142" s="1"/>
      <c r="AAY142" s="1"/>
      <c r="AAZ142" s="1"/>
      <c r="ABA142" s="1"/>
      <c r="ABB142" s="1"/>
      <c r="ABC142" s="1"/>
      <c r="ABD142" s="1"/>
      <c r="ABE142" s="1"/>
      <c r="ABF142" s="1"/>
      <c r="ABG142" s="1"/>
      <c r="ABH142" s="1"/>
      <c r="ABI142" s="1"/>
      <c r="ABJ142" s="1"/>
      <c r="ABK142" s="1"/>
      <c r="ABL142" s="1"/>
      <c r="ABM142" s="1"/>
      <c r="ABN142" s="1"/>
      <c r="ABO142" s="1"/>
      <c r="ABP142" s="1"/>
      <c r="ABQ142" s="1"/>
      <c r="ABR142" s="1"/>
      <c r="ABS142" s="1"/>
      <c r="ABT142" s="1"/>
      <c r="ABU142" s="1"/>
      <c r="ABV142" s="1"/>
      <c r="ABW142" s="1"/>
      <c r="ABX142" s="1"/>
      <c r="ABY142" s="1"/>
      <c r="ABZ142" s="1"/>
      <c r="ACA142" s="1"/>
      <c r="ACB142" s="1"/>
      <c r="ACC142" s="1"/>
      <c r="ACD142" s="1"/>
      <c r="ACE142" s="1"/>
      <c r="ACF142" s="1"/>
      <c r="ACG142" s="1"/>
      <c r="ACH142" s="1"/>
      <c r="ACI142" s="1"/>
      <c r="ACJ142" s="1"/>
      <c r="ACK142" s="1"/>
      <c r="ACL142" s="1"/>
      <c r="ACM142" s="1"/>
      <c r="ACN142" s="1"/>
      <c r="ACO142" s="1"/>
      <c r="ACP142" s="1"/>
      <c r="ACQ142" s="1"/>
      <c r="ACR142" s="1"/>
      <c r="ACS142" s="1"/>
      <c r="ACT142" s="1"/>
      <c r="ACU142" s="1"/>
      <c r="ACV142" s="1"/>
      <c r="ACW142" s="1"/>
      <c r="ACX142" s="1"/>
      <c r="ACY142" s="1"/>
      <c r="ACZ142" s="1"/>
      <c r="ADA142" s="1"/>
      <c r="ADB142" s="1"/>
      <c r="ADC142" s="1"/>
      <c r="ADD142" s="1"/>
      <c r="ADE142" s="1"/>
      <c r="ADF142" s="1"/>
      <c r="ADG142" s="1"/>
      <c r="ADH142" s="1"/>
      <c r="ADI142" s="1"/>
      <c r="ADJ142" s="1"/>
      <c r="ADK142" s="1"/>
      <c r="ADL142" s="1"/>
      <c r="ADM142" s="1"/>
      <c r="ADN142" s="1"/>
      <c r="ADO142" s="1"/>
      <c r="ADP142" s="1"/>
      <c r="ADQ142" s="1"/>
      <c r="ADR142" s="1"/>
      <c r="ADS142" s="1"/>
      <c r="ADT142" s="1"/>
      <c r="ADU142" s="1"/>
      <c r="ADV142" s="1"/>
      <c r="ADW142" s="1"/>
      <c r="ADX142" s="1"/>
      <c r="ADY142" s="1"/>
      <c r="ADZ142" s="1"/>
      <c r="AEA142" s="1"/>
      <c r="AEB142" s="1"/>
      <c r="AEC142" s="1"/>
      <c r="AED142" s="1"/>
      <c r="AEE142" s="1"/>
      <c r="AEF142" s="1"/>
      <c r="AEG142" s="1"/>
      <c r="AEH142" s="1"/>
      <c r="AEI142" s="1"/>
      <c r="AEJ142" s="1"/>
      <c r="AEK142" s="1"/>
      <c r="AEL142" s="1"/>
      <c r="AEM142" s="1"/>
      <c r="AEN142" s="1"/>
      <c r="AEO142" s="1"/>
      <c r="AEP142" s="1"/>
      <c r="AEQ142" s="1"/>
      <c r="AER142" s="1"/>
      <c r="AES142" s="1"/>
      <c r="AET142" s="1"/>
      <c r="AEU142" s="1"/>
      <c r="AEV142" s="1"/>
      <c r="AEW142" s="1"/>
      <c r="AEX142" s="1"/>
      <c r="AEY142" s="1"/>
      <c r="AEZ142" s="1"/>
      <c r="AFA142" s="1"/>
      <c r="AFB142" s="1"/>
      <c r="AFC142" s="1"/>
      <c r="AFD142" s="1"/>
      <c r="AFE142" s="1"/>
      <c r="AFF142" s="1"/>
      <c r="AFG142" s="1"/>
      <c r="AFH142" s="1"/>
      <c r="AFI142" s="1"/>
      <c r="AFJ142" s="1"/>
      <c r="AFK142" s="1"/>
      <c r="AFL142" s="1"/>
      <c r="AFM142" s="1"/>
      <c r="AFN142" s="1"/>
      <c r="AFO142" s="1"/>
      <c r="AFP142" s="1"/>
      <c r="AFQ142" s="1"/>
      <c r="AFR142" s="1"/>
      <c r="AFS142" s="1"/>
      <c r="AFT142" s="1"/>
      <c r="AFU142" s="1"/>
      <c r="AFV142" s="1"/>
      <c r="AFW142" s="1"/>
      <c r="AFX142" s="1"/>
      <c r="AFY142" s="1"/>
      <c r="AFZ142" s="1"/>
      <c r="AGA142" s="1"/>
      <c r="AGB142" s="1"/>
      <c r="AGC142" s="1"/>
      <c r="AGD142" s="1"/>
      <c r="AGE142" s="1"/>
      <c r="AGF142" s="1"/>
      <c r="AGG142" s="1"/>
      <c r="AGH142" s="1"/>
      <c r="AGI142" s="1"/>
      <c r="AGJ142" s="1"/>
      <c r="AGK142" s="1"/>
      <c r="AGL142" s="1"/>
      <c r="AGM142" s="1"/>
      <c r="AGN142" s="1"/>
      <c r="AGO142" s="1"/>
      <c r="AGP142" s="1"/>
      <c r="AGQ142" s="1"/>
      <c r="AGR142" s="1"/>
      <c r="AGS142" s="1"/>
      <c r="AGT142" s="1"/>
      <c r="AGU142" s="1"/>
      <c r="AGV142" s="1"/>
      <c r="AGW142" s="1"/>
      <c r="AGX142" s="1"/>
      <c r="AGY142" s="1"/>
      <c r="AGZ142" s="1"/>
      <c r="AHA142" s="1"/>
      <c r="AHB142" s="1"/>
      <c r="AHC142" s="1"/>
      <c r="AHD142" s="1"/>
      <c r="AHE142" s="1"/>
      <c r="AHF142" s="1"/>
      <c r="AHG142" s="1"/>
      <c r="AHH142" s="1"/>
      <c r="AHI142" s="1"/>
      <c r="AHJ142" s="1"/>
      <c r="AHK142" s="1"/>
      <c r="AHL142" s="1"/>
      <c r="AHM142" s="1"/>
      <c r="AHN142" s="1"/>
      <c r="AHO142" s="1"/>
      <c r="AHP142" s="1"/>
      <c r="AHQ142" s="1"/>
      <c r="AHR142" s="1"/>
      <c r="AHS142" s="1"/>
      <c r="AHT142" s="1"/>
      <c r="AHU142" s="1"/>
      <c r="AHV142" s="1"/>
      <c r="AHW142" s="1"/>
      <c r="AHX142" s="1"/>
      <c r="AHY142" s="1"/>
      <c r="AHZ142" s="1"/>
      <c r="AIA142" s="1"/>
      <c r="AIB142" s="1"/>
      <c r="AIC142" s="1"/>
      <c r="AID142" s="1"/>
      <c r="AIE142" s="1"/>
      <c r="AIF142" s="1"/>
      <c r="AIG142" s="1"/>
      <c r="AIH142" s="1"/>
      <c r="AII142" s="1"/>
      <c r="AIJ142" s="1"/>
      <c r="AIK142" s="1"/>
      <c r="AIL142" s="1"/>
      <c r="AIM142" s="1"/>
      <c r="AIN142" s="1"/>
      <c r="AIO142" s="1"/>
      <c r="AIP142" s="1"/>
      <c r="AIQ142" s="1"/>
      <c r="AIR142" s="1"/>
      <c r="AIS142" s="1"/>
      <c r="AIT142" s="1"/>
      <c r="AIU142" s="1"/>
      <c r="AIV142" s="1"/>
      <c r="AIW142" s="1"/>
      <c r="AIX142" s="1"/>
      <c r="AIY142" s="1"/>
      <c r="AIZ142" s="1"/>
      <c r="AJA142" s="1"/>
      <c r="AJB142" s="1"/>
      <c r="AJC142" s="1"/>
      <c r="AJD142" s="1"/>
      <c r="AJE142" s="1"/>
      <c r="AJF142" s="1"/>
      <c r="AJG142" s="1"/>
      <c r="AJH142" s="1"/>
      <c r="AJI142" s="1"/>
      <c r="AJJ142" s="1"/>
      <c r="AJK142" s="1"/>
      <c r="AJL142" s="1"/>
      <c r="AJM142" s="1"/>
      <c r="AJN142" s="1"/>
      <c r="AJO142" s="1"/>
      <c r="AJP142" s="1"/>
      <c r="AJQ142" s="1"/>
      <c r="AJR142" s="1"/>
      <c r="AJS142" s="1"/>
      <c r="AJT142" s="1"/>
      <c r="AJU142" s="1"/>
      <c r="AJV142" s="1"/>
      <c r="AJW142" s="1"/>
      <c r="AJX142" s="1"/>
      <c r="AJY142" s="1"/>
      <c r="AJZ142" s="1"/>
      <c r="AKA142" s="1"/>
      <c r="AKB142" s="1"/>
      <c r="AKC142" s="1"/>
      <c r="AKD142" s="1"/>
      <c r="AKE142" s="1"/>
      <c r="AKF142" s="1"/>
      <c r="AKG142" s="1"/>
      <c r="AKH142" s="1"/>
      <c r="AKI142" s="1"/>
      <c r="AKJ142" s="1"/>
      <c r="AKK142" s="1"/>
      <c r="AKL142" s="1"/>
      <c r="AKM142" s="1"/>
      <c r="AKN142" s="1"/>
      <c r="AKO142" s="1"/>
      <c r="AKP142" s="1"/>
      <c r="AKQ142" s="1"/>
      <c r="AKR142" s="1"/>
      <c r="AKS142" s="1"/>
      <c r="AKT142" s="1"/>
      <c r="AKU142" s="1"/>
      <c r="AKV142" s="1"/>
      <c r="AKW142" s="1"/>
      <c r="AKX142" s="1"/>
      <c r="AKY142" s="1"/>
      <c r="AKZ142" s="1"/>
      <c r="ALA142" s="1"/>
      <c r="ALB142" s="1"/>
      <c r="ALC142" s="1"/>
      <c r="ALD142" s="1"/>
      <c r="ALE142" s="1"/>
      <c r="ALF142" s="1"/>
      <c r="ALG142" s="1"/>
      <c r="ALH142" s="1"/>
      <c r="ALI142" s="1"/>
      <c r="ALJ142" s="1"/>
      <c r="ALK142" s="1"/>
      <c r="ALL142" s="1"/>
      <c r="ALM142" s="1"/>
      <c r="ALN142" s="1"/>
      <c r="ALO142" s="1"/>
      <c r="ALP142" s="1"/>
      <c r="ALQ142" s="1"/>
      <c r="ALR142" s="1"/>
      <c r="ALS142" s="1"/>
      <c r="ALT142" s="1"/>
      <c r="ALU142" s="1"/>
      <c r="ALV142" s="1"/>
      <c r="ALW142" s="1"/>
      <c r="ALX142" s="1"/>
      <c r="ALY142" s="1"/>
      <c r="ALZ142" s="1"/>
      <c r="AMA142" s="1"/>
      <c r="AMB142" s="1"/>
      <c r="AMC142" s="1"/>
      <c r="AMD142" s="1"/>
      <c r="AME142" s="1"/>
      <c r="AMF142" s="1"/>
      <c r="AMG142" s="1"/>
      <c r="AMH142" s="1"/>
      <c r="AMI142" s="1"/>
      <c r="AMJ142" s="1"/>
    </row>
    <row r="143" s="193" customFormat="true" ht="10.5" hidden="false" customHeight="true" outlineLevel="0" collapsed="false">
      <c r="A143" s="78" t="s">
        <v>261</v>
      </c>
      <c r="B143" s="78"/>
      <c r="C143" s="78"/>
      <c r="D143" s="78"/>
      <c r="E143" s="78"/>
      <c r="F143" s="78"/>
      <c r="G143" s="78"/>
      <c r="H143" s="78"/>
      <c r="I143" s="78"/>
      <c r="J143" s="191"/>
      <c r="K143" s="191"/>
      <c r="L143" s="191"/>
      <c r="M143" s="79" t="s">
        <v>258</v>
      </c>
      <c r="N143" s="79"/>
      <c r="O143" s="79"/>
      <c r="P143" s="192" t="str">
        <f aca="false">IFERROR(P142/J143, "-")</f>
        <v>-</v>
      </c>
      <c r="Q143" s="192"/>
      <c r="R143" s="192"/>
      <c r="S143" s="181"/>
      <c r="T143" s="78" t="s">
        <v>261</v>
      </c>
      <c r="U143" s="78"/>
      <c r="V143" s="78"/>
      <c r="W143" s="78"/>
      <c r="X143" s="78"/>
      <c r="Y143" s="78"/>
      <c r="Z143" s="78"/>
      <c r="AA143" s="78"/>
      <c r="AB143" s="78"/>
      <c r="AC143" s="78"/>
      <c r="AD143" s="78"/>
      <c r="AE143" s="191"/>
      <c r="AF143" s="191"/>
      <c r="AG143" s="191"/>
      <c r="AH143" s="79" t="s">
        <v>258</v>
      </c>
      <c r="AI143" s="79"/>
      <c r="AJ143" s="79"/>
      <c r="AK143" s="79"/>
      <c r="AL143" s="186" t="str">
        <f aca="false">IFERROR(AL142/AE143,"-")</f>
        <v>-</v>
      </c>
      <c r="AM143" s="186"/>
      <c r="AN143" s="186"/>
      <c r="AO143" s="186"/>
      <c r="AP143" s="10"/>
      <c r="AQ143" s="10"/>
      <c r="AR143" s="10"/>
      <c r="AS143" s="10"/>
      <c r="AT143" s="10"/>
      <c r="AU143" s="10"/>
      <c r="AV143" s="10"/>
      <c r="AW143" s="10"/>
      <c r="AX143" s="10"/>
      <c r="AY143" s="10"/>
      <c r="AZ143" s="10"/>
      <c r="BA143" s="10"/>
      <c r="BB143" s="10"/>
      <c r="BC143" s="10"/>
    </row>
    <row r="144" s="193" customFormat="true" ht="10.5" hidden="false" customHeight="true" outlineLevel="0" collapsed="false">
      <c r="A144" s="97" t="s">
        <v>262</v>
      </c>
      <c r="B144" s="97"/>
      <c r="C144" s="97"/>
      <c r="D144" s="97"/>
      <c r="E144" s="97"/>
      <c r="F144" s="97"/>
      <c r="G144" s="97"/>
      <c r="H144" s="97"/>
      <c r="I144" s="97"/>
      <c r="J144" s="191"/>
      <c r="K144" s="191"/>
      <c r="L144" s="191"/>
      <c r="M144" s="79" t="s">
        <v>263</v>
      </c>
      <c r="N144" s="79"/>
      <c r="O144" s="79"/>
      <c r="P144" s="194"/>
      <c r="Q144" s="194"/>
      <c r="R144" s="194"/>
      <c r="S144" s="181"/>
      <c r="T144" s="78" t="s">
        <v>262</v>
      </c>
      <c r="U144" s="78"/>
      <c r="V144" s="78"/>
      <c r="W144" s="78"/>
      <c r="X144" s="78"/>
      <c r="Y144" s="78"/>
      <c r="Z144" s="78"/>
      <c r="AA144" s="78"/>
      <c r="AB144" s="78"/>
      <c r="AC144" s="78"/>
      <c r="AD144" s="78"/>
      <c r="AE144" s="191"/>
      <c r="AF144" s="191"/>
      <c r="AG144" s="191"/>
      <c r="AH144" s="79" t="s">
        <v>263</v>
      </c>
      <c r="AI144" s="79"/>
      <c r="AJ144" s="79"/>
      <c r="AK144" s="79"/>
      <c r="AL144" s="195"/>
      <c r="AM144" s="195"/>
      <c r="AN144" s="195"/>
      <c r="AO144" s="195"/>
      <c r="AP144" s="10"/>
      <c r="AQ144" s="10"/>
      <c r="AR144" s="10"/>
      <c r="AS144" s="10"/>
      <c r="AT144" s="10"/>
      <c r="AU144" s="10"/>
      <c r="AV144" s="10"/>
      <c r="AW144" s="10"/>
      <c r="AX144" s="10"/>
      <c r="AY144" s="10"/>
      <c r="AZ144" s="10"/>
      <c r="BA144" s="10"/>
      <c r="BB144" s="10"/>
      <c r="BC144" s="10"/>
    </row>
    <row r="145" s="193" customFormat="true" ht="2.25" hidden="false" customHeight="true" outlineLevel="0" collapsed="false">
      <c r="A145" s="33"/>
      <c r="B145" s="10"/>
      <c r="C145" s="10"/>
      <c r="D145" s="10"/>
      <c r="E145" s="196"/>
      <c r="F145" s="196"/>
      <c r="G145" s="196"/>
      <c r="H145" s="10"/>
      <c r="I145" s="197"/>
      <c r="J145" s="196"/>
      <c r="K145" s="196"/>
      <c r="L145" s="196"/>
      <c r="M145" s="197"/>
      <c r="N145" s="197"/>
      <c r="O145" s="198"/>
      <c r="P145" s="199"/>
      <c r="Q145" s="199"/>
      <c r="R145" s="199"/>
      <c r="S145" s="181"/>
      <c r="T145" s="10"/>
      <c r="U145" s="10"/>
      <c r="V145" s="10"/>
      <c r="W145" s="10"/>
      <c r="X145" s="10"/>
      <c r="Y145" s="10"/>
      <c r="Z145" s="10"/>
      <c r="AA145" s="10"/>
      <c r="AB145" s="10"/>
      <c r="AC145" s="10"/>
      <c r="AD145" s="10"/>
      <c r="AE145" s="10"/>
      <c r="AF145" s="10"/>
      <c r="AG145" s="10"/>
      <c r="AH145" s="10"/>
      <c r="AI145" s="10"/>
      <c r="AJ145" s="10"/>
      <c r="AK145" s="10"/>
      <c r="AL145" s="199"/>
      <c r="AM145" s="199"/>
      <c r="AN145" s="199"/>
      <c r="AO145" s="199"/>
      <c r="AP145" s="10"/>
      <c r="AQ145" s="10"/>
      <c r="AR145" s="10"/>
      <c r="AS145" s="10"/>
      <c r="AT145" s="10"/>
      <c r="AU145" s="10"/>
      <c r="AV145" s="10"/>
      <c r="AW145" s="10"/>
      <c r="AX145" s="10"/>
      <c r="AY145" s="10"/>
      <c r="AZ145" s="10"/>
      <c r="BA145" s="10"/>
      <c r="BB145" s="10"/>
      <c r="BC145" s="10"/>
    </row>
    <row r="146" s="193" customFormat="true" ht="10.5" hidden="false" customHeight="true" outlineLevel="0" collapsed="false">
      <c r="A146" s="200"/>
      <c r="B146" s="201" t="s">
        <v>264</v>
      </c>
      <c r="C146" s="201"/>
      <c r="D146" s="201"/>
      <c r="E146" s="202" t="n">
        <f aca="false">J144*P144</f>
        <v>0</v>
      </c>
      <c r="F146" s="202"/>
      <c r="G146" s="202"/>
      <c r="H146" s="203" t="s">
        <v>265</v>
      </c>
      <c r="I146" s="203"/>
      <c r="J146" s="202" t="str">
        <f aca="false">IFERROR(J143*P143, "-")</f>
        <v>-</v>
      </c>
      <c r="K146" s="202"/>
      <c r="L146" s="202"/>
      <c r="M146" s="204" t="s">
        <v>266</v>
      </c>
      <c r="N146" s="204"/>
      <c r="O146" s="204"/>
      <c r="P146" s="205" t="str">
        <f aca="false">IFERROR(E146-J146,"-")</f>
        <v>-</v>
      </c>
      <c r="Q146" s="205"/>
      <c r="R146" s="205"/>
      <c r="S146" s="181"/>
      <c r="T146" s="206"/>
      <c r="U146" s="206"/>
      <c r="V146" s="206"/>
      <c r="W146" s="201" t="s">
        <v>264</v>
      </c>
      <c r="X146" s="201"/>
      <c r="Y146" s="201"/>
      <c r="Z146" s="202" t="n">
        <f aca="false">AE144*AL144</f>
        <v>0</v>
      </c>
      <c r="AA146" s="202"/>
      <c r="AB146" s="202"/>
      <c r="AC146" s="203" t="s">
        <v>265</v>
      </c>
      <c r="AD146" s="203"/>
      <c r="AE146" s="202" t="str">
        <f aca="false">IFERROR(AE143*AL143, "-")</f>
        <v>-</v>
      </c>
      <c r="AF146" s="202"/>
      <c r="AG146" s="202"/>
      <c r="AH146" s="204" t="s">
        <v>266</v>
      </c>
      <c r="AI146" s="204"/>
      <c r="AJ146" s="204"/>
      <c r="AK146" s="204"/>
      <c r="AL146" s="205" t="str">
        <f aca="false">IFERROR(Z146-AE146, "-")</f>
        <v>-</v>
      </c>
      <c r="AM146" s="205"/>
      <c r="AN146" s="205"/>
      <c r="AO146" s="205"/>
      <c r="AP146" s="10"/>
      <c r="AQ146" s="10"/>
      <c r="AR146" s="10"/>
      <c r="AS146" s="10"/>
      <c r="AT146" s="10"/>
      <c r="AU146" s="10"/>
      <c r="AV146" s="10"/>
      <c r="AW146" s="10"/>
      <c r="AX146" s="10"/>
      <c r="AY146" s="10"/>
      <c r="AZ146" s="10"/>
      <c r="BA146" s="10"/>
      <c r="BB146" s="10"/>
      <c r="BC146" s="10"/>
    </row>
    <row r="147" customFormat="false" ht="10.5" hidden="false" customHeight="true" outlineLevel="0" collapsed="false">
      <c r="A147" s="45"/>
      <c r="B147" s="128"/>
      <c r="C147" s="128"/>
      <c r="D147" s="128"/>
      <c r="E147" s="207"/>
      <c r="F147" s="207"/>
      <c r="G147" s="207"/>
      <c r="H147" s="128"/>
      <c r="I147" s="128"/>
      <c r="J147" s="207"/>
      <c r="K147" s="207"/>
      <c r="L147" s="207"/>
      <c r="M147" s="128"/>
      <c r="N147" s="128"/>
      <c r="O147" s="128"/>
      <c r="P147" s="207"/>
      <c r="Q147" s="206"/>
      <c r="R147" s="206"/>
      <c r="S147" s="206"/>
      <c r="T147" s="46"/>
      <c r="U147" s="46"/>
      <c r="V147" s="128"/>
      <c r="W147" s="128"/>
      <c r="X147" s="128"/>
      <c r="Y147" s="207"/>
      <c r="Z147" s="207"/>
      <c r="AA147" s="207"/>
      <c r="AB147" s="128"/>
      <c r="AC147" s="128"/>
      <c r="AD147" s="207"/>
      <c r="AE147" s="207"/>
      <c r="AF147" s="207"/>
      <c r="AG147" s="128"/>
      <c r="AH147" s="128"/>
      <c r="AI147" s="128"/>
      <c r="AJ147" s="207"/>
      <c r="AK147" s="206"/>
      <c r="AL147" s="206"/>
      <c r="AM147" s="206"/>
      <c r="AN147" s="206"/>
      <c r="AO147" s="208"/>
      <c r="BE147" s="1"/>
      <c r="BF147" s="1"/>
      <c r="BG147" s="1"/>
      <c r="BH147" s="1"/>
      <c r="BI147" s="1"/>
      <c r="BJ147" s="1"/>
      <c r="BK147" s="1"/>
      <c r="BL147" s="1"/>
      <c r="BM147" s="1"/>
      <c r="BN147" s="1"/>
      <c r="BO147" s="1"/>
      <c r="BP147" s="1"/>
      <c r="BQ147" s="1"/>
      <c r="BR147" s="1"/>
      <c r="BS147" s="1"/>
      <c r="BT147" s="1"/>
      <c r="BU147" s="1"/>
      <c r="BV147" s="1"/>
      <c r="BW147" s="1"/>
      <c r="BX147" s="1"/>
      <c r="BY147" s="1"/>
      <c r="BZ147" s="1"/>
      <c r="CA147" s="1"/>
      <c r="CB147" s="1"/>
      <c r="CC147" s="1"/>
      <c r="CD147" s="1"/>
      <c r="CE147" s="1"/>
      <c r="CF147" s="1"/>
      <c r="CG147" s="1"/>
      <c r="CH147" s="1"/>
      <c r="CI147" s="1"/>
      <c r="CJ147" s="1"/>
      <c r="CK147" s="1"/>
      <c r="CL147" s="1"/>
      <c r="CM147" s="1"/>
      <c r="CN147" s="1"/>
      <c r="CO147" s="1"/>
      <c r="CP147" s="1"/>
      <c r="CQ147" s="1"/>
      <c r="CR147" s="1"/>
      <c r="CS147" s="1"/>
      <c r="CT147" s="1"/>
      <c r="CU147" s="1"/>
      <c r="CV147" s="1"/>
      <c r="CW147" s="1"/>
      <c r="CX147" s="1"/>
      <c r="CY147" s="1"/>
      <c r="CZ147" s="1"/>
      <c r="DA147" s="1"/>
      <c r="DB147" s="1"/>
      <c r="DC147" s="1"/>
      <c r="DD147" s="1"/>
      <c r="DE147" s="1"/>
      <c r="DF147" s="1"/>
      <c r="DG147" s="1"/>
      <c r="DH147" s="1"/>
      <c r="DI147" s="1"/>
      <c r="DJ147" s="1"/>
      <c r="DK147" s="1"/>
      <c r="DL147" s="1"/>
      <c r="DM147" s="1"/>
      <c r="DN147" s="1"/>
      <c r="DO147" s="1"/>
      <c r="DP147" s="1"/>
      <c r="DQ147" s="1"/>
      <c r="DR147" s="1"/>
      <c r="DS147" s="1"/>
      <c r="DT147" s="1"/>
      <c r="DU147" s="1"/>
      <c r="DV147" s="1"/>
      <c r="DW147" s="1"/>
      <c r="DX147" s="1"/>
      <c r="DY147" s="1"/>
      <c r="DZ147" s="1"/>
      <c r="EA147" s="1"/>
      <c r="EB147" s="1"/>
      <c r="EC147" s="1"/>
      <c r="ED147" s="1"/>
      <c r="EE147" s="1"/>
      <c r="EF147" s="1"/>
      <c r="EG147" s="1"/>
      <c r="EH147" s="1"/>
      <c r="EI147" s="1"/>
      <c r="EJ147" s="1"/>
      <c r="EK147" s="1"/>
      <c r="EL147" s="1"/>
      <c r="EM147" s="1"/>
      <c r="EN147" s="1"/>
      <c r="EO147" s="1"/>
      <c r="EP147" s="1"/>
      <c r="EQ147" s="1"/>
      <c r="ER147" s="1"/>
      <c r="ES147" s="1"/>
      <c r="ET147" s="1"/>
      <c r="EU147" s="1"/>
      <c r="EV147" s="1"/>
      <c r="EW147" s="1"/>
      <c r="EX147" s="1"/>
      <c r="EY147" s="1"/>
      <c r="EZ147" s="1"/>
      <c r="FA147" s="1"/>
      <c r="FB147" s="1"/>
      <c r="FC147" s="1"/>
      <c r="FD147" s="1"/>
      <c r="FE147" s="1"/>
      <c r="FF147" s="1"/>
      <c r="FG147" s="1"/>
      <c r="FH147" s="1"/>
      <c r="FI147" s="1"/>
      <c r="FJ147" s="1"/>
      <c r="FK147" s="1"/>
      <c r="FL147" s="1"/>
      <c r="FM147" s="1"/>
      <c r="FN147" s="1"/>
      <c r="FO147" s="1"/>
      <c r="FP147" s="1"/>
      <c r="FQ147" s="1"/>
      <c r="FR147" s="1"/>
      <c r="FS147" s="1"/>
      <c r="FT147" s="1"/>
      <c r="FU147" s="1"/>
      <c r="FV147" s="1"/>
      <c r="FW147" s="1"/>
      <c r="FX147" s="1"/>
      <c r="FY147" s="1"/>
      <c r="FZ147" s="1"/>
      <c r="GA147" s="1"/>
      <c r="GB147" s="1"/>
      <c r="GC147" s="1"/>
      <c r="GD147" s="1"/>
      <c r="GE147" s="1"/>
      <c r="GF147" s="1"/>
      <c r="GG147" s="1"/>
      <c r="GH147" s="1"/>
      <c r="GI147" s="1"/>
      <c r="GJ147" s="1"/>
      <c r="GK147" s="1"/>
      <c r="GL147" s="1"/>
      <c r="GM147" s="1"/>
      <c r="GN147" s="1"/>
      <c r="GO147" s="1"/>
      <c r="GP147" s="1"/>
      <c r="GQ147" s="1"/>
      <c r="GR147" s="1"/>
      <c r="GS147" s="1"/>
      <c r="GT147" s="1"/>
      <c r="GU147" s="1"/>
      <c r="GV147" s="1"/>
      <c r="GW147" s="1"/>
      <c r="GX147" s="1"/>
      <c r="GY147" s="1"/>
      <c r="GZ147" s="1"/>
      <c r="HA147" s="1"/>
      <c r="HB147" s="1"/>
      <c r="HC147" s="1"/>
      <c r="HD147" s="1"/>
      <c r="HE147" s="1"/>
      <c r="HF147" s="1"/>
      <c r="HG147" s="1"/>
      <c r="HH147" s="1"/>
      <c r="HI147" s="1"/>
      <c r="HJ147" s="1"/>
      <c r="HK147" s="1"/>
      <c r="HL147" s="1"/>
      <c r="HM147" s="1"/>
      <c r="HN147" s="1"/>
      <c r="HO147" s="1"/>
      <c r="HP147" s="1"/>
      <c r="HQ147" s="1"/>
      <c r="HR147" s="1"/>
      <c r="HS147" s="1"/>
      <c r="HT147" s="1"/>
      <c r="HU147" s="1"/>
      <c r="HV147" s="1"/>
      <c r="HW147" s="1"/>
      <c r="HX147" s="1"/>
      <c r="HY147" s="1"/>
      <c r="HZ147" s="1"/>
      <c r="IA147" s="1"/>
      <c r="IB147" s="1"/>
      <c r="IC147" s="1"/>
      <c r="ID147" s="1"/>
      <c r="IE147" s="1"/>
      <c r="IF147" s="1"/>
      <c r="IG147" s="1"/>
      <c r="IH147" s="1"/>
      <c r="II147" s="1"/>
      <c r="IJ147" s="1"/>
      <c r="IK147" s="1"/>
      <c r="IL147" s="1"/>
      <c r="IM147" s="1"/>
      <c r="IN147" s="1"/>
      <c r="IO147" s="1"/>
      <c r="IP147" s="1"/>
      <c r="IQ147" s="1"/>
      <c r="IR147" s="1"/>
      <c r="IS147" s="1"/>
      <c r="IT147" s="1"/>
      <c r="IU147" s="1"/>
      <c r="IV147" s="1"/>
      <c r="IW147" s="1"/>
      <c r="IX147" s="1"/>
      <c r="IY147" s="1"/>
      <c r="IZ147" s="1"/>
      <c r="JA147" s="1"/>
      <c r="JB147" s="1"/>
      <c r="JC147" s="1"/>
      <c r="JD147" s="1"/>
      <c r="JE147" s="1"/>
      <c r="JF147" s="1"/>
      <c r="JG147" s="1"/>
      <c r="JH147" s="1"/>
      <c r="JI147" s="1"/>
      <c r="JJ147" s="1"/>
      <c r="JK147" s="1"/>
      <c r="JL147" s="1"/>
      <c r="JM147" s="1"/>
      <c r="JN147" s="1"/>
      <c r="JO147" s="1"/>
      <c r="JP147" s="1"/>
      <c r="JQ147" s="1"/>
      <c r="JR147" s="1"/>
      <c r="JS147" s="1"/>
      <c r="JT147" s="1"/>
      <c r="JU147" s="1"/>
      <c r="JV147" s="1"/>
      <c r="JW147" s="1"/>
      <c r="JX147" s="1"/>
      <c r="JY147" s="1"/>
      <c r="JZ147" s="1"/>
      <c r="KA147" s="1"/>
      <c r="KB147" s="1"/>
      <c r="KC147" s="1"/>
      <c r="KD147" s="1"/>
      <c r="KE147" s="1"/>
      <c r="KF147" s="1"/>
      <c r="KG147" s="1"/>
      <c r="KH147" s="1"/>
      <c r="KI147" s="1"/>
      <c r="KJ147" s="1"/>
      <c r="KK147" s="1"/>
      <c r="KL147" s="1"/>
      <c r="KM147" s="1"/>
      <c r="KN147" s="1"/>
      <c r="KO147" s="1"/>
      <c r="KP147" s="1"/>
      <c r="KQ147" s="1"/>
      <c r="KR147" s="1"/>
      <c r="KS147" s="1"/>
      <c r="KT147" s="1"/>
      <c r="KU147" s="1"/>
      <c r="KV147" s="1"/>
      <c r="KW147" s="1"/>
      <c r="KX147" s="1"/>
      <c r="KY147" s="1"/>
      <c r="KZ147" s="1"/>
      <c r="LA147" s="1"/>
      <c r="LB147" s="1"/>
      <c r="LC147" s="1"/>
      <c r="LD147" s="1"/>
      <c r="LE147" s="1"/>
      <c r="LF147" s="1"/>
      <c r="LG147" s="1"/>
      <c r="LH147" s="1"/>
      <c r="LI147" s="1"/>
      <c r="LJ147" s="1"/>
      <c r="LK147" s="1"/>
      <c r="LL147" s="1"/>
      <c r="LM147" s="1"/>
      <c r="LN147" s="1"/>
      <c r="LO147" s="1"/>
      <c r="LP147" s="1"/>
      <c r="LQ147" s="1"/>
      <c r="LR147" s="1"/>
      <c r="LS147" s="1"/>
      <c r="LT147" s="1"/>
      <c r="LU147" s="1"/>
      <c r="LV147" s="1"/>
      <c r="LW147" s="1"/>
      <c r="LX147" s="1"/>
      <c r="LY147" s="1"/>
      <c r="LZ147" s="1"/>
      <c r="MA147" s="1"/>
      <c r="MB147" s="1"/>
      <c r="MC147" s="1"/>
      <c r="MD147" s="1"/>
      <c r="ME147" s="1"/>
      <c r="MF147" s="1"/>
      <c r="MG147" s="1"/>
      <c r="MH147" s="1"/>
      <c r="MI147" s="1"/>
      <c r="MJ147" s="1"/>
      <c r="MK147" s="1"/>
      <c r="ML147" s="1"/>
      <c r="MM147" s="1"/>
      <c r="MN147" s="1"/>
      <c r="MO147" s="1"/>
      <c r="MP147" s="1"/>
      <c r="MQ147" s="1"/>
      <c r="MR147" s="1"/>
      <c r="MS147" s="1"/>
      <c r="MT147" s="1"/>
      <c r="MU147" s="1"/>
      <c r="MV147" s="1"/>
      <c r="MW147" s="1"/>
      <c r="MX147" s="1"/>
      <c r="MY147" s="1"/>
      <c r="MZ147" s="1"/>
      <c r="NA147" s="1"/>
      <c r="NB147" s="1"/>
      <c r="NC147" s="1"/>
      <c r="ND147" s="1"/>
      <c r="NE147" s="1"/>
      <c r="NF147" s="1"/>
      <c r="NG147" s="1"/>
      <c r="NH147" s="1"/>
      <c r="NI147" s="1"/>
      <c r="NJ147" s="1"/>
      <c r="NK147" s="1"/>
      <c r="NL147" s="1"/>
      <c r="NM147" s="1"/>
      <c r="NN147" s="1"/>
      <c r="NO147" s="1"/>
      <c r="NP147" s="1"/>
      <c r="NQ147" s="1"/>
      <c r="NR147" s="1"/>
      <c r="NS147" s="1"/>
      <c r="NT147" s="1"/>
      <c r="NU147" s="1"/>
      <c r="NV147" s="1"/>
      <c r="NW147" s="1"/>
      <c r="NX147" s="1"/>
      <c r="NY147" s="1"/>
      <c r="NZ147" s="1"/>
      <c r="OA147" s="1"/>
      <c r="OB147" s="1"/>
      <c r="OC147" s="1"/>
      <c r="OD147" s="1"/>
      <c r="OE147" s="1"/>
      <c r="OF147" s="1"/>
      <c r="OG147" s="1"/>
      <c r="OH147" s="1"/>
      <c r="OI147" s="1"/>
      <c r="OJ147" s="1"/>
      <c r="OK147" s="1"/>
      <c r="OL147" s="1"/>
      <c r="OM147" s="1"/>
      <c r="ON147" s="1"/>
      <c r="OO147" s="1"/>
      <c r="OP147" s="1"/>
      <c r="OQ147" s="1"/>
      <c r="OR147" s="1"/>
      <c r="OS147" s="1"/>
      <c r="OT147" s="1"/>
      <c r="OU147" s="1"/>
      <c r="OV147" s="1"/>
      <c r="OW147" s="1"/>
      <c r="OX147" s="1"/>
      <c r="OY147" s="1"/>
      <c r="OZ147" s="1"/>
      <c r="PA147" s="1"/>
      <c r="PB147" s="1"/>
      <c r="PC147" s="1"/>
      <c r="PD147" s="1"/>
      <c r="PE147" s="1"/>
      <c r="PF147" s="1"/>
      <c r="PG147" s="1"/>
      <c r="PH147" s="1"/>
      <c r="PI147" s="1"/>
      <c r="PJ147" s="1"/>
      <c r="PK147" s="1"/>
      <c r="PL147" s="1"/>
      <c r="PM147" s="1"/>
      <c r="PN147" s="1"/>
      <c r="PO147" s="1"/>
      <c r="PP147" s="1"/>
      <c r="PQ147" s="1"/>
      <c r="PR147" s="1"/>
      <c r="PS147" s="1"/>
      <c r="PT147" s="1"/>
      <c r="PU147" s="1"/>
      <c r="PV147" s="1"/>
      <c r="PW147" s="1"/>
      <c r="PX147" s="1"/>
      <c r="PY147" s="1"/>
      <c r="PZ147" s="1"/>
      <c r="QA147" s="1"/>
      <c r="QB147" s="1"/>
      <c r="QC147" s="1"/>
      <c r="QD147" s="1"/>
      <c r="QE147" s="1"/>
      <c r="QF147" s="1"/>
      <c r="QG147" s="1"/>
      <c r="QH147" s="1"/>
      <c r="QI147" s="1"/>
      <c r="QJ147" s="1"/>
      <c r="QK147" s="1"/>
      <c r="QL147" s="1"/>
      <c r="QM147" s="1"/>
      <c r="QN147" s="1"/>
      <c r="QO147" s="1"/>
      <c r="QP147" s="1"/>
      <c r="QQ147" s="1"/>
      <c r="QR147" s="1"/>
      <c r="QS147" s="1"/>
      <c r="QT147" s="1"/>
      <c r="QU147" s="1"/>
      <c r="QV147" s="1"/>
      <c r="QW147" s="1"/>
      <c r="QX147" s="1"/>
      <c r="QY147" s="1"/>
      <c r="QZ147" s="1"/>
      <c r="RA147" s="1"/>
      <c r="RB147" s="1"/>
      <c r="RC147" s="1"/>
      <c r="RD147" s="1"/>
      <c r="RE147" s="1"/>
      <c r="RF147" s="1"/>
      <c r="RG147" s="1"/>
      <c r="RH147" s="1"/>
      <c r="RI147" s="1"/>
      <c r="RJ147" s="1"/>
      <c r="RK147" s="1"/>
      <c r="RL147" s="1"/>
      <c r="RM147" s="1"/>
      <c r="RN147" s="1"/>
      <c r="RO147" s="1"/>
      <c r="RP147" s="1"/>
      <c r="RQ147" s="1"/>
      <c r="RR147" s="1"/>
      <c r="RS147" s="1"/>
      <c r="RT147" s="1"/>
      <c r="RU147" s="1"/>
      <c r="RV147" s="1"/>
      <c r="RW147" s="1"/>
      <c r="RX147" s="1"/>
      <c r="RY147" s="1"/>
      <c r="RZ147" s="1"/>
      <c r="SA147" s="1"/>
      <c r="SB147" s="1"/>
      <c r="SC147" s="1"/>
      <c r="SD147" s="1"/>
      <c r="SE147" s="1"/>
      <c r="SF147" s="1"/>
      <c r="SG147" s="1"/>
      <c r="SH147" s="1"/>
      <c r="SI147" s="1"/>
      <c r="SJ147" s="1"/>
      <c r="SK147" s="1"/>
      <c r="SL147" s="1"/>
      <c r="SM147" s="1"/>
      <c r="SN147" s="1"/>
      <c r="SO147" s="1"/>
      <c r="SP147" s="1"/>
      <c r="SQ147" s="1"/>
      <c r="SR147" s="1"/>
      <c r="SS147" s="1"/>
      <c r="ST147" s="1"/>
      <c r="SU147" s="1"/>
      <c r="SV147" s="1"/>
      <c r="SW147" s="1"/>
      <c r="SX147" s="1"/>
      <c r="SY147" s="1"/>
      <c r="SZ147" s="1"/>
      <c r="TA147" s="1"/>
      <c r="TB147" s="1"/>
      <c r="TC147" s="1"/>
      <c r="TD147" s="1"/>
      <c r="TE147" s="1"/>
      <c r="TF147" s="1"/>
      <c r="TG147" s="1"/>
      <c r="TH147" s="1"/>
      <c r="TI147" s="1"/>
      <c r="TJ147" s="1"/>
      <c r="TK147" s="1"/>
      <c r="TL147" s="1"/>
      <c r="TM147" s="1"/>
      <c r="TN147" s="1"/>
      <c r="TO147" s="1"/>
      <c r="TP147" s="1"/>
      <c r="TQ147" s="1"/>
      <c r="TR147" s="1"/>
      <c r="TS147" s="1"/>
      <c r="TT147" s="1"/>
      <c r="TU147" s="1"/>
      <c r="TV147" s="1"/>
      <c r="TW147" s="1"/>
      <c r="TX147" s="1"/>
      <c r="TY147" s="1"/>
      <c r="TZ147" s="1"/>
      <c r="UA147" s="1"/>
      <c r="UB147" s="1"/>
      <c r="UC147" s="1"/>
      <c r="UD147" s="1"/>
      <c r="UE147" s="1"/>
      <c r="UF147" s="1"/>
      <c r="UG147" s="1"/>
      <c r="UH147" s="1"/>
      <c r="UI147" s="1"/>
      <c r="UJ147" s="1"/>
      <c r="UK147" s="1"/>
      <c r="UL147" s="1"/>
      <c r="UM147" s="1"/>
      <c r="UN147" s="1"/>
      <c r="UO147" s="1"/>
      <c r="UP147" s="1"/>
      <c r="UQ147" s="1"/>
      <c r="UR147" s="1"/>
      <c r="US147" s="1"/>
      <c r="UT147" s="1"/>
      <c r="UU147" s="1"/>
      <c r="UV147" s="1"/>
      <c r="UW147" s="1"/>
      <c r="UX147" s="1"/>
      <c r="UY147" s="1"/>
      <c r="UZ147" s="1"/>
      <c r="VA147" s="1"/>
      <c r="VB147" s="1"/>
      <c r="VC147" s="1"/>
      <c r="VD147" s="1"/>
      <c r="VE147" s="1"/>
      <c r="VF147" s="1"/>
      <c r="VG147" s="1"/>
      <c r="VH147" s="1"/>
      <c r="VI147" s="1"/>
      <c r="VJ147" s="1"/>
      <c r="VK147" s="1"/>
      <c r="VL147" s="1"/>
      <c r="VM147" s="1"/>
      <c r="VN147" s="1"/>
      <c r="VO147" s="1"/>
      <c r="VP147" s="1"/>
      <c r="VQ147" s="1"/>
      <c r="VR147" s="1"/>
      <c r="VS147" s="1"/>
      <c r="VT147" s="1"/>
      <c r="VU147" s="1"/>
      <c r="VV147" s="1"/>
      <c r="VW147" s="1"/>
      <c r="VX147" s="1"/>
      <c r="VY147" s="1"/>
      <c r="VZ147" s="1"/>
      <c r="WA147" s="1"/>
      <c r="WB147" s="1"/>
      <c r="WC147" s="1"/>
      <c r="WD147" s="1"/>
      <c r="WE147" s="1"/>
      <c r="WF147" s="1"/>
      <c r="WG147" s="1"/>
      <c r="WH147" s="1"/>
      <c r="WI147" s="1"/>
      <c r="WJ147" s="1"/>
      <c r="WK147" s="1"/>
      <c r="WL147" s="1"/>
      <c r="WM147" s="1"/>
      <c r="WN147" s="1"/>
      <c r="WO147" s="1"/>
      <c r="WP147" s="1"/>
      <c r="WQ147" s="1"/>
      <c r="WR147" s="1"/>
      <c r="WS147" s="1"/>
      <c r="WT147" s="1"/>
      <c r="WU147" s="1"/>
      <c r="WV147" s="1"/>
      <c r="WW147" s="1"/>
      <c r="WX147" s="1"/>
      <c r="WY147" s="1"/>
      <c r="WZ147" s="1"/>
      <c r="XA147" s="1"/>
      <c r="XB147" s="1"/>
      <c r="XC147" s="1"/>
      <c r="XD147" s="1"/>
      <c r="XE147" s="1"/>
      <c r="XF147" s="1"/>
      <c r="XG147" s="1"/>
      <c r="XH147" s="1"/>
      <c r="XI147" s="1"/>
      <c r="XJ147" s="1"/>
      <c r="XK147" s="1"/>
      <c r="XL147" s="1"/>
      <c r="XM147" s="1"/>
      <c r="XN147" s="1"/>
      <c r="XO147" s="1"/>
      <c r="XP147" s="1"/>
      <c r="XQ147" s="1"/>
      <c r="XR147" s="1"/>
      <c r="XS147" s="1"/>
      <c r="XT147" s="1"/>
      <c r="XU147" s="1"/>
      <c r="XV147" s="1"/>
      <c r="XW147" s="1"/>
      <c r="XX147" s="1"/>
      <c r="XY147" s="1"/>
      <c r="XZ147" s="1"/>
      <c r="YA147" s="1"/>
      <c r="YB147" s="1"/>
      <c r="YC147" s="1"/>
      <c r="YD147" s="1"/>
      <c r="YE147" s="1"/>
      <c r="YF147" s="1"/>
      <c r="YG147" s="1"/>
      <c r="YH147" s="1"/>
      <c r="YI147" s="1"/>
      <c r="YJ147" s="1"/>
      <c r="YK147" s="1"/>
      <c r="YL147" s="1"/>
      <c r="YM147" s="1"/>
      <c r="YN147" s="1"/>
      <c r="YO147" s="1"/>
      <c r="YP147" s="1"/>
      <c r="YQ147" s="1"/>
      <c r="YR147" s="1"/>
      <c r="YS147" s="1"/>
      <c r="YT147" s="1"/>
      <c r="YU147" s="1"/>
      <c r="YV147" s="1"/>
      <c r="YW147" s="1"/>
      <c r="YX147" s="1"/>
      <c r="YY147" s="1"/>
      <c r="YZ147" s="1"/>
      <c r="ZA147" s="1"/>
      <c r="ZB147" s="1"/>
      <c r="ZC147" s="1"/>
      <c r="ZD147" s="1"/>
      <c r="ZE147" s="1"/>
      <c r="ZF147" s="1"/>
      <c r="ZG147" s="1"/>
      <c r="ZH147" s="1"/>
      <c r="ZI147" s="1"/>
      <c r="ZJ147" s="1"/>
      <c r="ZK147" s="1"/>
      <c r="ZL147" s="1"/>
      <c r="ZM147" s="1"/>
      <c r="ZN147" s="1"/>
      <c r="ZO147" s="1"/>
      <c r="ZP147" s="1"/>
      <c r="ZQ147" s="1"/>
      <c r="ZR147" s="1"/>
      <c r="ZS147" s="1"/>
      <c r="ZT147" s="1"/>
      <c r="ZU147" s="1"/>
      <c r="ZV147" s="1"/>
      <c r="ZW147" s="1"/>
      <c r="ZX147" s="1"/>
      <c r="ZY147" s="1"/>
      <c r="ZZ147" s="1"/>
      <c r="AAA147" s="1"/>
      <c r="AAB147" s="1"/>
      <c r="AAC147" s="1"/>
      <c r="AAD147" s="1"/>
      <c r="AAE147" s="1"/>
      <c r="AAF147" s="1"/>
      <c r="AAG147" s="1"/>
      <c r="AAH147" s="1"/>
      <c r="AAI147" s="1"/>
      <c r="AAJ147" s="1"/>
      <c r="AAK147" s="1"/>
      <c r="AAL147" s="1"/>
      <c r="AAM147" s="1"/>
      <c r="AAN147" s="1"/>
      <c r="AAO147" s="1"/>
      <c r="AAP147" s="1"/>
      <c r="AAQ147" s="1"/>
      <c r="AAR147" s="1"/>
      <c r="AAS147" s="1"/>
      <c r="AAT147" s="1"/>
      <c r="AAU147" s="1"/>
      <c r="AAV147" s="1"/>
      <c r="AAW147" s="1"/>
      <c r="AAX147" s="1"/>
      <c r="AAY147" s="1"/>
      <c r="AAZ147" s="1"/>
      <c r="ABA147" s="1"/>
      <c r="ABB147" s="1"/>
      <c r="ABC147" s="1"/>
      <c r="ABD147" s="1"/>
      <c r="ABE147" s="1"/>
      <c r="ABF147" s="1"/>
      <c r="ABG147" s="1"/>
      <c r="ABH147" s="1"/>
      <c r="ABI147" s="1"/>
      <c r="ABJ147" s="1"/>
      <c r="ABK147" s="1"/>
      <c r="ABL147" s="1"/>
      <c r="ABM147" s="1"/>
      <c r="ABN147" s="1"/>
      <c r="ABO147" s="1"/>
      <c r="ABP147" s="1"/>
      <c r="ABQ147" s="1"/>
      <c r="ABR147" s="1"/>
      <c r="ABS147" s="1"/>
      <c r="ABT147" s="1"/>
      <c r="ABU147" s="1"/>
      <c r="ABV147" s="1"/>
      <c r="ABW147" s="1"/>
      <c r="ABX147" s="1"/>
      <c r="ABY147" s="1"/>
      <c r="ABZ147" s="1"/>
      <c r="ACA147" s="1"/>
      <c r="ACB147" s="1"/>
      <c r="ACC147" s="1"/>
      <c r="ACD147" s="1"/>
      <c r="ACE147" s="1"/>
      <c r="ACF147" s="1"/>
      <c r="ACG147" s="1"/>
      <c r="ACH147" s="1"/>
      <c r="ACI147" s="1"/>
      <c r="ACJ147" s="1"/>
      <c r="ACK147" s="1"/>
      <c r="ACL147" s="1"/>
      <c r="ACM147" s="1"/>
      <c r="ACN147" s="1"/>
      <c r="ACO147" s="1"/>
      <c r="ACP147" s="1"/>
      <c r="ACQ147" s="1"/>
      <c r="ACR147" s="1"/>
      <c r="ACS147" s="1"/>
      <c r="ACT147" s="1"/>
      <c r="ACU147" s="1"/>
      <c r="ACV147" s="1"/>
      <c r="ACW147" s="1"/>
      <c r="ACX147" s="1"/>
      <c r="ACY147" s="1"/>
      <c r="ACZ147" s="1"/>
      <c r="ADA147" s="1"/>
      <c r="ADB147" s="1"/>
      <c r="ADC147" s="1"/>
      <c r="ADD147" s="1"/>
      <c r="ADE147" s="1"/>
      <c r="ADF147" s="1"/>
      <c r="ADG147" s="1"/>
      <c r="ADH147" s="1"/>
      <c r="ADI147" s="1"/>
      <c r="ADJ147" s="1"/>
      <c r="ADK147" s="1"/>
      <c r="ADL147" s="1"/>
      <c r="ADM147" s="1"/>
      <c r="ADN147" s="1"/>
      <c r="ADO147" s="1"/>
      <c r="ADP147" s="1"/>
      <c r="ADQ147" s="1"/>
      <c r="ADR147" s="1"/>
      <c r="ADS147" s="1"/>
      <c r="ADT147" s="1"/>
      <c r="ADU147" s="1"/>
      <c r="ADV147" s="1"/>
      <c r="ADW147" s="1"/>
      <c r="ADX147" s="1"/>
      <c r="ADY147" s="1"/>
      <c r="ADZ147" s="1"/>
      <c r="AEA147" s="1"/>
      <c r="AEB147" s="1"/>
      <c r="AEC147" s="1"/>
      <c r="AED147" s="1"/>
      <c r="AEE147" s="1"/>
      <c r="AEF147" s="1"/>
      <c r="AEG147" s="1"/>
      <c r="AEH147" s="1"/>
      <c r="AEI147" s="1"/>
      <c r="AEJ147" s="1"/>
      <c r="AEK147" s="1"/>
      <c r="AEL147" s="1"/>
      <c r="AEM147" s="1"/>
      <c r="AEN147" s="1"/>
      <c r="AEO147" s="1"/>
      <c r="AEP147" s="1"/>
      <c r="AEQ147" s="1"/>
      <c r="AER147" s="1"/>
      <c r="AES147" s="1"/>
      <c r="AET147" s="1"/>
      <c r="AEU147" s="1"/>
      <c r="AEV147" s="1"/>
      <c r="AEW147" s="1"/>
      <c r="AEX147" s="1"/>
      <c r="AEY147" s="1"/>
      <c r="AEZ147" s="1"/>
      <c r="AFA147" s="1"/>
      <c r="AFB147" s="1"/>
      <c r="AFC147" s="1"/>
      <c r="AFD147" s="1"/>
      <c r="AFE147" s="1"/>
      <c r="AFF147" s="1"/>
      <c r="AFG147" s="1"/>
      <c r="AFH147" s="1"/>
      <c r="AFI147" s="1"/>
      <c r="AFJ147" s="1"/>
      <c r="AFK147" s="1"/>
      <c r="AFL147" s="1"/>
      <c r="AFM147" s="1"/>
      <c r="AFN147" s="1"/>
      <c r="AFO147" s="1"/>
      <c r="AFP147" s="1"/>
      <c r="AFQ147" s="1"/>
      <c r="AFR147" s="1"/>
      <c r="AFS147" s="1"/>
      <c r="AFT147" s="1"/>
      <c r="AFU147" s="1"/>
      <c r="AFV147" s="1"/>
      <c r="AFW147" s="1"/>
      <c r="AFX147" s="1"/>
      <c r="AFY147" s="1"/>
      <c r="AFZ147" s="1"/>
      <c r="AGA147" s="1"/>
      <c r="AGB147" s="1"/>
      <c r="AGC147" s="1"/>
      <c r="AGD147" s="1"/>
      <c r="AGE147" s="1"/>
      <c r="AGF147" s="1"/>
      <c r="AGG147" s="1"/>
      <c r="AGH147" s="1"/>
      <c r="AGI147" s="1"/>
      <c r="AGJ147" s="1"/>
      <c r="AGK147" s="1"/>
      <c r="AGL147" s="1"/>
      <c r="AGM147" s="1"/>
      <c r="AGN147" s="1"/>
      <c r="AGO147" s="1"/>
      <c r="AGP147" s="1"/>
      <c r="AGQ147" s="1"/>
      <c r="AGR147" s="1"/>
      <c r="AGS147" s="1"/>
      <c r="AGT147" s="1"/>
      <c r="AGU147" s="1"/>
      <c r="AGV147" s="1"/>
      <c r="AGW147" s="1"/>
      <c r="AGX147" s="1"/>
      <c r="AGY147" s="1"/>
      <c r="AGZ147" s="1"/>
      <c r="AHA147" s="1"/>
      <c r="AHB147" s="1"/>
      <c r="AHC147" s="1"/>
      <c r="AHD147" s="1"/>
      <c r="AHE147" s="1"/>
      <c r="AHF147" s="1"/>
      <c r="AHG147" s="1"/>
      <c r="AHH147" s="1"/>
      <c r="AHI147" s="1"/>
      <c r="AHJ147" s="1"/>
      <c r="AHK147" s="1"/>
      <c r="AHL147" s="1"/>
      <c r="AHM147" s="1"/>
      <c r="AHN147" s="1"/>
      <c r="AHO147" s="1"/>
      <c r="AHP147" s="1"/>
      <c r="AHQ147" s="1"/>
      <c r="AHR147" s="1"/>
      <c r="AHS147" s="1"/>
      <c r="AHT147" s="1"/>
      <c r="AHU147" s="1"/>
      <c r="AHV147" s="1"/>
      <c r="AHW147" s="1"/>
      <c r="AHX147" s="1"/>
      <c r="AHY147" s="1"/>
      <c r="AHZ147" s="1"/>
      <c r="AIA147" s="1"/>
      <c r="AIB147" s="1"/>
      <c r="AIC147" s="1"/>
      <c r="AID147" s="1"/>
      <c r="AIE147" s="1"/>
      <c r="AIF147" s="1"/>
      <c r="AIG147" s="1"/>
      <c r="AIH147" s="1"/>
      <c r="AII147" s="1"/>
      <c r="AIJ147" s="1"/>
      <c r="AIK147" s="1"/>
      <c r="AIL147" s="1"/>
      <c r="AIM147" s="1"/>
      <c r="AIN147" s="1"/>
      <c r="AIO147" s="1"/>
      <c r="AIP147" s="1"/>
      <c r="AIQ147" s="1"/>
      <c r="AIR147" s="1"/>
      <c r="AIS147" s="1"/>
      <c r="AIT147" s="1"/>
      <c r="AIU147" s="1"/>
      <c r="AIV147" s="1"/>
      <c r="AIW147" s="1"/>
      <c r="AIX147" s="1"/>
      <c r="AIY147" s="1"/>
      <c r="AIZ147" s="1"/>
      <c r="AJA147" s="1"/>
      <c r="AJB147" s="1"/>
      <c r="AJC147" s="1"/>
      <c r="AJD147" s="1"/>
      <c r="AJE147" s="1"/>
      <c r="AJF147" s="1"/>
      <c r="AJG147" s="1"/>
      <c r="AJH147" s="1"/>
      <c r="AJI147" s="1"/>
      <c r="AJJ147" s="1"/>
      <c r="AJK147" s="1"/>
      <c r="AJL147" s="1"/>
      <c r="AJM147" s="1"/>
      <c r="AJN147" s="1"/>
      <c r="AJO147" s="1"/>
      <c r="AJP147" s="1"/>
      <c r="AJQ147" s="1"/>
      <c r="AJR147" s="1"/>
      <c r="AJS147" s="1"/>
      <c r="AJT147" s="1"/>
      <c r="AJU147" s="1"/>
      <c r="AJV147" s="1"/>
      <c r="AJW147" s="1"/>
      <c r="AJX147" s="1"/>
      <c r="AJY147" s="1"/>
      <c r="AJZ147" s="1"/>
      <c r="AKA147" s="1"/>
      <c r="AKB147" s="1"/>
      <c r="AKC147" s="1"/>
      <c r="AKD147" s="1"/>
      <c r="AKE147" s="1"/>
      <c r="AKF147" s="1"/>
      <c r="AKG147" s="1"/>
      <c r="AKH147" s="1"/>
      <c r="AKI147" s="1"/>
      <c r="AKJ147" s="1"/>
      <c r="AKK147" s="1"/>
      <c r="AKL147" s="1"/>
      <c r="AKM147" s="1"/>
      <c r="AKN147" s="1"/>
      <c r="AKO147" s="1"/>
      <c r="AKP147" s="1"/>
      <c r="AKQ147" s="1"/>
      <c r="AKR147" s="1"/>
      <c r="AKS147" s="1"/>
      <c r="AKT147" s="1"/>
      <c r="AKU147" s="1"/>
      <c r="AKV147" s="1"/>
      <c r="AKW147" s="1"/>
      <c r="AKX147" s="1"/>
      <c r="AKY147" s="1"/>
      <c r="AKZ147" s="1"/>
      <c r="ALA147" s="1"/>
      <c r="ALB147" s="1"/>
      <c r="ALC147" s="1"/>
      <c r="ALD147" s="1"/>
      <c r="ALE147" s="1"/>
      <c r="ALF147" s="1"/>
      <c r="ALG147" s="1"/>
      <c r="ALH147" s="1"/>
      <c r="ALI147" s="1"/>
      <c r="ALJ147" s="1"/>
      <c r="ALK147" s="1"/>
      <c r="ALL147" s="1"/>
      <c r="ALM147" s="1"/>
      <c r="ALN147" s="1"/>
      <c r="ALO147" s="1"/>
      <c r="ALP147" s="1"/>
      <c r="ALQ147" s="1"/>
      <c r="ALR147" s="1"/>
      <c r="ALS147" s="1"/>
      <c r="ALT147" s="1"/>
      <c r="ALU147" s="1"/>
      <c r="ALV147" s="1"/>
      <c r="ALW147" s="1"/>
      <c r="ALX147" s="1"/>
      <c r="ALY147" s="1"/>
      <c r="ALZ147" s="1"/>
      <c r="AMA147" s="1"/>
      <c r="AMB147" s="1"/>
      <c r="AMC147" s="1"/>
      <c r="AMD147" s="1"/>
      <c r="AME147" s="1"/>
      <c r="AMF147" s="1"/>
      <c r="AMG147" s="1"/>
      <c r="AMH147" s="1"/>
      <c r="AMI147" s="1"/>
      <c r="AMJ147" s="1"/>
    </row>
    <row r="148" customFormat="false" ht="12" hidden="false" customHeight="true" outlineLevel="0" collapsed="false">
      <c r="A148" s="48" t="s">
        <v>267</v>
      </c>
      <c r="B148" s="48"/>
      <c r="C148" s="48"/>
      <c r="D148" s="48"/>
      <c r="E148" s="48"/>
      <c r="F148" s="48"/>
      <c r="G148" s="48"/>
      <c r="H148" s="48"/>
      <c r="I148" s="48"/>
      <c r="J148" s="48"/>
      <c r="K148" s="48"/>
      <c r="L148" s="48"/>
      <c r="M148" s="48"/>
      <c r="N148" s="48"/>
      <c r="O148" s="48"/>
      <c r="P148" s="48"/>
      <c r="Q148" s="48"/>
      <c r="R148" s="48"/>
      <c r="S148" s="48"/>
      <c r="T148" s="48"/>
      <c r="U148" s="48"/>
      <c r="V148" s="48"/>
      <c r="W148" s="48"/>
      <c r="X148" s="48"/>
      <c r="Y148" s="48"/>
      <c r="Z148" s="48"/>
      <c r="AA148" s="48"/>
      <c r="AB148" s="48"/>
      <c r="AC148" s="48"/>
      <c r="AD148" s="48"/>
      <c r="AE148" s="48"/>
      <c r="AF148" s="48"/>
      <c r="AG148" s="48"/>
      <c r="AH148" s="48"/>
      <c r="AI148" s="48"/>
      <c r="AJ148" s="48"/>
      <c r="AK148" s="48"/>
      <c r="AL148" s="48"/>
      <c r="AM148" s="48"/>
      <c r="AN148" s="48"/>
      <c r="AO148" s="48"/>
      <c r="BE148" s="1"/>
      <c r="BF148" s="1"/>
      <c r="BG148" s="1"/>
      <c r="BH148" s="1"/>
      <c r="BI148" s="1"/>
      <c r="BJ148" s="1"/>
      <c r="BK148" s="1"/>
      <c r="BL148" s="1"/>
      <c r="BM148" s="1"/>
      <c r="BN148" s="1"/>
      <c r="BO148" s="1"/>
      <c r="BP148" s="1"/>
      <c r="BQ148" s="1"/>
      <c r="BR148" s="1"/>
      <c r="BS148" s="1"/>
      <c r="BT148" s="1"/>
      <c r="BU148" s="1"/>
      <c r="BV148" s="1"/>
      <c r="BW148" s="1"/>
      <c r="BX148" s="1"/>
      <c r="BY148" s="1"/>
      <c r="BZ148" s="1"/>
      <c r="CA148" s="1"/>
      <c r="CB148" s="1"/>
      <c r="CC148" s="1"/>
      <c r="CD148" s="1"/>
      <c r="CE148" s="1"/>
      <c r="CF148" s="1"/>
      <c r="CG148" s="1"/>
      <c r="CH148" s="1"/>
      <c r="CI148" s="1"/>
      <c r="CJ148" s="1"/>
      <c r="CK148" s="1"/>
      <c r="CL148" s="1"/>
      <c r="CM148" s="1"/>
      <c r="CN148" s="1"/>
      <c r="CO148" s="1"/>
      <c r="CP148" s="1"/>
      <c r="CQ148" s="1"/>
      <c r="CR148" s="1"/>
      <c r="CS148" s="1"/>
      <c r="CT148" s="1"/>
      <c r="CU148" s="1"/>
      <c r="CV148" s="1"/>
      <c r="CW148" s="1"/>
      <c r="CX148" s="1"/>
      <c r="CY148" s="1"/>
      <c r="CZ148" s="1"/>
      <c r="DA148" s="1"/>
      <c r="DB148" s="1"/>
      <c r="DC148" s="1"/>
      <c r="DD148" s="1"/>
      <c r="DE148" s="1"/>
      <c r="DF148" s="1"/>
      <c r="DG148" s="1"/>
      <c r="DH148" s="1"/>
      <c r="DI148" s="1"/>
      <c r="DJ148" s="1"/>
      <c r="DK148" s="1"/>
      <c r="DL148" s="1"/>
      <c r="DM148" s="1"/>
      <c r="DN148" s="1"/>
      <c r="DO148" s="1"/>
      <c r="DP148" s="1"/>
      <c r="DQ148" s="1"/>
      <c r="DR148" s="1"/>
      <c r="DS148" s="1"/>
      <c r="DT148" s="1"/>
      <c r="DU148" s="1"/>
      <c r="DV148" s="1"/>
      <c r="DW148" s="1"/>
      <c r="DX148" s="1"/>
      <c r="DY148" s="1"/>
      <c r="DZ148" s="1"/>
      <c r="EA148" s="1"/>
      <c r="EB148" s="1"/>
      <c r="EC148" s="1"/>
      <c r="ED148" s="1"/>
      <c r="EE148" s="1"/>
      <c r="EF148" s="1"/>
      <c r="EG148" s="1"/>
      <c r="EH148" s="1"/>
      <c r="EI148" s="1"/>
      <c r="EJ148" s="1"/>
      <c r="EK148" s="1"/>
      <c r="EL148" s="1"/>
      <c r="EM148" s="1"/>
      <c r="EN148" s="1"/>
      <c r="EO148" s="1"/>
      <c r="EP148" s="1"/>
      <c r="EQ148" s="1"/>
      <c r="ER148" s="1"/>
      <c r="ES148" s="1"/>
      <c r="ET148" s="1"/>
      <c r="EU148" s="1"/>
      <c r="EV148" s="1"/>
      <c r="EW148" s="1"/>
      <c r="EX148" s="1"/>
      <c r="EY148" s="1"/>
      <c r="EZ148" s="1"/>
      <c r="FA148" s="1"/>
      <c r="FB148" s="1"/>
      <c r="FC148" s="1"/>
      <c r="FD148" s="1"/>
      <c r="FE148" s="1"/>
      <c r="FF148" s="1"/>
      <c r="FG148" s="1"/>
      <c r="FH148" s="1"/>
      <c r="FI148" s="1"/>
      <c r="FJ148" s="1"/>
      <c r="FK148" s="1"/>
      <c r="FL148" s="1"/>
      <c r="FM148" s="1"/>
      <c r="FN148" s="1"/>
      <c r="FO148" s="1"/>
      <c r="FP148" s="1"/>
      <c r="FQ148" s="1"/>
      <c r="FR148" s="1"/>
      <c r="FS148" s="1"/>
      <c r="FT148" s="1"/>
      <c r="FU148" s="1"/>
      <c r="FV148" s="1"/>
      <c r="FW148" s="1"/>
      <c r="FX148" s="1"/>
      <c r="FY148" s="1"/>
      <c r="FZ148" s="1"/>
      <c r="GA148" s="1"/>
      <c r="GB148" s="1"/>
      <c r="GC148" s="1"/>
      <c r="GD148" s="1"/>
      <c r="GE148" s="1"/>
      <c r="GF148" s="1"/>
      <c r="GG148" s="1"/>
      <c r="GH148" s="1"/>
      <c r="GI148" s="1"/>
      <c r="GJ148" s="1"/>
      <c r="GK148" s="1"/>
      <c r="GL148" s="1"/>
      <c r="GM148" s="1"/>
      <c r="GN148" s="1"/>
      <c r="GO148" s="1"/>
      <c r="GP148" s="1"/>
      <c r="GQ148" s="1"/>
      <c r="GR148" s="1"/>
      <c r="GS148" s="1"/>
      <c r="GT148" s="1"/>
      <c r="GU148" s="1"/>
      <c r="GV148" s="1"/>
      <c r="GW148" s="1"/>
      <c r="GX148" s="1"/>
      <c r="GY148" s="1"/>
      <c r="GZ148" s="1"/>
      <c r="HA148" s="1"/>
      <c r="HB148" s="1"/>
      <c r="HC148" s="1"/>
      <c r="HD148" s="1"/>
      <c r="HE148" s="1"/>
      <c r="HF148" s="1"/>
      <c r="HG148" s="1"/>
      <c r="HH148" s="1"/>
      <c r="HI148" s="1"/>
      <c r="HJ148" s="1"/>
      <c r="HK148" s="1"/>
      <c r="HL148" s="1"/>
      <c r="HM148" s="1"/>
      <c r="HN148" s="1"/>
      <c r="HO148" s="1"/>
      <c r="HP148" s="1"/>
      <c r="HQ148" s="1"/>
      <c r="HR148" s="1"/>
      <c r="HS148" s="1"/>
      <c r="HT148" s="1"/>
      <c r="HU148" s="1"/>
      <c r="HV148" s="1"/>
      <c r="HW148" s="1"/>
      <c r="HX148" s="1"/>
      <c r="HY148" s="1"/>
      <c r="HZ148" s="1"/>
      <c r="IA148" s="1"/>
      <c r="IB148" s="1"/>
      <c r="IC148" s="1"/>
      <c r="ID148" s="1"/>
      <c r="IE148" s="1"/>
      <c r="IF148" s="1"/>
      <c r="IG148" s="1"/>
      <c r="IH148" s="1"/>
      <c r="II148" s="1"/>
      <c r="IJ148" s="1"/>
      <c r="IK148" s="1"/>
      <c r="IL148" s="1"/>
      <c r="IM148" s="1"/>
      <c r="IN148" s="1"/>
      <c r="IO148" s="1"/>
      <c r="IP148" s="1"/>
      <c r="IQ148" s="1"/>
      <c r="IR148" s="1"/>
      <c r="IS148" s="1"/>
      <c r="IT148" s="1"/>
      <c r="IU148" s="1"/>
      <c r="IV148" s="1"/>
      <c r="IW148" s="1"/>
      <c r="IX148" s="1"/>
      <c r="IY148" s="1"/>
      <c r="IZ148" s="1"/>
      <c r="JA148" s="1"/>
      <c r="JB148" s="1"/>
      <c r="JC148" s="1"/>
      <c r="JD148" s="1"/>
      <c r="JE148" s="1"/>
      <c r="JF148" s="1"/>
      <c r="JG148" s="1"/>
      <c r="JH148" s="1"/>
      <c r="JI148" s="1"/>
      <c r="JJ148" s="1"/>
      <c r="JK148" s="1"/>
      <c r="JL148" s="1"/>
      <c r="JM148" s="1"/>
      <c r="JN148" s="1"/>
      <c r="JO148" s="1"/>
      <c r="JP148" s="1"/>
      <c r="JQ148" s="1"/>
      <c r="JR148" s="1"/>
      <c r="JS148" s="1"/>
      <c r="JT148" s="1"/>
      <c r="JU148" s="1"/>
      <c r="JV148" s="1"/>
      <c r="JW148" s="1"/>
      <c r="JX148" s="1"/>
      <c r="JY148" s="1"/>
      <c r="JZ148" s="1"/>
      <c r="KA148" s="1"/>
      <c r="KB148" s="1"/>
      <c r="KC148" s="1"/>
      <c r="KD148" s="1"/>
      <c r="KE148" s="1"/>
      <c r="KF148" s="1"/>
      <c r="KG148" s="1"/>
      <c r="KH148" s="1"/>
      <c r="KI148" s="1"/>
      <c r="KJ148" s="1"/>
      <c r="KK148" s="1"/>
      <c r="KL148" s="1"/>
      <c r="KM148" s="1"/>
      <c r="KN148" s="1"/>
      <c r="KO148" s="1"/>
      <c r="KP148" s="1"/>
      <c r="KQ148" s="1"/>
      <c r="KR148" s="1"/>
      <c r="KS148" s="1"/>
      <c r="KT148" s="1"/>
      <c r="KU148" s="1"/>
      <c r="KV148" s="1"/>
      <c r="KW148" s="1"/>
      <c r="KX148" s="1"/>
      <c r="KY148" s="1"/>
      <c r="KZ148" s="1"/>
      <c r="LA148" s="1"/>
      <c r="LB148" s="1"/>
      <c r="LC148" s="1"/>
      <c r="LD148" s="1"/>
      <c r="LE148" s="1"/>
      <c r="LF148" s="1"/>
      <c r="LG148" s="1"/>
      <c r="LH148" s="1"/>
      <c r="LI148" s="1"/>
      <c r="LJ148" s="1"/>
      <c r="LK148" s="1"/>
      <c r="LL148" s="1"/>
      <c r="LM148" s="1"/>
      <c r="LN148" s="1"/>
      <c r="LO148" s="1"/>
      <c r="LP148" s="1"/>
      <c r="LQ148" s="1"/>
      <c r="LR148" s="1"/>
      <c r="LS148" s="1"/>
      <c r="LT148" s="1"/>
      <c r="LU148" s="1"/>
      <c r="LV148" s="1"/>
      <c r="LW148" s="1"/>
      <c r="LX148" s="1"/>
      <c r="LY148" s="1"/>
      <c r="LZ148" s="1"/>
      <c r="MA148" s="1"/>
      <c r="MB148" s="1"/>
      <c r="MC148" s="1"/>
      <c r="MD148" s="1"/>
      <c r="ME148" s="1"/>
      <c r="MF148" s="1"/>
      <c r="MG148" s="1"/>
      <c r="MH148" s="1"/>
      <c r="MI148" s="1"/>
      <c r="MJ148" s="1"/>
      <c r="MK148" s="1"/>
      <c r="ML148" s="1"/>
      <c r="MM148" s="1"/>
      <c r="MN148" s="1"/>
      <c r="MO148" s="1"/>
      <c r="MP148" s="1"/>
      <c r="MQ148" s="1"/>
      <c r="MR148" s="1"/>
      <c r="MS148" s="1"/>
      <c r="MT148" s="1"/>
      <c r="MU148" s="1"/>
      <c r="MV148" s="1"/>
      <c r="MW148" s="1"/>
      <c r="MX148" s="1"/>
      <c r="MY148" s="1"/>
      <c r="MZ148" s="1"/>
      <c r="NA148" s="1"/>
      <c r="NB148" s="1"/>
      <c r="NC148" s="1"/>
      <c r="ND148" s="1"/>
      <c r="NE148" s="1"/>
      <c r="NF148" s="1"/>
      <c r="NG148" s="1"/>
      <c r="NH148" s="1"/>
      <c r="NI148" s="1"/>
      <c r="NJ148" s="1"/>
      <c r="NK148" s="1"/>
      <c r="NL148" s="1"/>
      <c r="NM148" s="1"/>
      <c r="NN148" s="1"/>
      <c r="NO148" s="1"/>
      <c r="NP148" s="1"/>
      <c r="NQ148" s="1"/>
      <c r="NR148" s="1"/>
      <c r="NS148" s="1"/>
      <c r="NT148" s="1"/>
      <c r="NU148" s="1"/>
      <c r="NV148" s="1"/>
      <c r="NW148" s="1"/>
      <c r="NX148" s="1"/>
      <c r="NY148" s="1"/>
      <c r="NZ148" s="1"/>
      <c r="OA148" s="1"/>
      <c r="OB148" s="1"/>
      <c r="OC148" s="1"/>
      <c r="OD148" s="1"/>
      <c r="OE148" s="1"/>
      <c r="OF148" s="1"/>
      <c r="OG148" s="1"/>
      <c r="OH148" s="1"/>
      <c r="OI148" s="1"/>
      <c r="OJ148" s="1"/>
      <c r="OK148" s="1"/>
      <c r="OL148" s="1"/>
      <c r="OM148" s="1"/>
      <c r="ON148" s="1"/>
      <c r="OO148" s="1"/>
      <c r="OP148" s="1"/>
      <c r="OQ148" s="1"/>
      <c r="OR148" s="1"/>
      <c r="OS148" s="1"/>
      <c r="OT148" s="1"/>
      <c r="OU148" s="1"/>
      <c r="OV148" s="1"/>
      <c r="OW148" s="1"/>
      <c r="OX148" s="1"/>
      <c r="OY148" s="1"/>
      <c r="OZ148" s="1"/>
      <c r="PA148" s="1"/>
      <c r="PB148" s="1"/>
      <c r="PC148" s="1"/>
      <c r="PD148" s="1"/>
      <c r="PE148" s="1"/>
      <c r="PF148" s="1"/>
      <c r="PG148" s="1"/>
      <c r="PH148" s="1"/>
      <c r="PI148" s="1"/>
      <c r="PJ148" s="1"/>
      <c r="PK148" s="1"/>
      <c r="PL148" s="1"/>
      <c r="PM148" s="1"/>
      <c r="PN148" s="1"/>
      <c r="PO148" s="1"/>
      <c r="PP148" s="1"/>
      <c r="PQ148" s="1"/>
      <c r="PR148" s="1"/>
      <c r="PS148" s="1"/>
      <c r="PT148" s="1"/>
      <c r="PU148" s="1"/>
      <c r="PV148" s="1"/>
      <c r="PW148" s="1"/>
      <c r="PX148" s="1"/>
      <c r="PY148" s="1"/>
      <c r="PZ148" s="1"/>
      <c r="QA148" s="1"/>
      <c r="QB148" s="1"/>
      <c r="QC148" s="1"/>
      <c r="QD148" s="1"/>
      <c r="QE148" s="1"/>
      <c r="QF148" s="1"/>
      <c r="QG148" s="1"/>
      <c r="QH148" s="1"/>
      <c r="QI148" s="1"/>
      <c r="QJ148" s="1"/>
      <c r="QK148" s="1"/>
      <c r="QL148" s="1"/>
      <c r="QM148" s="1"/>
      <c r="QN148" s="1"/>
      <c r="QO148" s="1"/>
      <c r="QP148" s="1"/>
      <c r="QQ148" s="1"/>
      <c r="QR148" s="1"/>
      <c r="QS148" s="1"/>
      <c r="QT148" s="1"/>
      <c r="QU148" s="1"/>
      <c r="QV148" s="1"/>
      <c r="QW148" s="1"/>
      <c r="QX148" s="1"/>
      <c r="QY148" s="1"/>
      <c r="QZ148" s="1"/>
      <c r="RA148" s="1"/>
      <c r="RB148" s="1"/>
      <c r="RC148" s="1"/>
      <c r="RD148" s="1"/>
      <c r="RE148" s="1"/>
      <c r="RF148" s="1"/>
      <c r="RG148" s="1"/>
      <c r="RH148" s="1"/>
      <c r="RI148" s="1"/>
      <c r="RJ148" s="1"/>
      <c r="RK148" s="1"/>
      <c r="RL148" s="1"/>
      <c r="RM148" s="1"/>
      <c r="RN148" s="1"/>
      <c r="RO148" s="1"/>
      <c r="RP148" s="1"/>
      <c r="RQ148" s="1"/>
      <c r="RR148" s="1"/>
      <c r="RS148" s="1"/>
      <c r="RT148" s="1"/>
      <c r="RU148" s="1"/>
      <c r="RV148" s="1"/>
      <c r="RW148" s="1"/>
      <c r="RX148" s="1"/>
      <c r="RY148" s="1"/>
      <c r="RZ148" s="1"/>
      <c r="SA148" s="1"/>
      <c r="SB148" s="1"/>
      <c r="SC148" s="1"/>
      <c r="SD148" s="1"/>
      <c r="SE148" s="1"/>
      <c r="SF148" s="1"/>
      <c r="SG148" s="1"/>
      <c r="SH148" s="1"/>
      <c r="SI148" s="1"/>
      <c r="SJ148" s="1"/>
      <c r="SK148" s="1"/>
      <c r="SL148" s="1"/>
      <c r="SM148" s="1"/>
      <c r="SN148" s="1"/>
      <c r="SO148" s="1"/>
      <c r="SP148" s="1"/>
      <c r="SQ148" s="1"/>
      <c r="SR148" s="1"/>
      <c r="SS148" s="1"/>
      <c r="ST148" s="1"/>
      <c r="SU148" s="1"/>
      <c r="SV148" s="1"/>
      <c r="SW148" s="1"/>
      <c r="SX148" s="1"/>
      <c r="SY148" s="1"/>
      <c r="SZ148" s="1"/>
      <c r="TA148" s="1"/>
      <c r="TB148" s="1"/>
      <c r="TC148" s="1"/>
      <c r="TD148" s="1"/>
      <c r="TE148" s="1"/>
      <c r="TF148" s="1"/>
      <c r="TG148" s="1"/>
      <c r="TH148" s="1"/>
      <c r="TI148" s="1"/>
      <c r="TJ148" s="1"/>
      <c r="TK148" s="1"/>
      <c r="TL148" s="1"/>
      <c r="TM148" s="1"/>
      <c r="TN148" s="1"/>
      <c r="TO148" s="1"/>
      <c r="TP148" s="1"/>
      <c r="TQ148" s="1"/>
      <c r="TR148" s="1"/>
      <c r="TS148" s="1"/>
      <c r="TT148" s="1"/>
      <c r="TU148" s="1"/>
      <c r="TV148" s="1"/>
      <c r="TW148" s="1"/>
      <c r="TX148" s="1"/>
      <c r="TY148" s="1"/>
      <c r="TZ148" s="1"/>
      <c r="UA148" s="1"/>
      <c r="UB148" s="1"/>
      <c r="UC148" s="1"/>
      <c r="UD148" s="1"/>
      <c r="UE148" s="1"/>
      <c r="UF148" s="1"/>
      <c r="UG148" s="1"/>
      <c r="UH148" s="1"/>
      <c r="UI148" s="1"/>
      <c r="UJ148" s="1"/>
      <c r="UK148" s="1"/>
      <c r="UL148" s="1"/>
      <c r="UM148" s="1"/>
      <c r="UN148" s="1"/>
      <c r="UO148" s="1"/>
      <c r="UP148" s="1"/>
      <c r="UQ148" s="1"/>
      <c r="UR148" s="1"/>
      <c r="US148" s="1"/>
      <c r="UT148" s="1"/>
      <c r="UU148" s="1"/>
      <c r="UV148" s="1"/>
      <c r="UW148" s="1"/>
      <c r="UX148" s="1"/>
      <c r="UY148" s="1"/>
      <c r="UZ148" s="1"/>
      <c r="VA148" s="1"/>
      <c r="VB148" s="1"/>
      <c r="VC148" s="1"/>
      <c r="VD148" s="1"/>
      <c r="VE148" s="1"/>
      <c r="VF148" s="1"/>
      <c r="VG148" s="1"/>
      <c r="VH148" s="1"/>
      <c r="VI148" s="1"/>
      <c r="VJ148" s="1"/>
      <c r="VK148" s="1"/>
      <c r="VL148" s="1"/>
      <c r="VM148" s="1"/>
      <c r="VN148" s="1"/>
      <c r="VO148" s="1"/>
      <c r="VP148" s="1"/>
      <c r="VQ148" s="1"/>
      <c r="VR148" s="1"/>
      <c r="VS148" s="1"/>
      <c r="VT148" s="1"/>
      <c r="VU148" s="1"/>
      <c r="VV148" s="1"/>
      <c r="VW148" s="1"/>
      <c r="VX148" s="1"/>
      <c r="VY148" s="1"/>
      <c r="VZ148" s="1"/>
      <c r="WA148" s="1"/>
      <c r="WB148" s="1"/>
      <c r="WC148" s="1"/>
      <c r="WD148" s="1"/>
      <c r="WE148" s="1"/>
      <c r="WF148" s="1"/>
      <c r="WG148" s="1"/>
      <c r="WH148" s="1"/>
      <c r="WI148" s="1"/>
      <c r="WJ148" s="1"/>
      <c r="WK148" s="1"/>
      <c r="WL148" s="1"/>
      <c r="WM148" s="1"/>
      <c r="WN148" s="1"/>
      <c r="WO148" s="1"/>
      <c r="WP148" s="1"/>
      <c r="WQ148" s="1"/>
      <c r="WR148" s="1"/>
      <c r="WS148" s="1"/>
      <c r="WT148" s="1"/>
      <c r="WU148" s="1"/>
      <c r="WV148" s="1"/>
      <c r="WW148" s="1"/>
      <c r="WX148" s="1"/>
      <c r="WY148" s="1"/>
      <c r="WZ148" s="1"/>
      <c r="XA148" s="1"/>
      <c r="XB148" s="1"/>
      <c r="XC148" s="1"/>
      <c r="XD148" s="1"/>
      <c r="XE148" s="1"/>
      <c r="XF148" s="1"/>
      <c r="XG148" s="1"/>
      <c r="XH148" s="1"/>
      <c r="XI148" s="1"/>
      <c r="XJ148" s="1"/>
      <c r="XK148" s="1"/>
      <c r="XL148" s="1"/>
      <c r="XM148" s="1"/>
      <c r="XN148" s="1"/>
      <c r="XO148" s="1"/>
      <c r="XP148" s="1"/>
      <c r="XQ148" s="1"/>
      <c r="XR148" s="1"/>
      <c r="XS148" s="1"/>
      <c r="XT148" s="1"/>
      <c r="XU148" s="1"/>
      <c r="XV148" s="1"/>
      <c r="XW148" s="1"/>
      <c r="XX148" s="1"/>
      <c r="XY148" s="1"/>
      <c r="XZ148" s="1"/>
      <c r="YA148" s="1"/>
      <c r="YB148" s="1"/>
      <c r="YC148" s="1"/>
      <c r="YD148" s="1"/>
      <c r="YE148" s="1"/>
      <c r="YF148" s="1"/>
      <c r="YG148" s="1"/>
      <c r="YH148" s="1"/>
      <c r="YI148" s="1"/>
      <c r="YJ148" s="1"/>
      <c r="YK148" s="1"/>
      <c r="YL148" s="1"/>
      <c r="YM148" s="1"/>
      <c r="YN148" s="1"/>
      <c r="YO148" s="1"/>
      <c r="YP148" s="1"/>
      <c r="YQ148" s="1"/>
      <c r="YR148" s="1"/>
      <c r="YS148" s="1"/>
      <c r="YT148" s="1"/>
      <c r="YU148" s="1"/>
      <c r="YV148" s="1"/>
      <c r="YW148" s="1"/>
      <c r="YX148" s="1"/>
      <c r="YY148" s="1"/>
      <c r="YZ148" s="1"/>
      <c r="ZA148" s="1"/>
      <c r="ZB148" s="1"/>
      <c r="ZC148" s="1"/>
      <c r="ZD148" s="1"/>
      <c r="ZE148" s="1"/>
      <c r="ZF148" s="1"/>
      <c r="ZG148" s="1"/>
      <c r="ZH148" s="1"/>
      <c r="ZI148" s="1"/>
      <c r="ZJ148" s="1"/>
      <c r="ZK148" s="1"/>
      <c r="ZL148" s="1"/>
      <c r="ZM148" s="1"/>
      <c r="ZN148" s="1"/>
      <c r="ZO148" s="1"/>
      <c r="ZP148" s="1"/>
      <c r="ZQ148" s="1"/>
      <c r="ZR148" s="1"/>
      <c r="ZS148" s="1"/>
      <c r="ZT148" s="1"/>
      <c r="ZU148" s="1"/>
      <c r="ZV148" s="1"/>
      <c r="ZW148" s="1"/>
      <c r="ZX148" s="1"/>
      <c r="ZY148" s="1"/>
      <c r="ZZ148" s="1"/>
      <c r="AAA148" s="1"/>
      <c r="AAB148" s="1"/>
      <c r="AAC148" s="1"/>
      <c r="AAD148" s="1"/>
      <c r="AAE148" s="1"/>
      <c r="AAF148" s="1"/>
      <c r="AAG148" s="1"/>
      <c r="AAH148" s="1"/>
      <c r="AAI148" s="1"/>
      <c r="AAJ148" s="1"/>
      <c r="AAK148" s="1"/>
      <c r="AAL148" s="1"/>
      <c r="AAM148" s="1"/>
      <c r="AAN148" s="1"/>
      <c r="AAO148" s="1"/>
      <c r="AAP148" s="1"/>
      <c r="AAQ148" s="1"/>
      <c r="AAR148" s="1"/>
      <c r="AAS148" s="1"/>
      <c r="AAT148" s="1"/>
      <c r="AAU148" s="1"/>
      <c r="AAV148" s="1"/>
      <c r="AAW148" s="1"/>
      <c r="AAX148" s="1"/>
      <c r="AAY148" s="1"/>
      <c r="AAZ148" s="1"/>
      <c r="ABA148" s="1"/>
      <c r="ABB148" s="1"/>
      <c r="ABC148" s="1"/>
      <c r="ABD148" s="1"/>
      <c r="ABE148" s="1"/>
      <c r="ABF148" s="1"/>
      <c r="ABG148" s="1"/>
      <c r="ABH148" s="1"/>
      <c r="ABI148" s="1"/>
      <c r="ABJ148" s="1"/>
      <c r="ABK148" s="1"/>
      <c r="ABL148" s="1"/>
      <c r="ABM148" s="1"/>
      <c r="ABN148" s="1"/>
      <c r="ABO148" s="1"/>
      <c r="ABP148" s="1"/>
      <c r="ABQ148" s="1"/>
      <c r="ABR148" s="1"/>
      <c r="ABS148" s="1"/>
      <c r="ABT148" s="1"/>
      <c r="ABU148" s="1"/>
      <c r="ABV148" s="1"/>
      <c r="ABW148" s="1"/>
      <c r="ABX148" s="1"/>
      <c r="ABY148" s="1"/>
      <c r="ABZ148" s="1"/>
      <c r="ACA148" s="1"/>
      <c r="ACB148" s="1"/>
      <c r="ACC148" s="1"/>
      <c r="ACD148" s="1"/>
      <c r="ACE148" s="1"/>
      <c r="ACF148" s="1"/>
      <c r="ACG148" s="1"/>
      <c r="ACH148" s="1"/>
      <c r="ACI148" s="1"/>
      <c r="ACJ148" s="1"/>
      <c r="ACK148" s="1"/>
      <c r="ACL148" s="1"/>
      <c r="ACM148" s="1"/>
      <c r="ACN148" s="1"/>
      <c r="ACO148" s="1"/>
      <c r="ACP148" s="1"/>
      <c r="ACQ148" s="1"/>
      <c r="ACR148" s="1"/>
      <c r="ACS148" s="1"/>
      <c r="ACT148" s="1"/>
      <c r="ACU148" s="1"/>
      <c r="ACV148" s="1"/>
      <c r="ACW148" s="1"/>
      <c r="ACX148" s="1"/>
      <c r="ACY148" s="1"/>
      <c r="ACZ148" s="1"/>
      <c r="ADA148" s="1"/>
      <c r="ADB148" s="1"/>
      <c r="ADC148" s="1"/>
      <c r="ADD148" s="1"/>
      <c r="ADE148" s="1"/>
      <c r="ADF148" s="1"/>
      <c r="ADG148" s="1"/>
      <c r="ADH148" s="1"/>
      <c r="ADI148" s="1"/>
      <c r="ADJ148" s="1"/>
      <c r="ADK148" s="1"/>
      <c r="ADL148" s="1"/>
      <c r="ADM148" s="1"/>
      <c r="ADN148" s="1"/>
      <c r="ADO148" s="1"/>
      <c r="ADP148" s="1"/>
      <c r="ADQ148" s="1"/>
      <c r="ADR148" s="1"/>
      <c r="ADS148" s="1"/>
      <c r="ADT148" s="1"/>
      <c r="ADU148" s="1"/>
      <c r="ADV148" s="1"/>
      <c r="ADW148" s="1"/>
      <c r="ADX148" s="1"/>
      <c r="ADY148" s="1"/>
      <c r="ADZ148" s="1"/>
      <c r="AEA148" s="1"/>
      <c r="AEB148" s="1"/>
      <c r="AEC148" s="1"/>
      <c r="AED148" s="1"/>
      <c r="AEE148" s="1"/>
      <c r="AEF148" s="1"/>
      <c r="AEG148" s="1"/>
      <c r="AEH148" s="1"/>
      <c r="AEI148" s="1"/>
      <c r="AEJ148" s="1"/>
      <c r="AEK148" s="1"/>
      <c r="AEL148" s="1"/>
      <c r="AEM148" s="1"/>
      <c r="AEN148" s="1"/>
      <c r="AEO148" s="1"/>
      <c r="AEP148" s="1"/>
      <c r="AEQ148" s="1"/>
      <c r="AER148" s="1"/>
      <c r="AES148" s="1"/>
      <c r="AET148" s="1"/>
      <c r="AEU148" s="1"/>
      <c r="AEV148" s="1"/>
      <c r="AEW148" s="1"/>
      <c r="AEX148" s="1"/>
      <c r="AEY148" s="1"/>
      <c r="AEZ148" s="1"/>
      <c r="AFA148" s="1"/>
      <c r="AFB148" s="1"/>
      <c r="AFC148" s="1"/>
      <c r="AFD148" s="1"/>
      <c r="AFE148" s="1"/>
      <c r="AFF148" s="1"/>
      <c r="AFG148" s="1"/>
      <c r="AFH148" s="1"/>
      <c r="AFI148" s="1"/>
      <c r="AFJ148" s="1"/>
      <c r="AFK148" s="1"/>
      <c r="AFL148" s="1"/>
      <c r="AFM148" s="1"/>
      <c r="AFN148" s="1"/>
      <c r="AFO148" s="1"/>
      <c r="AFP148" s="1"/>
      <c r="AFQ148" s="1"/>
      <c r="AFR148" s="1"/>
      <c r="AFS148" s="1"/>
      <c r="AFT148" s="1"/>
      <c r="AFU148" s="1"/>
      <c r="AFV148" s="1"/>
      <c r="AFW148" s="1"/>
      <c r="AFX148" s="1"/>
      <c r="AFY148" s="1"/>
      <c r="AFZ148" s="1"/>
      <c r="AGA148" s="1"/>
      <c r="AGB148" s="1"/>
      <c r="AGC148" s="1"/>
      <c r="AGD148" s="1"/>
      <c r="AGE148" s="1"/>
      <c r="AGF148" s="1"/>
      <c r="AGG148" s="1"/>
      <c r="AGH148" s="1"/>
      <c r="AGI148" s="1"/>
      <c r="AGJ148" s="1"/>
      <c r="AGK148" s="1"/>
      <c r="AGL148" s="1"/>
      <c r="AGM148" s="1"/>
      <c r="AGN148" s="1"/>
      <c r="AGO148" s="1"/>
      <c r="AGP148" s="1"/>
      <c r="AGQ148" s="1"/>
      <c r="AGR148" s="1"/>
      <c r="AGS148" s="1"/>
      <c r="AGT148" s="1"/>
      <c r="AGU148" s="1"/>
      <c r="AGV148" s="1"/>
      <c r="AGW148" s="1"/>
      <c r="AGX148" s="1"/>
      <c r="AGY148" s="1"/>
      <c r="AGZ148" s="1"/>
      <c r="AHA148" s="1"/>
      <c r="AHB148" s="1"/>
      <c r="AHC148" s="1"/>
      <c r="AHD148" s="1"/>
      <c r="AHE148" s="1"/>
      <c r="AHF148" s="1"/>
      <c r="AHG148" s="1"/>
      <c r="AHH148" s="1"/>
      <c r="AHI148" s="1"/>
      <c r="AHJ148" s="1"/>
      <c r="AHK148" s="1"/>
      <c r="AHL148" s="1"/>
      <c r="AHM148" s="1"/>
      <c r="AHN148" s="1"/>
      <c r="AHO148" s="1"/>
      <c r="AHP148" s="1"/>
      <c r="AHQ148" s="1"/>
      <c r="AHR148" s="1"/>
      <c r="AHS148" s="1"/>
      <c r="AHT148" s="1"/>
      <c r="AHU148" s="1"/>
      <c r="AHV148" s="1"/>
      <c r="AHW148" s="1"/>
      <c r="AHX148" s="1"/>
      <c r="AHY148" s="1"/>
      <c r="AHZ148" s="1"/>
      <c r="AIA148" s="1"/>
      <c r="AIB148" s="1"/>
      <c r="AIC148" s="1"/>
      <c r="AID148" s="1"/>
      <c r="AIE148" s="1"/>
      <c r="AIF148" s="1"/>
      <c r="AIG148" s="1"/>
      <c r="AIH148" s="1"/>
      <c r="AII148" s="1"/>
      <c r="AIJ148" s="1"/>
      <c r="AIK148" s="1"/>
      <c r="AIL148" s="1"/>
      <c r="AIM148" s="1"/>
      <c r="AIN148" s="1"/>
      <c r="AIO148" s="1"/>
      <c r="AIP148" s="1"/>
      <c r="AIQ148" s="1"/>
      <c r="AIR148" s="1"/>
      <c r="AIS148" s="1"/>
      <c r="AIT148" s="1"/>
      <c r="AIU148" s="1"/>
      <c r="AIV148" s="1"/>
      <c r="AIW148" s="1"/>
      <c r="AIX148" s="1"/>
      <c r="AIY148" s="1"/>
      <c r="AIZ148" s="1"/>
      <c r="AJA148" s="1"/>
      <c r="AJB148" s="1"/>
      <c r="AJC148" s="1"/>
      <c r="AJD148" s="1"/>
      <c r="AJE148" s="1"/>
      <c r="AJF148" s="1"/>
      <c r="AJG148" s="1"/>
      <c r="AJH148" s="1"/>
      <c r="AJI148" s="1"/>
      <c r="AJJ148" s="1"/>
      <c r="AJK148" s="1"/>
      <c r="AJL148" s="1"/>
      <c r="AJM148" s="1"/>
      <c r="AJN148" s="1"/>
      <c r="AJO148" s="1"/>
      <c r="AJP148" s="1"/>
      <c r="AJQ148" s="1"/>
      <c r="AJR148" s="1"/>
      <c r="AJS148" s="1"/>
      <c r="AJT148" s="1"/>
      <c r="AJU148" s="1"/>
      <c r="AJV148" s="1"/>
      <c r="AJW148" s="1"/>
      <c r="AJX148" s="1"/>
      <c r="AJY148" s="1"/>
      <c r="AJZ148" s="1"/>
      <c r="AKA148" s="1"/>
      <c r="AKB148" s="1"/>
      <c r="AKC148" s="1"/>
      <c r="AKD148" s="1"/>
      <c r="AKE148" s="1"/>
      <c r="AKF148" s="1"/>
      <c r="AKG148" s="1"/>
      <c r="AKH148" s="1"/>
      <c r="AKI148" s="1"/>
      <c r="AKJ148" s="1"/>
      <c r="AKK148" s="1"/>
      <c r="AKL148" s="1"/>
      <c r="AKM148" s="1"/>
      <c r="AKN148" s="1"/>
      <c r="AKO148" s="1"/>
      <c r="AKP148" s="1"/>
      <c r="AKQ148" s="1"/>
      <c r="AKR148" s="1"/>
      <c r="AKS148" s="1"/>
      <c r="AKT148" s="1"/>
      <c r="AKU148" s="1"/>
      <c r="AKV148" s="1"/>
      <c r="AKW148" s="1"/>
      <c r="AKX148" s="1"/>
      <c r="AKY148" s="1"/>
      <c r="AKZ148" s="1"/>
      <c r="ALA148" s="1"/>
      <c r="ALB148" s="1"/>
      <c r="ALC148" s="1"/>
      <c r="ALD148" s="1"/>
      <c r="ALE148" s="1"/>
      <c r="ALF148" s="1"/>
      <c r="ALG148" s="1"/>
      <c r="ALH148" s="1"/>
      <c r="ALI148" s="1"/>
      <c r="ALJ148" s="1"/>
      <c r="ALK148" s="1"/>
      <c r="ALL148" s="1"/>
      <c r="ALM148" s="1"/>
      <c r="ALN148" s="1"/>
      <c r="ALO148" s="1"/>
      <c r="ALP148" s="1"/>
      <c r="ALQ148" s="1"/>
      <c r="ALR148" s="1"/>
      <c r="ALS148" s="1"/>
      <c r="ALT148" s="1"/>
      <c r="ALU148" s="1"/>
      <c r="ALV148" s="1"/>
      <c r="ALW148" s="1"/>
      <c r="ALX148" s="1"/>
      <c r="ALY148" s="1"/>
      <c r="ALZ148" s="1"/>
      <c r="AMA148" s="1"/>
      <c r="AMB148" s="1"/>
      <c r="AMC148" s="1"/>
      <c r="AMD148" s="1"/>
      <c r="AME148" s="1"/>
      <c r="AMF148" s="1"/>
      <c r="AMG148" s="1"/>
      <c r="AMH148" s="1"/>
      <c r="AMI148" s="1"/>
      <c r="AMJ148" s="1"/>
    </row>
    <row r="149" customFormat="false" ht="2.25" hidden="false" customHeight="true" outlineLevel="0" collapsed="false">
      <c r="BE149" s="1"/>
      <c r="BF149" s="1"/>
      <c r="BG149" s="1"/>
      <c r="BH149" s="1"/>
      <c r="BI149" s="1"/>
      <c r="BJ149" s="1"/>
      <c r="BK149" s="1"/>
      <c r="BL149" s="1"/>
      <c r="BM149" s="1"/>
      <c r="BN149" s="1"/>
      <c r="BO149" s="1"/>
      <c r="BP149" s="1"/>
      <c r="BQ149" s="1"/>
      <c r="BR149" s="1"/>
      <c r="BS149" s="1"/>
      <c r="BT149" s="1"/>
      <c r="BU149" s="1"/>
      <c r="BV149" s="1"/>
      <c r="BW149" s="1"/>
      <c r="BX149" s="1"/>
      <c r="BY149" s="1"/>
      <c r="BZ149" s="1"/>
      <c r="CA149" s="1"/>
      <c r="CB149" s="1"/>
      <c r="CC149" s="1"/>
      <c r="CD149" s="1"/>
      <c r="CE149" s="1"/>
      <c r="CF149" s="1"/>
      <c r="CG149" s="1"/>
      <c r="CH149" s="1"/>
      <c r="CI149" s="1"/>
      <c r="CJ149" s="1"/>
      <c r="CK149" s="1"/>
      <c r="CL149" s="1"/>
      <c r="CM149" s="1"/>
      <c r="CN149" s="1"/>
      <c r="CO149" s="1"/>
      <c r="CP149" s="1"/>
      <c r="CQ149" s="1"/>
      <c r="CR149" s="1"/>
      <c r="CS149" s="1"/>
      <c r="CT149" s="1"/>
      <c r="CU149" s="1"/>
      <c r="CV149" s="1"/>
      <c r="CW149" s="1"/>
      <c r="CX149" s="1"/>
      <c r="CY149" s="1"/>
      <c r="CZ149" s="1"/>
      <c r="DA149" s="1"/>
      <c r="DB149" s="1"/>
      <c r="DC149" s="1"/>
      <c r="DD149" s="1"/>
      <c r="DE149" s="1"/>
      <c r="DF149" s="1"/>
      <c r="DG149" s="1"/>
      <c r="DH149" s="1"/>
      <c r="DI149" s="1"/>
      <c r="DJ149" s="1"/>
      <c r="DK149" s="1"/>
      <c r="DL149" s="1"/>
      <c r="DM149" s="1"/>
      <c r="DN149" s="1"/>
      <c r="DO149" s="1"/>
      <c r="DP149" s="1"/>
      <c r="DQ149" s="1"/>
      <c r="DR149" s="1"/>
      <c r="DS149" s="1"/>
      <c r="DT149" s="1"/>
      <c r="DU149" s="1"/>
      <c r="DV149" s="1"/>
      <c r="DW149" s="1"/>
      <c r="DX149" s="1"/>
      <c r="DY149" s="1"/>
      <c r="DZ149" s="1"/>
      <c r="EA149" s="1"/>
      <c r="EB149" s="1"/>
      <c r="EC149" s="1"/>
      <c r="ED149" s="1"/>
      <c r="EE149" s="1"/>
      <c r="EF149" s="1"/>
      <c r="EG149" s="1"/>
      <c r="EH149" s="1"/>
      <c r="EI149" s="1"/>
      <c r="EJ149" s="1"/>
      <c r="EK149" s="1"/>
      <c r="EL149" s="1"/>
      <c r="EM149" s="1"/>
      <c r="EN149" s="1"/>
      <c r="EO149" s="1"/>
      <c r="EP149" s="1"/>
      <c r="EQ149" s="1"/>
      <c r="ER149" s="1"/>
      <c r="ES149" s="1"/>
      <c r="ET149" s="1"/>
      <c r="EU149" s="1"/>
      <c r="EV149" s="1"/>
      <c r="EW149" s="1"/>
      <c r="EX149" s="1"/>
      <c r="EY149" s="1"/>
      <c r="EZ149" s="1"/>
      <c r="FA149" s="1"/>
      <c r="FB149" s="1"/>
      <c r="FC149" s="1"/>
      <c r="FD149" s="1"/>
      <c r="FE149" s="1"/>
      <c r="FF149" s="1"/>
      <c r="FG149" s="1"/>
      <c r="FH149" s="1"/>
      <c r="FI149" s="1"/>
      <c r="FJ149" s="1"/>
      <c r="FK149" s="1"/>
      <c r="FL149" s="1"/>
      <c r="FM149" s="1"/>
      <c r="FN149" s="1"/>
      <c r="FO149" s="1"/>
      <c r="FP149" s="1"/>
      <c r="FQ149" s="1"/>
      <c r="FR149" s="1"/>
      <c r="FS149" s="1"/>
      <c r="FT149" s="1"/>
      <c r="FU149" s="1"/>
      <c r="FV149" s="1"/>
      <c r="FW149" s="1"/>
      <c r="FX149" s="1"/>
      <c r="FY149" s="1"/>
      <c r="FZ149" s="1"/>
      <c r="GA149" s="1"/>
      <c r="GB149" s="1"/>
      <c r="GC149" s="1"/>
      <c r="GD149" s="1"/>
      <c r="GE149" s="1"/>
      <c r="GF149" s="1"/>
      <c r="GG149" s="1"/>
      <c r="GH149" s="1"/>
      <c r="GI149" s="1"/>
      <c r="GJ149" s="1"/>
      <c r="GK149" s="1"/>
      <c r="GL149" s="1"/>
      <c r="GM149" s="1"/>
      <c r="GN149" s="1"/>
      <c r="GO149" s="1"/>
      <c r="GP149" s="1"/>
      <c r="GQ149" s="1"/>
      <c r="GR149" s="1"/>
      <c r="GS149" s="1"/>
      <c r="GT149" s="1"/>
      <c r="GU149" s="1"/>
      <c r="GV149" s="1"/>
      <c r="GW149" s="1"/>
      <c r="GX149" s="1"/>
      <c r="GY149" s="1"/>
      <c r="GZ149" s="1"/>
      <c r="HA149" s="1"/>
      <c r="HB149" s="1"/>
      <c r="HC149" s="1"/>
      <c r="HD149" s="1"/>
      <c r="HE149" s="1"/>
      <c r="HF149" s="1"/>
      <c r="HG149" s="1"/>
      <c r="HH149" s="1"/>
      <c r="HI149" s="1"/>
      <c r="HJ149" s="1"/>
      <c r="HK149" s="1"/>
      <c r="HL149" s="1"/>
      <c r="HM149" s="1"/>
      <c r="HN149" s="1"/>
      <c r="HO149" s="1"/>
      <c r="HP149" s="1"/>
      <c r="HQ149" s="1"/>
      <c r="HR149" s="1"/>
      <c r="HS149" s="1"/>
      <c r="HT149" s="1"/>
      <c r="HU149" s="1"/>
      <c r="HV149" s="1"/>
      <c r="HW149" s="1"/>
      <c r="HX149" s="1"/>
      <c r="HY149" s="1"/>
      <c r="HZ149" s="1"/>
      <c r="IA149" s="1"/>
      <c r="IB149" s="1"/>
      <c r="IC149" s="1"/>
      <c r="ID149" s="1"/>
      <c r="IE149" s="1"/>
      <c r="IF149" s="1"/>
      <c r="IG149" s="1"/>
      <c r="IH149" s="1"/>
      <c r="II149" s="1"/>
      <c r="IJ149" s="1"/>
      <c r="IK149" s="1"/>
      <c r="IL149" s="1"/>
      <c r="IM149" s="1"/>
      <c r="IN149" s="1"/>
      <c r="IO149" s="1"/>
      <c r="IP149" s="1"/>
      <c r="IQ149" s="1"/>
      <c r="IR149" s="1"/>
      <c r="IS149" s="1"/>
      <c r="IT149" s="1"/>
      <c r="IU149" s="1"/>
      <c r="IV149" s="1"/>
      <c r="IW149" s="1"/>
      <c r="IX149" s="1"/>
      <c r="IY149" s="1"/>
      <c r="IZ149" s="1"/>
      <c r="JA149" s="1"/>
      <c r="JB149" s="1"/>
      <c r="JC149" s="1"/>
      <c r="JD149" s="1"/>
      <c r="JE149" s="1"/>
      <c r="JF149" s="1"/>
      <c r="JG149" s="1"/>
      <c r="JH149" s="1"/>
      <c r="JI149" s="1"/>
      <c r="JJ149" s="1"/>
      <c r="JK149" s="1"/>
      <c r="JL149" s="1"/>
      <c r="JM149" s="1"/>
      <c r="JN149" s="1"/>
      <c r="JO149" s="1"/>
      <c r="JP149" s="1"/>
      <c r="JQ149" s="1"/>
      <c r="JR149" s="1"/>
      <c r="JS149" s="1"/>
      <c r="JT149" s="1"/>
      <c r="JU149" s="1"/>
      <c r="JV149" s="1"/>
      <c r="JW149" s="1"/>
      <c r="JX149" s="1"/>
      <c r="JY149" s="1"/>
      <c r="JZ149" s="1"/>
      <c r="KA149" s="1"/>
      <c r="KB149" s="1"/>
      <c r="KC149" s="1"/>
      <c r="KD149" s="1"/>
      <c r="KE149" s="1"/>
      <c r="KF149" s="1"/>
      <c r="KG149" s="1"/>
      <c r="KH149" s="1"/>
      <c r="KI149" s="1"/>
      <c r="KJ149" s="1"/>
      <c r="KK149" s="1"/>
      <c r="KL149" s="1"/>
      <c r="KM149" s="1"/>
      <c r="KN149" s="1"/>
      <c r="KO149" s="1"/>
      <c r="KP149" s="1"/>
      <c r="KQ149" s="1"/>
      <c r="KR149" s="1"/>
      <c r="KS149" s="1"/>
      <c r="KT149" s="1"/>
      <c r="KU149" s="1"/>
      <c r="KV149" s="1"/>
      <c r="KW149" s="1"/>
      <c r="KX149" s="1"/>
      <c r="KY149" s="1"/>
      <c r="KZ149" s="1"/>
      <c r="LA149" s="1"/>
      <c r="LB149" s="1"/>
      <c r="LC149" s="1"/>
      <c r="LD149" s="1"/>
      <c r="LE149" s="1"/>
      <c r="LF149" s="1"/>
      <c r="LG149" s="1"/>
      <c r="LH149" s="1"/>
      <c r="LI149" s="1"/>
      <c r="LJ149" s="1"/>
      <c r="LK149" s="1"/>
      <c r="LL149" s="1"/>
      <c r="LM149" s="1"/>
      <c r="LN149" s="1"/>
      <c r="LO149" s="1"/>
      <c r="LP149" s="1"/>
      <c r="LQ149" s="1"/>
      <c r="LR149" s="1"/>
      <c r="LS149" s="1"/>
      <c r="LT149" s="1"/>
      <c r="LU149" s="1"/>
      <c r="LV149" s="1"/>
      <c r="LW149" s="1"/>
      <c r="LX149" s="1"/>
      <c r="LY149" s="1"/>
      <c r="LZ149" s="1"/>
      <c r="MA149" s="1"/>
      <c r="MB149" s="1"/>
      <c r="MC149" s="1"/>
      <c r="MD149" s="1"/>
      <c r="ME149" s="1"/>
      <c r="MF149" s="1"/>
      <c r="MG149" s="1"/>
      <c r="MH149" s="1"/>
      <c r="MI149" s="1"/>
      <c r="MJ149" s="1"/>
      <c r="MK149" s="1"/>
      <c r="ML149" s="1"/>
      <c r="MM149" s="1"/>
      <c r="MN149" s="1"/>
      <c r="MO149" s="1"/>
      <c r="MP149" s="1"/>
      <c r="MQ149" s="1"/>
      <c r="MR149" s="1"/>
      <c r="MS149" s="1"/>
      <c r="MT149" s="1"/>
      <c r="MU149" s="1"/>
      <c r="MV149" s="1"/>
      <c r="MW149" s="1"/>
      <c r="MX149" s="1"/>
      <c r="MY149" s="1"/>
      <c r="MZ149" s="1"/>
      <c r="NA149" s="1"/>
      <c r="NB149" s="1"/>
      <c r="NC149" s="1"/>
      <c r="ND149" s="1"/>
      <c r="NE149" s="1"/>
      <c r="NF149" s="1"/>
      <c r="NG149" s="1"/>
      <c r="NH149" s="1"/>
      <c r="NI149" s="1"/>
      <c r="NJ149" s="1"/>
      <c r="NK149" s="1"/>
      <c r="NL149" s="1"/>
      <c r="NM149" s="1"/>
      <c r="NN149" s="1"/>
      <c r="NO149" s="1"/>
      <c r="NP149" s="1"/>
      <c r="NQ149" s="1"/>
      <c r="NR149" s="1"/>
      <c r="NS149" s="1"/>
      <c r="NT149" s="1"/>
      <c r="NU149" s="1"/>
      <c r="NV149" s="1"/>
      <c r="NW149" s="1"/>
      <c r="NX149" s="1"/>
      <c r="NY149" s="1"/>
      <c r="NZ149" s="1"/>
      <c r="OA149" s="1"/>
      <c r="OB149" s="1"/>
      <c r="OC149" s="1"/>
      <c r="OD149" s="1"/>
      <c r="OE149" s="1"/>
      <c r="OF149" s="1"/>
      <c r="OG149" s="1"/>
      <c r="OH149" s="1"/>
      <c r="OI149" s="1"/>
      <c r="OJ149" s="1"/>
      <c r="OK149" s="1"/>
      <c r="OL149" s="1"/>
      <c r="OM149" s="1"/>
      <c r="ON149" s="1"/>
      <c r="OO149" s="1"/>
      <c r="OP149" s="1"/>
      <c r="OQ149" s="1"/>
      <c r="OR149" s="1"/>
      <c r="OS149" s="1"/>
      <c r="OT149" s="1"/>
      <c r="OU149" s="1"/>
      <c r="OV149" s="1"/>
      <c r="OW149" s="1"/>
      <c r="OX149" s="1"/>
      <c r="OY149" s="1"/>
      <c r="OZ149" s="1"/>
      <c r="PA149" s="1"/>
      <c r="PB149" s="1"/>
      <c r="PC149" s="1"/>
      <c r="PD149" s="1"/>
      <c r="PE149" s="1"/>
      <c r="PF149" s="1"/>
      <c r="PG149" s="1"/>
      <c r="PH149" s="1"/>
      <c r="PI149" s="1"/>
      <c r="PJ149" s="1"/>
      <c r="PK149" s="1"/>
      <c r="PL149" s="1"/>
      <c r="PM149" s="1"/>
      <c r="PN149" s="1"/>
      <c r="PO149" s="1"/>
      <c r="PP149" s="1"/>
      <c r="PQ149" s="1"/>
      <c r="PR149" s="1"/>
      <c r="PS149" s="1"/>
      <c r="PT149" s="1"/>
      <c r="PU149" s="1"/>
      <c r="PV149" s="1"/>
      <c r="PW149" s="1"/>
      <c r="PX149" s="1"/>
      <c r="PY149" s="1"/>
      <c r="PZ149" s="1"/>
      <c r="QA149" s="1"/>
      <c r="QB149" s="1"/>
      <c r="QC149" s="1"/>
      <c r="QD149" s="1"/>
      <c r="QE149" s="1"/>
      <c r="QF149" s="1"/>
      <c r="QG149" s="1"/>
      <c r="QH149" s="1"/>
      <c r="QI149" s="1"/>
      <c r="QJ149" s="1"/>
      <c r="QK149" s="1"/>
      <c r="QL149" s="1"/>
      <c r="QM149" s="1"/>
      <c r="QN149" s="1"/>
      <c r="QO149" s="1"/>
      <c r="QP149" s="1"/>
      <c r="QQ149" s="1"/>
      <c r="QR149" s="1"/>
      <c r="QS149" s="1"/>
      <c r="QT149" s="1"/>
      <c r="QU149" s="1"/>
      <c r="QV149" s="1"/>
      <c r="QW149" s="1"/>
      <c r="QX149" s="1"/>
      <c r="QY149" s="1"/>
      <c r="QZ149" s="1"/>
      <c r="RA149" s="1"/>
      <c r="RB149" s="1"/>
      <c r="RC149" s="1"/>
      <c r="RD149" s="1"/>
      <c r="RE149" s="1"/>
      <c r="RF149" s="1"/>
      <c r="RG149" s="1"/>
      <c r="RH149" s="1"/>
      <c r="RI149" s="1"/>
      <c r="RJ149" s="1"/>
      <c r="RK149" s="1"/>
      <c r="RL149" s="1"/>
      <c r="RM149" s="1"/>
      <c r="RN149" s="1"/>
      <c r="RO149" s="1"/>
      <c r="RP149" s="1"/>
      <c r="RQ149" s="1"/>
      <c r="RR149" s="1"/>
      <c r="RS149" s="1"/>
      <c r="RT149" s="1"/>
      <c r="RU149" s="1"/>
      <c r="RV149" s="1"/>
      <c r="RW149" s="1"/>
      <c r="RX149" s="1"/>
      <c r="RY149" s="1"/>
      <c r="RZ149" s="1"/>
      <c r="SA149" s="1"/>
      <c r="SB149" s="1"/>
      <c r="SC149" s="1"/>
      <c r="SD149" s="1"/>
      <c r="SE149" s="1"/>
      <c r="SF149" s="1"/>
      <c r="SG149" s="1"/>
      <c r="SH149" s="1"/>
      <c r="SI149" s="1"/>
      <c r="SJ149" s="1"/>
      <c r="SK149" s="1"/>
      <c r="SL149" s="1"/>
      <c r="SM149" s="1"/>
      <c r="SN149" s="1"/>
      <c r="SO149" s="1"/>
      <c r="SP149" s="1"/>
      <c r="SQ149" s="1"/>
      <c r="SR149" s="1"/>
      <c r="SS149" s="1"/>
      <c r="ST149" s="1"/>
      <c r="SU149" s="1"/>
      <c r="SV149" s="1"/>
      <c r="SW149" s="1"/>
      <c r="SX149" s="1"/>
      <c r="SY149" s="1"/>
      <c r="SZ149" s="1"/>
      <c r="TA149" s="1"/>
      <c r="TB149" s="1"/>
      <c r="TC149" s="1"/>
      <c r="TD149" s="1"/>
      <c r="TE149" s="1"/>
      <c r="TF149" s="1"/>
      <c r="TG149" s="1"/>
      <c r="TH149" s="1"/>
      <c r="TI149" s="1"/>
      <c r="TJ149" s="1"/>
      <c r="TK149" s="1"/>
      <c r="TL149" s="1"/>
      <c r="TM149" s="1"/>
      <c r="TN149" s="1"/>
      <c r="TO149" s="1"/>
      <c r="TP149" s="1"/>
      <c r="TQ149" s="1"/>
      <c r="TR149" s="1"/>
      <c r="TS149" s="1"/>
      <c r="TT149" s="1"/>
      <c r="TU149" s="1"/>
      <c r="TV149" s="1"/>
      <c r="TW149" s="1"/>
      <c r="TX149" s="1"/>
      <c r="TY149" s="1"/>
      <c r="TZ149" s="1"/>
      <c r="UA149" s="1"/>
      <c r="UB149" s="1"/>
      <c r="UC149" s="1"/>
      <c r="UD149" s="1"/>
      <c r="UE149" s="1"/>
      <c r="UF149" s="1"/>
      <c r="UG149" s="1"/>
      <c r="UH149" s="1"/>
      <c r="UI149" s="1"/>
      <c r="UJ149" s="1"/>
      <c r="UK149" s="1"/>
      <c r="UL149" s="1"/>
      <c r="UM149" s="1"/>
      <c r="UN149" s="1"/>
      <c r="UO149" s="1"/>
      <c r="UP149" s="1"/>
      <c r="UQ149" s="1"/>
      <c r="UR149" s="1"/>
      <c r="US149" s="1"/>
      <c r="UT149" s="1"/>
      <c r="UU149" s="1"/>
      <c r="UV149" s="1"/>
      <c r="UW149" s="1"/>
      <c r="UX149" s="1"/>
      <c r="UY149" s="1"/>
      <c r="UZ149" s="1"/>
      <c r="VA149" s="1"/>
      <c r="VB149" s="1"/>
      <c r="VC149" s="1"/>
      <c r="VD149" s="1"/>
      <c r="VE149" s="1"/>
      <c r="VF149" s="1"/>
      <c r="VG149" s="1"/>
      <c r="VH149" s="1"/>
      <c r="VI149" s="1"/>
      <c r="VJ149" s="1"/>
      <c r="VK149" s="1"/>
      <c r="VL149" s="1"/>
      <c r="VM149" s="1"/>
      <c r="VN149" s="1"/>
      <c r="VO149" s="1"/>
      <c r="VP149" s="1"/>
      <c r="VQ149" s="1"/>
      <c r="VR149" s="1"/>
      <c r="VS149" s="1"/>
      <c r="VT149" s="1"/>
      <c r="VU149" s="1"/>
      <c r="VV149" s="1"/>
      <c r="VW149" s="1"/>
      <c r="VX149" s="1"/>
      <c r="VY149" s="1"/>
      <c r="VZ149" s="1"/>
      <c r="WA149" s="1"/>
      <c r="WB149" s="1"/>
      <c r="WC149" s="1"/>
      <c r="WD149" s="1"/>
      <c r="WE149" s="1"/>
      <c r="WF149" s="1"/>
      <c r="WG149" s="1"/>
      <c r="WH149" s="1"/>
      <c r="WI149" s="1"/>
      <c r="WJ149" s="1"/>
      <c r="WK149" s="1"/>
      <c r="WL149" s="1"/>
      <c r="WM149" s="1"/>
      <c r="WN149" s="1"/>
      <c r="WO149" s="1"/>
      <c r="WP149" s="1"/>
      <c r="WQ149" s="1"/>
      <c r="WR149" s="1"/>
      <c r="WS149" s="1"/>
      <c r="WT149" s="1"/>
      <c r="WU149" s="1"/>
      <c r="WV149" s="1"/>
      <c r="WW149" s="1"/>
      <c r="WX149" s="1"/>
      <c r="WY149" s="1"/>
      <c r="WZ149" s="1"/>
      <c r="XA149" s="1"/>
      <c r="XB149" s="1"/>
      <c r="XC149" s="1"/>
      <c r="XD149" s="1"/>
      <c r="XE149" s="1"/>
      <c r="XF149" s="1"/>
      <c r="XG149" s="1"/>
      <c r="XH149" s="1"/>
      <c r="XI149" s="1"/>
      <c r="XJ149" s="1"/>
      <c r="XK149" s="1"/>
      <c r="XL149" s="1"/>
      <c r="XM149" s="1"/>
      <c r="XN149" s="1"/>
      <c r="XO149" s="1"/>
      <c r="XP149" s="1"/>
      <c r="XQ149" s="1"/>
      <c r="XR149" s="1"/>
      <c r="XS149" s="1"/>
      <c r="XT149" s="1"/>
      <c r="XU149" s="1"/>
      <c r="XV149" s="1"/>
      <c r="XW149" s="1"/>
      <c r="XX149" s="1"/>
      <c r="XY149" s="1"/>
      <c r="XZ149" s="1"/>
      <c r="YA149" s="1"/>
      <c r="YB149" s="1"/>
      <c r="YC149" s="1"/>
      <c r="YD149" s="1"/>
      <c r="YE149" s="1"/>
      <c r="YF149" s="1"/>
      <c r="YG149" s="1"/>
      <c r="YH149" s="1"/>
      <c r="YI149" s="1"/>
      <c r="YJ149" s="1"/>
      <c r="YK149" s="1"/>
      <c r="YL149" s="1"/>
      <c r="YM149" s="1"/>
      <c r="YN149" s="1"/>
      <c r="YO149" s="1"/>
      <c r="YP149" s="1"/>
      <c r="YQ149" s="1"/>
      <c r="YR149" s="1"/>
      <c r="YS149" s="1"/>
      <c r="YT149" s="1"/>
      <c r="YU149" s="1"/>
      <c r="YV149" s="1"/>
      <c r="YW149" s="1"/>
      <c r="YX149" s="1"/>
      <c r="YY149" s="1"/>
      <c r="YZ149" s="1"/>
      <c r="ZA149" s="1"/>
      <c r="ZB149" s="1"/>
      <c r="ZC149" s="1"/>
      <c r="ZD149" s="1"/>
      <c r="ZE149" s="1"/>
      <c r="ZF149" s="1"/>
      <c r="ZG149" s="1"/>
      <c r="ZH149" s="1"/>
      <c r="ZI149" s="1"/>
      <c r="ZJ149" s="1"/>
      <c r="ZK149" s="1"/>
      <c r="ZL149" s="1"/>
      <c r="ZM149" s="1"/>
      <c r="ZN149" s="1"/>
      <c r="ZO149" s="1"/>
      <c r="ZP149" s="1"/>
      <c r="ZQ149" s="1"/>
      <c r="ZR149" s="1"/>
      <c r="ZS149" s="1"/>
      <c r="ZT149" s="1"/>
      <c r="ZU149" s="1"/>
      <c r="ZV149" s="1"/>
      <c r="ZW149" s="1"/>
      <c r="ZX149" s="1"/>
      <c r="ZY149" s="1"/>
      <c r="ZZ149" s="1"/>
      <c r="AAA149" s="1"/>
      <c r="AAB149" s="1"/>
      <c r="AAC149" s="1"/>
      <c r="AAD149" s="1"/>
      <c r="AAE149" s="1"/>
      <c r="AAF149" s="1"/>
      <c r="AAG149" s="1"/>
      <c r="AAH149" s="1"/>
      <c r="AAI149" s="1"/>
      <c r="AAJ149" s="1"/>
      <c r="AAK149" s="1"/>
      <c r="AAL149" s="1"/>
      <c r="AAM149" s="1"/>
      <c r="AAN149" s="1"/>
      <c r="AAO149" s="1"/>
      <c r="AAP149" s="1"/>
      <c r="AAQ149" s="1"/>
      <c r="AAR149" s="1"/>
      <c r="AAS149" s="1"/>
      <c r="AAT149" s="1"/>
      <c r="AAU149" s="1"/>
      <c r="AAV149" s="1"/>
      <c r="AAW149" s="1"/>
      <c r="AAX149" s="1"/>
      <c r="AAY149" s="1"/>
      <c r="AAZ149" s="1"/>
      <c r="ABA149" s="1"/>
      <c r="ABB149" s="1"/>
      <c r="ABC149" s="1"/>
      <c r="ABD149" s="1"/>
      <c r="ABE149" s="1"/>
      <c r="ABF149" s="1"/>
      <c r="ABG149" s="1"/>
      <c r="ABH149" s="1"/>
      <c r="ABI149" s="1"/>
      <c r="ABJ149" s="1"/>
      <c r="ABK149" s="1"/>
      <c r="ABL149" s="1"/>
      <c r="ABM149" s="1"/>
      <c r="ABN149" s="1"/>
      <c r="ABO149" s="1"/>
      <c r="ABP149" s="1"/>
      <c r="ABQ149" s="1"/>
      <c r="ABR149" s="1"/>
      <c r="ABS149" s="1"/>
      <c r="ABT149" s="1"/>
      <c r="ABU149" s="1"/>
      <c r="ABV149" s="1"/>
      <c r="ABW149" s="1"/>
      <c r="ABX149" s="1"/>
      <c r="ABY149" s="1"/>
      <c r="ABZ149" s="1"/>
      <c r="ACA149" s="1"/>
      <c r="ACB149" s="1"/>
      <c r="ACC149" s="1"/>
      <c r="ACD149" s="1"/>
      <c r="ACE149" s="1"/>
      <c r="ACF149" s="1"/>
      <c r="ACG149" s="1"/>
      <c r="ACH149" s="1"/>
      <c r="ACI149" s="1"/>
      <c r="ACJ149" s="1"/>
      <c r="ACK149" s="1"/>
      <c r="ACL149" s="1"/>
      <c r="ACM149" s="1"/>
      <c r="ACN149" s="1"/>
      <c r="ACO149" s="1"/>
      <c r="ACP149" s="1"/>
      <c r="ACQ149" s="1"/>
      <c r="ACR149" s="1"/>
      <c r="ACS149" s="1"/>
      <c r="ACT149" s="1"/>
      <c r="ACU149" s="1"/>
      <c r="ACV149" s="1"/>
      <c r="ACW149" s="1"/>
      <c r="ACX149" s="1"/>
      <c r="ACY149" s="1"/>
      <c r="ACZ149" s="1"/>
      <c r="ADA149" s="1"/>
      <c r="ADB149" s="1"/>
      <c r="ADC149" s="1"/>
      <c r="ADD149" s="1"/>
      <c r="ADE149" s="1"/>
      <c r="ADF149" s="1"/>
      <c r="ADG149" s="1"/>
      <c r="ADH149" s="1"/>
      <c r="ADI149" s="1"/>
      <c r="ADJ149" s="1"/>
      <c r="ADK149" s="1"/>
      <c r="ADL149" s="1"/>
      <c r="ADM149" s="1"/>
      <c r="ADN149" s="1"/>
      <c r="ADO149" s="1"/>
      <c r="ADP149" s="1"/>
      <c r="ADQ149" s="1"/>
      <c r="ADR149" s="1"/>
      <c r="ADS149" s="1"/>
      <c r="ADT149" s="1"/>
      <c r="ADU149" s="1"/>
      <c r="ADV149" s="1"/>
      <c r="ADW149" s="1"/>
      <c r="ADX149" s="1"/>
      <c r="ADY149" s="1"/>
      <c r="ADZ149" s="1"/>
      <c r="AEA149" s="1"/>
      <c r="AEB149" s="1"/>
      <c r="AEC149" s="1"/>
      <c r="AED149" s="1"/>
      <c r="AEE149" s="1"/>
      <c r="AEF149" s="1"/>
      <c r="AEG149" s="1"/>
      <c r="AEH149" s="1"/>
      <c r="AEI149" s="1"/>
      <c r="AEJ149" s="1"/>
      <c r="AEK149" s="1"/>
      <c r="AEL149" s="1"/>
      <c r="AEM149" s="1"/>
      <c r="AEN149" s="1"/>
      <c r="AEO149" s="1"/>
      <c r="AEP149" s="1"/>
      <c r="AEQ149" s="1"/>
      <c r="AER149" s="1"/>
      <c r="AES149" s="1"/>
      <c r="AET149" s="1"/>
      <c r="AEU149" s="1"/>
      <c r="AEV149" s="1"/>
      <c r="AEW149" s="1"/>
      <c r="AEX149" s="1"/>
      <c r="AEY149" s="1"/>
      <c r="AEZ149" s="1"/>
      <c r="AFA149" s="1"/>
      <c r="AFB149" s="1"/>
      <c r="AFC149" s="1"/>
      <c r="AFD149" s="1"/>
      <c r="AFE149" s="1"/>
      <c r="AFF149" s="1"/>
      <c r="AFG149" s="1"/>
      <c r="AFH149" s="1"/>
      <c r="AFI149" s="1"/>
      <c r="AFJ149" s="1"/>
      <c r="AFK149" s="1"/>
      <c r="AFL149" s="1"/>
      <c r="AFM149" s="1"/>
      <c r="AFN149" s="1"/>
      <c r="AFO149" s="1"/>
      <c r="AFP149" s="1"/>
      <c r="AFQ149" s="1"/>
      <c r="AFR149" s="1"/>
      <c r="AFS149" s="1"/>
      <c r="AFT149" s="1"/>
      <c r="AFU149" s="1"/>
      <c r="AFV149" s="1"/>
      <c r="AFW149" s="1"/>
      <c r="AFX149" s="1"/>
      <c r="AFY149" s="1"/>
      <c r="AFZ149" s="1"/>
      <c r="AGA149" s="1"/>
      <c r="AGB149" s="1"/>
      <c r="AGC149" s="1"/>
      <c r="AGD149" s="1"/>
      <c r="AGE149" s="1"/>
      <c r="AGF149" s="1"/>
      <c r="AGG149" s="1"/>
      <c r="AGH149" s="1"/>
      <c r="AGI149" s="1"/>
      <c r="AGJ149" s="1"/>
      <c r="AGK149" s="1"/>
      <c r="AGL149" s="1"/>
      <c r="AGM149" s="1"/>
      <c r="AGN149" s="1"/>
      <c r="AGO149" s="1"/>
      <c r="AGP149" s="1"/>
      <c r="AGQ149" s="1"/>
      <c r="AGR149" s="1"/>
      <c r="AGS149" s="1"/>
      <c r="AGT149" s="1"/>
      <c r="AGU149" s="1"/>
      <c r="AGV149" s="1"/>
      <c r="AGW149" s="1"/>
      <c r="AGX149" s="1"/>
      <c r="AGY149" s="1"/>
      <c r="AGZ149" s="1"/>
      <c r="AHA149" s="1"/>
      <c r="AHB149" s="1"/>
      <c r="AHC149" s="1"/>
      <c r="AHD149" s="1"/>
      <c r="AHE149" s="1"/>
      <c r="AHF149" s="1"/>
      <c r="AHG149" s="1"/>
      <c r="AHH149" s="1"/>
      <c r="AHI149" s="1"/>
      <c r="AHJ149" s="1"/>
      <c r="AHK149" s="1"/>
      <c r="AHL149" s="1"/>
      <c r="AHM149" s="1"/>
      <c r="AHN149" s="1"/>
      <c r="AHO149" s="1"/>
      <c r="AHP149" s="1"/>
      <c r="AHQ149" s="1"/>
      <c r="AHR149" s="1"/>
      <c r="AHS149" s="1"/>
      <c r="AHT149" s="1"/>
      <c r="AHU149" s="1"/>
      <c r="AHV149" s="1"/>
      <c r="AHW149" s="1"/>
      <c r="AHX149" s="1"/>
      <c r="AHY149" s="1"/>
      <c r="AHZ149" s="1"/>
      <c r="AIA149" s="1"/>
      <c r="AIB149" s="1"/>
      <c r="AIC149" s="1"/>
      <c r="AID149" s="1"/>
      <c r="AIE149" s="1"/>
      <c r="AIF149" s="1"/>
      <c r="AIG149" s="1"/>
      <c r="AIH149" s="1"/>
      <c r="AII149" s="1"/>
      <c r="AIJ149" s="1"/>
      <c r="AIK149" s="1"/>
      <c r="AIL149" s="1"/>
      <c r="AIM149" s="1"/>
      <c r="AIN149" s="1"/>
      <c r="AIO149" s="1"/>
      <c r="AIP149" s="1"/>
      <c r="AIQ149" s="1"/>
      <c r="AIR149" s="1"/>
      <c r="AIS149" s="1"/>
      <c r="AIT149" s="1"/>
      <c r="AIU149" s="1"/>
      <c r="AIV149" s="1"/>
      <c r="AIW149" s="1"/>
      <c r="AIX149" s="1"/>
      <c r="AIY149" s="1"/>
      <c r="AIZ149" s="1"/>
      <c r="AJA149" s="1"/>
      <c r="AJB149" s="1"/>
      <c r="AJC149" s="1"/>
      <c r="AJD149" s="1"/>
      <c r="AJE149" s="1"/>
      <c r="AJF149" s="1"/>
      <c r="AJG149" s="1"/>
      <c r="AJH149" s="1"/>
      <c r="AJI149" s="1"/>
      <c r="AJJ149" s="1"/>
      <c r="AJK149" s="1"/>
      <c r="AJL149" s="1"/>
      <c r="AJM149" s="1"/>
      <c r="AJN149" s="1"/>
      <c r="AJO149" s="1"/>
      <c r="AJP149" s="1"/>
      <c r="AJQ149" s="1"/>
      <c r="AJR149" s="1"/>
      <c r="AJS149" s="1"/>
      <c r="AJT149" s="1"/>
      <c r="AJU149" s="1"/>
      <c r="AJV149" s="1"/>
      <c r="AJW149" s="1"/>
      <c r="AJX149" s="1"/>
      <c r="AJY149" s="1"/>
      <c r="AJZ149" s="1"/>
      <c r="AKA149" s="1"/>
      <c r="AKB149" s="1"/>
      <c r="AKC149" s="1"/>
      <c r="AKD149" s="1"/>
      <c r="AKE149" s="1"/>
      <c r="AKF149" s="1"/>
      <c r="AKG149" s="1"/>
      <c r="AKH149" s="1"/>
      <c r="AKI149" s="1"/>
      <c r="AKJ149" s="1"/>
      <c r="AKK149" s="1"/>
      <c r="AKL149" s="1"/>
      <c r="AKM149" s="1"/>
      <c r="AKN149" s="1"/>
      <c r="AKO149" s="1"/>
      <c r="AKP149" s="1"/>
      <c r="AKQ149" s="1"/>
      <c r="AKR149" s="1"/>
      <c r="AKS149" s="1"/>
      <c r="AKT149" s="1"/>
      <c r="AKU149" s="1"/>
      <c r="AKV149" s="1"/>
      <c r="AKW149" s="1"/>
      <c r="AKX149" s="1"/>
      <c r="AKY149" s="1"/>
      <c r="AKZ149" s="1"/>
      <c r="ALA149" s="1"/>
      <c r="ALB149" s="1"/>
      <c r="ALC149" s="1"/>
      <c r="ALD149" s="1"/>
      <c r="ALE149" s="1"/>
      <c r="ALF149" s="1"/>
      <c r="ALG149" s="1"/>
      <c r="ALH149" s="1"/>
      <c r="ALI149" s="1"/>
      <c r="ALJ149" s="1"/>
      <c r="ALK149" s="1"/>
      <c r="ALL149" s="1"/>
      <c r="ALM149" s="1"/>
      <c r="ALN149" s="1"/>
      <c r="ALO149" s="1"/>
      <c r="ALP149" s="1"/>
      <c r="ALQ149" s="1"/>
      <c r="ALR149" s="1"/>
      <c r="ALS149" s="1"/>
      <c r="ALT149" s="1"/>
      <c r="ALU149" s="1"/>
      <c r="ALV149" s="1"/>
      <c r="ALW149" s="1"/>
      <c r="ALX149" s="1"/>
      <c r="ALY149" s="1"/>
      <c r="ALZ149" s="1"/>
      <c r="AMA149" s="1"/>
      <c r="AMB149" s="1"/>
      <c r="AMC149" s="1"/>
      <c r="AMD149" s="1"/>
      <c r="AME149" s="1"/>
      <c r="AMF149" s="1"/>
      <c r="AMG149" s="1"/>
      <c r="AMH149" s="1"/>
      <c r="AMI149" s="1"/>
      <c r="AMJ149" s="1"/>
    </row>
    <row r="150" customFormat="false" ht="10.5" hidden="false" customHeight="true" outlineLevel="0" collapsed="false">
      <c r="A150" s="209" t="s">
        <v>268</v>
      </c>
      <c r="B150" s="209"/>
      <c r="C150" s="210" t="s">
        <v>269</v>
      </c>
      <c r="D150" s="210"/>
      <c r="E150" s="210"/>
      <c r="F150" s="210"/>
      <c r="G150" s="210"/>
      <c r="H150" s="210"/>
      <c r="I150" s="210"/>
      <c r="J150" s="210"/>
      <c r="K150" s="211" t="s">
        <v>270</v>
      </c>
      <c r="L150" s="211"/>
      <c r="M150" s="211"/>
      <c r="N150" s="212" t="n">
        <v>21</v>
      </c>
      <c r="O150" s="212"/>
      <c r="P150" s="211" t="s">
        <v>271</v>
      </c>
      <c r="Q150" s="211"/>
      <c r="R150" s="212" t="s">
        <v>272</v>
      </c>
      <c r="S150" s="212"/>
      <c r="T150" s="212"/>
      <c r="U150" s="211" t="s">
        <v>273</v>
      </c>
      <c r="V150" s="211"/>
      <c r="W150" s="212" t="s">
        <v>274</v>
      </c>
      <c r="X150" s="212"/>
      <c r="Y150" s="212"/>
      <c r="Z150" s="212"/>
      <c r="AA150" s="211" t="s">
        <v>275</v>
      </c>
      <c r="AB150" s="211"/>
      <c r="AC150" s="212" t="s">
        <v>276</v>
      </c>
      <c r="AD150" s="212"/>
      <c r="AE150" s="211" t="s">
        <v>277</v>
      </c>
      <c r="AF150" s="211"/>
      <c r="AG150" s="211"/>
      <c r="AH150" s="211"/>
      <c r="AI150" s="211"/>
      <c r="AJ150" s="211"/>
      <c r="AK150" s="213" t="n">
        <v>2</v>
      </c>
      <c r="AL150" s="213"/>
      <c r="AM150" s="214"/>
      <c r="AN150" s="214"/>
      <c r="AO150" s="214"/>
      <c r="BE150" s="1"/>
      <c r="BF150" s="1"/>
      <c r="BG150" s="1"/>
      <c r="BH150" s="1"/>
      <c r="BI150" s="1"/>
      <c r="BJ150" s="1"/>
      <c r="BK150" s="1"/>
      <c r="BL150" s="1"/>
      <c r="BM150" s="1"/>
      <c r="BN150" s="1"/>
      <c r="BO150" s="1"/>
      <c r="BP150" s="1"/>
      <c r="BQ150" s="1"/>
      <c r="BR150" s="1"/>
      <c r="BS150" s="1"/>
      <c r="BT150" s="1"/>
      <c r="BU150" s="1"/>
      <c r="BV150" s="1"/>
      <c r="BW150" s="1"/>
      <c r="BX150" s="1"/>
      <c r="BY150" s="1"/>
      <c r="BZ150" s="1"/>
      <c r="CA150" s="1"/>
      <c r="CB150" s="1"/>
      <c r="CC150" s="1"/>
      <c r="CD150" s="1"/>
      <c r="CE150" s="1"/>
      <c r="CF150" s="1"/>
      <c r="CG150" s="1"/>
      <c r="CH150" s="1"/>
      <c r="CI150" s="1"/>
      <c r="CJ150" s="1"/>
      <c r="CK150" s="1"/>
      <c r="CL150" s="1"/>
      <c r="CM150" s="1"/>
      <c r="CN150" s="1"/>
      <c r="CO150" s="1"/>
      <c r="CP150" s="1"/>
      <c r="CQ150" s="1"/>
      <c r="CR150" s="1"/>
      <c r="CS150" s="1"/>
      <c r="CT150" s="1"/>
      <c r="CU150" s="1"/>
      <c r="CV150" s="1"/>
      <c r="CW150" s="1"/>
      <c r="CX150" s="1"/>
      <c r="CY150" s="1"/>
      <c r="CZ150" s="1"/>
      <c r="DA150" s="1"/>
      <c r="DB150" s="1"/>
      <c r="DC150" s="1"/>
      <c r="DD150" s="1"/>
      <c r="DE150" s="1"/>
      <c r="DF150" s="1"/>
      <c r="DG150" s="1"/>
      <c r="DH150" s="1"/>
      <c r="DI150" s="1"/>
      <c r="DJ150" s="1"/>
      <c r="DK150" s="1"/>
      <c r="DL150" s="1"/>
      <c r="DM150" s="1"/>
      <c r="DN150" s="1"/>
      <c r="DO150" s="1"/>
      <c r="DP150" s="1"/>
      <c r="DQ150" s="1"/>
      <c r="DR150" s="1"/>
      <c r="DS150" s="1"/>
      <c r="DT150" s="1"/>
      <c r="DU150" s="1"/>
      <c r="DV150" s="1"/>
      <c r="DW150" s="1"/>
      <c r="DX150" s="1"/>
      <c r="DY150" s="1"/>
      <c r="DZ150" s="1"/>
      <c r="EA150" s="1"/>
      <c r="EB150" s="1"/>
      <c r="EC150" s="1"/>
      <c r="ED150" s="1"/>
      <c r="EE150" s="1"/>
      <c r="EF150" s="1"/>
      <c r="EG150" s="1"/>
      <c r="EH150" s="1"/>
      <c r="EI150" s="1"/>
      <c r="EJ150" s="1"/>
      <c r="EK150" s="1"/>
      <c r="EL150" s="1"/>
      <c r="EM150" s="1"/>
      <c r="EN150" s="1"/>
      <c r="EO150" s="1"/>
      <c r="EP150" s="1"/>
      <c r="EQ150" s="1"/>
      <c r="ER150" s="1"/>
      <c r="ES150" s="1"/>
      <c r="ET150" s="1"/>
      <c r="EU150" s="1"/>
      <c r="EV150" s="1"/>
      <c r="EW150" s="1"/>
      <c r="EX150" s="1"/>
      <c r="EY150" s="1"/>
      <c r="EZ150" s="1"/>
      <c r="FA150" s="1"/>
      <c r="FB150" s="1"/>
      <c r="FC150" s="1"/>
      <c r="FD150" s="1"/>
      <c r="FE150" s="1"/>
      <c r="FF150" s="1"/>
      <c r="FG150" s="1"/>
      <c r="FH150" s="1"/>
      <c r="FI150" s="1"/>
      <c r="FJ150" s="1"/>
      <c r="FK150" s="1"/>
      <c r="FL150" s="1"/>
      <c r="FM150" s="1"/>
      <c r="FN150" s="1"/>
      <c r="FO150" s="1"/>
      <c r="FP150" s="1"/>
      <c r="FQ150" s="1"/>
      <c r="FR150" s="1"/>
      <c r="FS150" s="1"/>
      <c r="FT150" s="1"/>
      <c r="FU150" s="1"/>
      <c r="FV150" s="1"/>
      <c r="FW150" s="1"/>
      <c r="FX150" s="1"/>
      <c r="FY150" s="1"/>
      <c r="FZ150" s="1"/>
      <c r="GA150" s="1"/>
      <c r="GB150" s="1"/>
      <c r="GC150" s="1"/>
      <c r="GD150" s="1"/>
      <c r="GE150" s="1"/>
      <c r="GF150" s="1"/>
      <c r="GG150" s="1"/>
      <c r="GH150" s="1"/>
      <c r="GI150" s="1"/>
      <c r="GJ150" s="1"/>
      <c r="GK150" s="1"/>
      <c r="GL150" s="1"/>
      <c r="GM150" s="1"/>
      <c r="GN150" s="1"/>
      <c r="GO150" s="1"/>
      <c r="GP150" s="1"/>
      <c r="GQ150" s="1"/>
      <c r="GR150" s="1"/>
      <c r="GS150" s="1"/>
      <c r="GT150" s="1"/>
      <c r="GU150" s="1"/>
      <c r="GV150" s="1"/>
      <c r="GW150" s="1"/>
      <c r="GX150" s="1"/>
      <c r="GY150" s="1"/>
      <c r="GZ150" s="1"/>
      <c r="HA150" s="1"/>
      <c r="HB150" s="1"/>
      <c r="HC150" s="1"/>
      <c r="HD150" s="1"/>
      <c r="HE150" s="1"/>
      <c r="HF150" s="1"/>
      <c r="HG150" s="1"/>
      <c r="HH150" s="1"/>
      <c r="HI150" s="1"/>
      <c r="HJ150" s="1"/>
      <c r="HK150" s="1"/>
      <c r="HL150" s="1"/>
      <c r="HM150" s="1"/>
      <c r="HN150" s="1"/>
      <c r="HO150" s="1"/>
      <c r="HP150" s="1"/>
      <c r="HQ150" s="1"/>
      <c r="HR150" s="1"/>
      <c r="HS150" s="1"/>
      <c r="HT150" s="1"/>
      <c r="HU150" s="1"/>
      <c r="HV150" s="1"/>
      <c r="HW150" s="1"/>
      <c r="HX150" s="1"/>
      <c r="HY150" s="1"/>
      <c r="HZ150" s="1"/>
      <c r="IA150" s="1"/>
      <c r="IB150" s="1"/>
      <c r="IC150" s="1"/>
      <c r="ID150" s="1"/>
      <c r="IE150" s="1"/>
      <c r="IF150" s="1"/>
      <c r="IG150" s="1"/>
      <c r="IH150" s="1"/>
      <c r="II150" s="1"/>
      <c r="IJ150" s="1"/>
      <c r="IK150" s="1"/>
      <c r="IL150" s="1"/>
      <c r="IM150" s="1"/>
      <c r="IN150" s="1"/>
      <c r="IO150" s="1"/>
      <c r="IP150" s="1"/>
      <c r="IQ150" s="1"/>
      <c r="IR150" s="1"/>
      <c r="IS150" s="1"/>
      <c r="IT150" s="1"/>
      <c r="IU150" s="1"/>
      <c r="IV150" s="1"/>
      <c r="IW150" s="1"/>
      <c r="IX150" s="1"/>
      <c r="IY150" s="1"/>
      <c r="IZ150" s="1"/>
      <c r="JA150" s="1"/>
      <c r="JB150" s="1"/>
      <c r="JC150" s="1"/>
      <c r="JD150" s="1"/>
      <c r="JE150" s="1"/>
      <c r="JF150" s="1"/>
      <c r="JG150" s="1"/>
      <c r="JH150" s="1"/>
      <c r="JI150" s="1"/>
      <c r="JJ150" s="1"/>
      <c r="JK150" s="1"/>
      <c r="JL150" s="1"/>
      <c r="JM150" s="1"/>
      <c r="JN150" s="1"/>
      <c r="JO150" s="1"/>
      <c r="JP150" s="1"/>
      <c r="JQ150" s="1"/>
      <c r="JR150" s="1"/>
      <c r="JS150" s="1"/>
      <c r="JT150" s="1"/>
      <c r="JU150" s="1"/>
      <c r="JV150" s="1"/>
      <c r="JW150" s="1"/>
      <c r="JX150" s="1"/>
      <c r="JY150" s="1"/>
      <c r="JZ150" s="1"/>
      <c r="KA150" s="1"/>
      <c r="KB150" s="1"/>
      <c r="KC150" s="1"/>
      <c r="KD150" s="1"/>
      <c r="KE150" s="1"/>
      <c r="KF150" s="1"/>
      <c r="KG150" s="1"/>
      <c r="KH150" s="1"/>
      <c r="KI150" s="1"/>
      <c r="KJ150" s="1"/>
      <c r="KK150" s="1"/>
      <c r="KL150" s="1"/>
      <c r="KM150" s="1"/>
      <c r="KN150" s="1"/>
      <c r="KO150" s="1"/>
      <c r="KP150" s="1"/>
      <c r="KQ150" s="1"/>
      <c r="KR150" s="1"/>
      <c r="KS150" s="1"/>
      <c r="KT150" s="1"/>
      <c r="KU150" s="1"/>
      <c r="KV150" s="1"/>
      <c r="KW150" s="1"/>
      <c r="KX150" s="1"/>
      <c r="KY150" s="1"/>
      <c r="KZ150" s="1"/>
      <c r="LA150" s="1"/>
      <c r="LB150" s="1"/>
      <c r="LC150" s="1"/>
      <c r="LD150" s="1"/>
      <c r="LE150" s="1"/>
      <c r="LF150" s="1"/>
      <c r="LG150" s="1"/>
      <c r="LH150" s="1"/>
      <c r="LI150" s="1"/>
      <c r="LJ150" s="1"/>
      <c r="LK150" s="1"/>
      <c r="LL150" s="1"/>
      <c r="LM150" s="1"/>
      <c r="LN150" s="1"/>
      <c r="LO150" s="1"/>
      <c r="LP150" s="1"/>
      <c r="LQ150" s="1"/>
      <c r="LR150" s="1"/>
      <c r="LS150" s="1"/>
      <c r="LT150" s="1"/>
      <c r="LU150" s="1"/>
      <c r="LV150" s="1"/>
      <c r="LW150" s="1"/>
      <c r="LX150" s="1"/>
      <c r="LY150" s="1"/>
      <c r="LZ150" s="1"/>
      <c r="MA150" s="1"/>
      <c r="MB150" s="1"/>
      <c r="MC150" s="1"/>
      <c r="MD150" s="1"/>
      <c r="ME150" s="1"/>
      <c r="MF150" s="1"/>
      <c r="MG150" s="1"/>
      <c r="MH150" s="1"/>
      <c r="MI150" s="1"/>
      <c r="MJ150" s="1"/>
      <c r="MK150" s="1"/>
      <c r="ML150" s="1"/>
      <c r="MM150" s="1"/>
      <c r="MN150" s="1"/>
      <c r="MO150" s="1"/>
      <c r="MP150" s="1"/>
      <c r="MQ150" s="1"/>
      <c r="MR150" s="1"/>
      <c r="MS150" s="1"/>
      <c r="MT150" s="1"/>
      <c r="MU150" s="1"/>
      <c r="MV150" s="1"/>
      <c r="MW150" s="1"/>
      <c r="MX150" s="1"/>
      <c r="MY150" s="1"/>
      <c r="MZ150" s="1"/>
      <c r="NA150" s="1"/>
      <c r="NB150" s="1"/>
      <c r="NC150" s="1"/>
      <c r="ND150" s="1"/>
      <c r="NE150" s="1"/>
      <c r="NF150" s="1"/>
      <c r="NG150" s="1"/>
      <c r="NH150" s="1"/>
      <c r="NI150" s="1"/>
      <c r="NJ150" s="1"/>
      <c r="NK150" s="1"/>
      <c r="NL150" s="1"/>
      <c r="NM150" s="1"/>
      <c r="NN150" s="1"/>
      <c r="NO150" s="1"/>
      <c r="NP150" s="1"/>
      <c r="NQ150" s="1"/>
      <c r="NR150" s="1"/>
      <c r="NS150" s="1"/>
      <c r="NT150" s="1"/>
      <c r="NU150" s="1"/>
      <c r="NV150" s="1"/>
      <c r="NW150" s="1"/>
      <c r="NX150" s="1"/>
      <c r="NY150" s="1"/>
      <c r="NZ150" s="1"/>
      <c r="OA150" s="1"/>
      <c r="OB150" s="1"/>
      <c r="OC150" s="1"/>
      <c r="OD150" s="1"/>
      <c r="OE150" s="1"/>
      <c r="OF150" s="1"/>
      <c r="OG150" s="1"/>
      <c r="OH150" s="1"/>
      <c r="OI150" s="1"/>
      <c r="OJ150" s="1"/>
      <c r="OK150" s="1"/>
      <c r="OL150" s="1"/>
      <c r="OM150" s="1"/>
      <c r="ON150" s="1"/>
      <c r="OO150" s="1"/>
      <c r="OP150" s="1"/>
      <c r="OQ150" s="1"/>
      <c r="OR150" s="1"/>
      <c r="OS150" s="1"/>
      <c r="OT150" s="1"/>
      <c r="OU150" s="1"/>
      <c r="OV150" s="1"/>
      <c r="OW150" s="1"/>
      <c r="OX150" s="1"/>
      <c r="OY150" s="1"/>
      <c r="OZ150" s="1"/>
      <c r="PA150" s="1"/>
      <c r="PB150" s="1"/>
      <c r="PC150" s="1"/>
      <c r="PD150" s="1"/>
      <c r="PE150" s="1"/>
      <c r="PF150" s="1"/>
      <c r="PG150" s="1"/>
      <c r="PH150" s="1"/>
      <c r="PI150" s="1"/>
      <c r="PJ150" s="1"/>
      <c r="PK150" s="1"/>
      <c r="PL150" s="1"/>
      <c r="PM150" s="1"/>
      <c r="PN150" s="1"/>
      <c r="PO150" s="1"/>
      <c r="PP150" s="1"/>
      <c r="PQ150" s="1"/>
      <c r="PR150" s="1"/>
      <c r="PS150" s="1"/>
      <c r="PT150" s="1"/>
      <c r="PU150" s="1"/>
      <c r="PV150" s="1"/>
      <c r="PW150" s="1"/>
      <c r="PX150" s="1"/>
      <c r="PY150" s="1"/>
      <c r="PZ150" s="1"/>
      <c r="QA150" s="1"/>
      <c r="QB150" s="1"/>
      <c r="QC150" s="1"/>
      <c r="QD150" s="1"/>
      <c r="QE150" s="1"/>
      <c r="QF150" s="1"/>
      <c r="QG150" s="1"/>
      <c r="QH150" s="1"/>
      <c r="QI150" s="1"/>
      <c r="QJ150" s="1"/>
      <c r="QK150" s="1"/>
      <c r="QL150" s="1"/>
      <c r="QM150" s="1"/>
      <c r="QN150" s="1"/>
      <c r="QO150" s="1"/>
      <c r="QP150" s="1"/>
      <c r="QQ150" s="1"/>
      <c r="QR150" s="1"/>
      <c r="QS150" s="1"/>
      <c r="QT150" s="1"/>
      <c r="QU150" s="1"/>
      <c r="QV150" s="1"/>
      <c r="QW150" s="1"/>
      <c r="QX150" s="1"/>
      <c r="QY150" s="1"/>
      <c r="QZ150" s="1"/>
      <c r="RA150" s="1"/>
      <c r="RB150" s="1"/>
      <c r="RC150" s="1"/>
      <c r="RD150" s="1"/>
      <c r="RE150" s="1"/>
      <c r="RF150" s="1"/>
      <c r="RG150" s="1"/>
      <c r="RH150" s="1"/>
      <c r="RI150" s="1"/>
      <c r="RJ150" s="1"/>
      <c r="RK150" s="1"/>
      <c r="RL150" s="1"/>
      <c r="RM150" s="1"/>
      <c r="RN150" s="1"/>
      <c r="RO150" s="1"/>
      <c r="RP150" s="1"/>
      <c r="RQ150" s="1"/>
      <c r="RR150" s="1"/>
      <c r="RS150" s="1"/>
      <c r="RT150" s="1"/>
      <c r="RU150" s="1"/>
      <c r="RV150" s="1"/>
      <c r="RW150" s="1"/>
      <c r="RX150" s="1"/>
      <c r="RY150" s="1"/>
      <c r="RZ150" s="1"/>
      <c r="SA150" s="1"/>
      <c r="SB150" s="1"/>
      <c r="SC150" s="1"/>
      <c r="SD150" s="1"/>
      <c r="SE150" s="1"/>
      <c r="SF150" s="1"/>
      <c r="SG150" s="1"/>
      <c r="SH150" s="1"/>
      <c r="SI150" s="1"/>
      <c r="SJ150" s="1"/>
      <c r="SK150" s="1"/>
      <c r="SL150" s="1"/>
      <c r="SM150" s="1"/>
      <c r="SN150" s="1"/>
      <c r="SO150" s="1"/>
      <c r="SP150" s="1"/>
      <c r="SQ150" s="1"/>
      <c r="SR150" s="1"/>
      <c r="SS150" s="1"/>
      <c r="ST150" s="1"/>
      <c r="SU150" s="1"/>
      <c r="SV150" s="1"/>
      <c r="SW150" s="1"/>
      <c r="SX150" s="1"/>
      <c r="SY150" s="1"/>
      <c r="SZ150" s="1"/>
      <c r="TA150" s="1"/>
      <c r="TB150" s="1"/>
      <c r="TC150" s="1"/>
      <c r="TD150" s="1"/>
      <c r="TE150" s="1"/>
      <c r="TF150" s="1"/>
      <c r="TG150" s="1"/>
      <c r="TH150" s="1"/>
      <c r="TI150" s="1"/>
      <c r="TJ150" s="1"/>
      <c r="TK150" s="1"/>
      <c r="TL150" s="1"/>
      <c r="TM150" s="1"/>
      <c r="TN150" s="1"/>
      <c r="TO150" s="1"/>
      <c r="TP150" s="1"/>
      <c r="TQ150" s="1"/>
      <c r="TR150" s="1"/>
      <c r="TS150" s="1"/>
      <c r="TT150" s="1"/>
      <c r="TU150" s="1"/>
      <c r="TV150" s="1"/>
      <c r="TW150" s="1"/>
      <c r="TX150" s="1"/>
      <c r="TY150" s="1"/>
      <c r="TZ150" s="1"/>
      <c r="UA150" s="1"/>
      <c r="UB150" s="1"/>
      <c r="UC150" s="1"/>
      <c r="UD150" s="1"/>
      <c r="UE150" s="1"/>
      <c r="UF150" s="1"/>
      <c r="UG150" s="1"/>
      <c r="UH150" s="1"/>
      <c r="UI150" s="1"/>
      <c r="UJ150" s="1"/>
      <c r="UK150" s="1"/>
      <c r="UL150" s="1"/>
      <c r="UM150" s="1"/>
      <c r="UN150" s="1"/>
      <c r="UO150" s="1"/>
      <c r="UP150" s="1"/>
      <c r="UQ150" s="1"/>
      <c r="UR150" s="1"/>
      <c r="US150" s="1"/>
      <c r="UT150" s="1"/>
      <c r="UU150" s="1"/>
      <c r="UV150" s="1"/>
      <c r="UW150" s="1"/>
      <c r="UX150" s="1"/>
      <c r="UY150" s="1"/>
      <c r="UZ150" s="1"/>
      <c r="VA150" s="1"/>
      <c r="VB150" s="1"/>
      <c r="VC150" s="1"/>
      <c r="VD150" s="1"/>
      <c r="VE150" s="1"/>
      <c r="VF150" s="1"/>
      <c r="VG150" s="1"/>
      <c r="VH150" s="1"/>
      <c r="VI150" s="1"/>
      <c r="VJ150" s="1"/>
      <c r="VK150" s="1"/>
      <c r="VL150" s="1"/>
      <c r="VM150" s="1"/>
      <c r="VN150" s="1"/>
      <c r="VO150" s="1"/>
      <c r="VP150" s="1"/>
      <c r="VQ150" s="1"/>
      <c r="VR150" s="1"/>
      <c r="VS150" s="1"/>
      <c r="VT150" s="1"/>
      <c r="VU150" s="1"/>
      <c r="VV150" s="1"/>
      <c r="VW150" s="1"/>
      <c r="VX150" s="1"/>
      <c r="VY150" s="1"/>
      <c r="VZ150" s="1"/>
      <c r="WA150" s="1"/>
      <c r="WB150" s="1"/>
      <c r="WC150" s="1"/>
      <c r="WD150" s="1"/>
      <c r="WE150" s="1"/>
      <c r="WF150" s="1"/>
      <c r="WG150" s="1"/>
      <c r="WH150" s="1"/>
      <c r="WI150" s="1"/>
      <c r="WJ150" s="1"/>
      <c r="WK150" s="1"/>
      <c r="WL150" s="1"/>
      <c r="WM150" s="1"/>
      <c r="WN150" s="1"/>
      <c r="WO150" s="1"/>
      <c r="WP150" s="1"/>
      <c r="WQ150" s="1"/>
      <c r="WR150" s="1"/>
      <c r="WS150" s="1"/>
      <c r="WT150" s="1"/>
      <c r="WU150" s="1"/>
      <c r="WV150" s="1"/>
      <c r="WW150" s="1"/>
      <c r="WX150" s="1"/>
      <c r="WY150" s="1"/>
      <c r="WZ150" s="1"/>
      <c r="XA150" s="1"/>
      <c r="XB150" s="1"/>
      <c r="XC150" s="1"/>
      <c r="XD150" s="1"/>
      <c r="XE150" s="1"/>
      <c r="XF150" s="1"/>
      <c r="XG150" s="1"/>
      <c r="XH150" s="1"/>
      <c r="XI150" s="1"/>
      <c r="XJ150" s="1"/>
      <c r="XK150" s="1"/>
      <c r="XL150" s="1"/>
      <c r="XM150" s="1"/>
      <c r="XN150" s="1"/>
      <c r="XO150" s="1"/>
      <c r="XP150" s="1"/>
      <c r="XQ150" s="1"/>
      <c r="XR150" s="1"/>
      <c r="XS150" s="1"/>
      <c r="XT150" s="1"/>
      <c r="XU150" s="1"/>
      <c r="XV150" s="1"/>
      <c r="XW150" s="1"/>
      <c r="XX150" s="1"/>
      <c r="XY150" s="1"/>
      <c r="XZ150" s="1"/>
      <c r="YA150" s="1"/>
      <c r="YB150" s="1"/>
      <c r="YC150" s="1"/>
      <c r="YD150" s="1"/>
      <c r="YE150" s="1"/>
      <c r="YF150" s="1"/>
      <c r="YG150" s="1"/>
      <c r="YH150" s="1"/>
      <c r="YI150" s="1"/>
      <c r="YJ150" s="1"/>
      <c r="YK150" s="1"/>
      <c r="YL150" s="1"/>
      <c r="YM150" s="1"/>
      <c r="YN150" s="1"/>
      <c r="YO150" s="1"/>
      <c r="YP150" s="1"/>
      <c r="YQ150" s="1"/>
      <c r="YR150" s="1"/>
      <c r="YS150" s="1"/>
      <c r="YT150" s="1"/>
      <c r="YU150" s="1"/>
      <c r="YV150" s="1"/>
      <c r="YW150" s="1"/>
      <c r="YX150" s="1"/>
      <c r="YY150" s="1"/>
      <c r="YZ150" s="1"/>
      <c r="ZA150" s="1"/>
      <c r="ZB150" s="1"/>
      <c r="ZC150" s="1"/>
      <c r="ZD150" s="1"/>
      <c r="ZE150" s="1"/>
      <c r="ZF150" s="1"/>
      <c r="ZG150" s="1"/>
      <c r="ZH150" s="1"/>
      <c r="ZI150" s="1"/>
      <c r="ZJ150" s="1"/>
      <c r="ZK150" s="1"/>
      <c r="ZL150" s="1"/>
      <c r="ZM150" s="1"/>
      <c r="ZN150" s="1"/>
      <c r="ZO150" s="1"/>
      <c r="ZP150" s="1"/>
      <c r="ZQ150" s="1"/>
      <c r="ZR150" s="1"/>
      <c r="ZS150" s="1"/>
      <c r="ZT150" s="1"/>
      <c r="ZU150" s="1"/>
      <c r="ZV150" s="1"/>
      <c r="ZW150" s="1"/>
      <c r="ZX150" s="1"/>
      <c r="ZY150" s="1"/>
      <c r="ZZ150" s="1"/>
      <c r="AAA150" s="1"/>
      <c r="AAB150" s="1"/>
      <c r="AAC150" s="1"/>
      <c r="AAD150" s="1"/>
      <c r="AAE150" s="1"/>
      <c r="AAF150" s="1"/>
      <c r="AAG150" s="1"/>
      <c r="AAH150" s="1"/>
      <c r="AAI150" s="1"/>
      <c r="AAJ150" s="1"/>
      <c r="AAK150" s="1"/>
      <c r="AAL150" s="1"/>
      <c r="AAM150" s="1"/>
      <c r="AAN150" s="1"/>
      <c r="AAO150" s="1"/>
      <c r="AAP150" s="1"/>
      <c r="AAQ150" s="1"/>
      <c r="AAR150" s="1"/>
      <c r="AAS150" s="1"/>
      <c r="AAT150" s="1"/>
      <c r="AAU150" s="1"/>
      <c r="AAV150" s="1"/>
      <c r="AAW150" s="1"/>
      <c r="AAX150" s="1"/>
      <c r="AAY150" s="1"/>
      <c r="AAZ150" s="1"/>
      <c r="ABA150" s="1"/>
      <c r="ABB150" s="1"/>
      <c r="ABC150" s="1"/>
      <c r="ABD150" s="1"/>
      <c r="ABE150" s="1"/>
      <c r="ABF150" s="1"/>
      <c r="ABG150" s="1"/>
      <c r="ABH150" s="1"/>
      <c r="ABI150" s="1"/>
      <c r="ABJ150" s="1"/>
      <c r="ABK150" s="1"/>
      <c r="ABL150" s="1"/>
      <c r="ABM150" s="1"/>
      <c r="ABN150" s="1"/>
      <c r="ABO150" s="1"/>
      <c r="ABP150" s="1"/>
      <c r="ABQ150" s="1"/>
      <c r="ABR150" s="1"/>
      <c r="ABS150" s="1"/>
      <c r="ABT150" s="1"/>
      <c r="ABU150" s="1"/>
      <c r="ABV150" s="1"/>
      <c r="ABW150" s="1"/>
      <c r="ABX150" s="1"/>
      <c r="ABY150" s="1"/>
      <c r="ABZ150" s="1"/>
      <c r="ACA150" s="1"/>
      <c r="ACB150" s="1"/>
      <c r="ACC150" s="1"/>
      <c r="ACD150" s="1"/>
      <c r="ACE150" s="1"/>
      <c r="ACF150" s="1"/>
      <c r="ACG150" s="1"/>
      <c r="ACH150" s="1"/>
      <c r="ACI150" s="1"/>
      <c r="ACJ150" s="1"/>
      <c r="ACK150" s="1"/>
      <c r="ACL150" s="1"/>
      <c r="ACM150" s="1"/>
      <c r="ACN150" s="1"/>
      <c r="ACO150" s="1"/>
      <c r="ACP150" s="1"/>
      <c r="ACQ150" s="1"/>
      <c r="ACR150" s="1"/>
      <c r="ACS150" s="1"/>
      <c r="ACT150" s="1"/>
      <c r="ACU150" s="1"/>
      <c r="ACV150" s="1"/>
      <c r="ACW150" s="1"/>
      <c r="ACX150" s="1"/>
      <c r="ACY150" s="1"/>
      <c r="ACZ150" s="1"/>
      <c r="ADA150" s="1"/>
      <c r="ADB150" s="1"/>
      <c r="ADC150" s="1"/>
      <c r="ADD150" s="1"/>
      <c r="ADE150" s="1"/>
      <c r="ADF150" s="1"/>
      <c r="ADG150" s="1"/>
      <c r="ADH150" s="1"/>
      <c r="ADI150" s="1"/>
      <c r="ADJ150" s="1"/>
      <c r="ADK150" s="1"/>
      <c r="ADL150" s="1"/>
      <c r="ADM150" s="1"/>
      <c r="ADN150" s="1"/>
      <c r="ADO150" s="1"/>
      <c r="ADP150" s="1"/>
      <c r="ADQ150" s="1"/>
      <c r="ADR150" s="1"/>
      <c r="ADS150" s="1"/>
      <c r="ADT150" s="1"/>
      <c r="ADU150" s="1"/>
      <c r="ADV150" s="1"/>
      <c r="ADW150" s="1"/>
      <c r="ADX150" s="1"/>
      <c r="ADY150" s="1"/>
      <c r="ADZ150" s="1"/>
      <c r="AEA150" s="1"/>
      <c r="AEB150" s="1"/>
      <c r="AEC150" s="1"/>
      <c r="AED150" s="1"/>
      <c r="AEE150" s="1"/>
      <c r="AEF150" s="1"/>
      <c r="AEG150" s="1"/>
      <c r="AEH150" s="1"/>
      <c r="AEI150" s="1"/>
      <c r="AEJ150" s="1"/>
      <c r="AEK150" s="1"/>
      <c r="AEL150" s="1"/>
      <c r="AEM150" s="1"/>
      <c r="AEN150" s="1"/>
      <c r="AEO150" s="1"/>
      <c r="AEP150" s="1"/>
      <c r="AEQ150" s="1"/>
      <c r="AER150" s="1"/>
      <c r="AES150" s="1"/>
      <c r="AET150" s="1"/>
      <c r="AEU150" s="1"/>
      <c r="AEV150" s="1"/>
      <c r="AEW150" s="1"/>
      <c r="AEX150" s="1"/>
      <c r="AEY150" s="1"/>
      <c r="AEZ150" s="1"/>
      <c r="AFA150" s="1"/>
      <c r="AFB150" s="1"/>
      <c r="AFC150" s="1"/>
      <c r="AFD150" s="1"/>
      <c r="AFE150" s="1"/>
      <c r="AFF150" s="1"/>
      <c r="AFG150" s="1"/>
      <c r="AFH150" s="1"/>
      <c r="AFI150" s="1"/>
      <c r="AFJ150" s="1"/>
      <c r="AFK150" s="1"/>
      <c r="AFL150" s="1"/>
      <c r="AFM150" s="1"/>
      <c r="AFN150" s="1"/>
      <c r="AFO150" s="1"/>
      <c r="AFP150" s="1"/>
      <c r="AFQ150" s="1"/>
      <c r="AFR150" s="1"/>
      <c r="AFS150" s="1"/>
      <c r="AFT150" s="1"/>
      <c r="AFU150" s="1"/>
      <c r="AFV150" s="1"/>
      <c r="AFW150" s="1"/>
      <c r="AFX150" s="1"/>
      <c r="AFY150" s="1"/>
      <c r="AFZ150" s="1"/>
      <c r="AGA150" s="1"/>
      <c r="AGB150" s="1"/>
      <c r="AGC150" s="1"/>
      <c r="AGD150" s="1"/>
      <c r="AGE150" s="1"/>
      <c r="AGF150" s="1"/>
      <c r="AGG150" s="1"/>
      <c r="AGH150" s="1"/>
      <c r="AGI150" s="1"/>
      <c r="AGJ150" s="1"/>
      <c r="AGK150" s="1"/>
      <c r="AGL150" s="1"/>
      <c r="AGM150" s="1"/>
      <c r="AGN150" s="1"/>
      <c r="AGO150" s="1"/>
      <c r="AGP150" s="1"/>
      <c r="AGQ150" s="1"/>
      <c r="AGR150" s="1"/>
      <c r="AGS150" s="1"/>
      <c r="AGT150" s="1"/>
      <c r="AGU150" s="1"/>
      <c r="AGV150" s="1"/>
      <c r="AGW150" s="1"/>
      <c r="AGX150" s="1"/>
      <c r="AGY150" s="1"/>
      <c r="AGZ150" s="1"/>
      <c r="AHA150" s="1"/>
      <c r="AHB150" s="1"/>
      <c r="AHC150" s="1"/>
      <c r="AHD150" s="1"/>
      <c r="AHE150" s="1"/>
      <c r="AHF150" s="1"/>
      <c r="AHG150" s="1"/>
      <c r="AHH150" s="1"/>
      <c r="AHI150" s="1"/>
      <c r="AHJ150" s="1"/>
      <c r="AHK150" s="1"/>
      <c r="AHL150" s="1"/>
      <c r="AHM150" s="1"/>
      <c r="AHN150" s="1"/>
      <c r="AHO150" s="1"/>
      <c r="AHP150" s="1"/>
      <c r="AHQ150" s="1"/>
      <c r="AHR150" s="1"/>
      <c r="AHS150" s="1"/>
      <c r="AHT150" s="1"/>
      <c r="AHU150" s="1"/>
      <c r="AHV150" s="1"/>
      <c r="AHW150" s="1"/>
      <c r="AHX150" s="1"/>
      <c r="AHY150" s="1"/>
      <c r="AHZ150" s="1"/>
      <c r="AIA150" s="1"/>
      <c r="AIB150" s="1"/>
      <c r="AIC150" s="1"/>
      <c r="AID150" s="1"/>
      <c r="AIE150" s="1"/>
      <c r="AIF150" s="1"/>
      <c r="AIG150" s="1"/>
      <c r="AIH150" s="1"/>
      <c r="AII150" s="1"/>
      <c r="AIJ150" s="1"/>
      <c r="AIK150" s="1"/>
      <c r="AIL150" s="1"/>
      <c r="AIM150" s="1"/>
      <c r="AIN150" s="1"/>
      <c r="AIO150" s="1"/>
      <c r="AIP150" s="1"/>
      <c r="AIQ150" s="1"/>
      <c r="AIR150" s="1"/>
      <c r="AIS150" s="1"/>
      <c r="AIT150" s="1"/>
      <c r="AIU150" s="1"/>
      <c r="AIV150" s="1"/>
      <c r="AIW150" s="1"/>
      <c r="AIX150" s="1"/>
      <c r="AIY150" s="1"/>
      <c r="AIZ150" s="1"/>
      <c r="AJA150" s="1"/>
      <c r="AJB150" s="1"/>
      <c r="AJC150" s="1"/>
      <c r="AJD150" s="1"/>
      <c r="AJE150" s="1"/>
      <c r="AJF150" s="1"/>
      <c r="AJG150" s="1"/>
      <c r="AJH150" s="1"/>
      <c r="AJI150" s="1"/>
      <c r="AJJ150" s="1"/>
      <c r="AJK150" s="1"/>
      <c r="AJL150" s="1"/>
      <c r="AJM150" s="1"/>
      <c r="AJN150" s="1"/>
      <c r="AJO150" s="1"/>
      <c r="AJP150" s="1"/>
      <c r="AJQ150" s="1"/>
      <c r="AJR150" s="1"/>
      <c r="AJS150" s="1"/>
      <c r="AJT150" s="1"/>
      <c r="AJU150" s="1"/>
      <c r="AJV150" s="1"/>
      <c r="AJW150" s="1"/>
      <c r="AJX150" s="1"/>
      <c r="AJY150" s="1"/>
      <c r="AJZ150" s="1"/>
      <c r="AKA150" s="1"/>
      <c r="AKB150" s="1"/>
      <c r="AKC150" s="1"/>
      <c r="AKD150" s="1"/>
      <c r="AKE150" s="1"/>
      <c r="AKF150" s="1"/>
      <c r="AKG150" s="1"/>
      <c r="AKH150" s="1"/>
      <c r="AKI150" s="1"/>
      <c r="AKJ150" s="1"/>
      <c r="AKK150" s="1"/>
      <c r="AKL150" s="1"/>
      <c r="AKM150" s="1"/>
      <c r="AKN150" s="1"/>
      <c r="AKO150" s="1"/>
      <c r="AKP150" s="1"/>
      <c r="AKQ150" s="1"/>
      <c r="AKR150" s="1"/>
      <c r="AKS150" s="1"/>
      <c r="AKT150" s="1"/>
      <c r="AKU150" s="1"/>
      <c r="AKV150" s="1"/>
      <c r="AKW150" s="1"/>
      <c r="AKX150" s="1"/>
      <c r="AKY150" s="1"/>
      <c r="AKZ150" s="1"/>
      <c r="ALA150" s="1"/>
      <c r="ALB150" s="1"/>
      <c r="ALC150" s="1"/>
      <c r="ALD150" s="1"/>
      <c r="ALE150" s="1"/>
      <c r="ALF150" s="1"/>
      <c r="ALG150" s="1"/>
      <c r="ALH150" s="1"/>
      <c r="ALI150" s="1"/>
      <c r="ALJ150" s="1"/>
      <c r="ALK150" s="1"/>
      <c r="ALL150" s="1"/>
      <c r="ALM150" s="1"/>
      <c r="ALN150" s="1"/>
      <c r="ALO150" s="1"/>
      <c r="ALP150" s="1"/>
      <c r="ALQ150" s="1"/>
      <c r="ALR150" s="1"/>
      <c r="ALS150" s="1"/>
      <c r="ALT150" s="1"/>
      <c r="ALU150" s="1"/>
      <c r="ALV150" s="1"/>
      <c r="ALW150" s="1"/>
      <c r="ALX150" s="1"/>
      <c r="ALY150" s="1"/>
      <c r="ALZ150" s="1"/>
      <c r="AMA150" s="1"/>
      <c r="AMB150" s="1"/>
      <c r="AMC150" s="1"/>
      <c r="AMD150" s="1"/>
      <c r="AME150" s="1"/>
      <c r="AMF150" s="1"/>
      <c r="AMG150" s="1"/>
      <c r="AMH150" s="1"/>
      <c r="AMI150" s="1"/>
      <c r="AMJ150" s="1"/>
    </row>
    <row r="151" customFormat="false" ht="2.25" hidden="false" customHeight="true" outlineLevel="0" collapsed="false">
      <c r="A151" s="38"/>
      <c r="C151" s="215"/>
      <c r="D151" s="215"/>
      <c r="E151" s="215"/>
      <c r="F151" s="215"/>
      <c r="G151" s="215"/>
      <c r="H151" s="215"/>
      <c r="I151" s="215"/>
      <c r="J151" s="215"/>
      <c r="AK151" s="215"/>
      <c r="AO151" s="40"/>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c r="CM151" s="1"/>
      <c r="CN151" s="1"/>
      <c r="CO151" s="1"/>
      <c r="CP151" s="1"/>
      <c r="CQ151" s="1"/>
      <c r="CR151" s="1"/>
      <c r="CS151" s="1"/>
      <c r="CT151" s="1"/>
      <c r="CU151" s="1"/>
      <c r="CV151" s="1"/>
      <c r="CW151" s="1"/>
      <c r="CX151" s="1"/>
      <c r="CY151" s="1"/>
      <c r="CZ151" s="1"/>
      <c r="DA151" s="1"/>
      <c r="DB151" s="1"/>
      <c r="DC151" s="1"/>
      <c r="DD151" s="1"/>
      <c r="DE151" s="1"/>
      <c r="DF151" s="1"/>
      <c r="DG151" s="1"/>
      <c r="DH151" s="1"/>
      <c r="DI151" s="1"/>
      <c r="DJ151" s="1"/>
      <c r="DK151" s="1"/>
      <c r="DL151" s="1"/>
      <c r="DM151" s="1"/>
      <c r="DN151" s="1"/>
      <c r="DO151" s="1"/>
      <c r="DP151" s="1"/>
      <c r="DQ151" s="1"/>
      <c r="DR151" s="1"/>
      <c r="DS151" s="1"/>
      <c r="DT151" s="1"/>
      <c r="DU151" s="1"/>
      <c r="DV151" s="1"/>
      <c r="DW151" s="1"/>
      <c r="DX151" s="1"/>
      <c r="DY151" s="1"/>
      <c r="DZ151" s="1"/>
      <c r="EA151" s="1"/>
      <c r="EB151" s="1"/>
      <c r="EC151" s="1"/>
      <c r="ED151" s="1"/>
      <c r="EE151" s="1"/>
      <c r="EF151" s="1"/>
      <c r="EG151" s="1"/>
      <c r="EH151" s="1"/>
      <c r="EI151" s="1"/>
      <c r="EJ151" s="1"/>
      <c r="EK151" s="1"/>
      <c r="EL151" s="1"/>
      <c r="EM151" s="1"/>
      <c r="EN151" s="1"/>
      <c r="EO151" s="1"/>
      <c r="EP151" s="1"/>
      <c r="EQ151" s="1"/>
      <c r="ER151" s="1"/>
      <c r="ES151" s="1"/>
      <c r="ET151" s="1"/>
      <c r="EU151" s="1"/>
      <c r="EV151" s="1"/>
      <c r="EW151" s="1"/>
      <c r="EX151" s="1"/>
      <c r="EY151" s="1"/>
      <c r="EZ151" s="1"/>
      <c r="FA151" s="1"/>
      <c r="FB151" s="1"/>
      <c r="FC151" s="1"/>
      <c r="FD151" s="1"/>
      <c r="FE151" s="1"/>
      <c r="FF151" s="1"/>
      <c r="FG151" s="1"/>
      <c r="FH151" s="1"/>
      <c r="FI151" s="1"/>
      <c r="FJ151" s="1"/>
      <c r="FK151" s="1"/>
      <c r="FL151" s="1"/>
      <c r="FM151" s="1"/>
      <c r="FN151" s="1"/>
      <c r="FO151" s="1"/>
      <c r="FP151" s="1"/>
      <c r="FQ151" s="1"/>
      <c r="FR151" s="1"/>
      <c r="FS151" s="1"/>
      <c r="FT151" s="1"/>
      <c r="FU151" s="1"/>
      <c r="FV151" s="1"/>
      <c r="FW151" s="1"/>
      <c r="FX151" s="1"/>
      <c r="FY151" s="1"/>
      <c r="FZ151" s="1"/>
      <c r="GA151" s="1"/>
      <c r="GB151" s="1"/>
      <c r="GC151" s="1"/>
      <c r="GD151" s="1"/>
      <c r="GE151" s="1"/>
      <c r="GF151" s="1"/>
      <c r="GG151" s="1"/>
      <c r="GH151" s="1"/>
      <c r="GI151" s="1"/>
      <c r="GJ151" s="1"/>
      <c r="GK151" s="1"/>
      <c r="GL151" s="1"/>
      <c r="GM151" s="1"/>
      <c r="GN151" s="1"/>
      <c r="GO151" s="1"/>
      <c r="GP151" s="1"/>
      <c r="GQ151" s="1"/>
      <c r="GR151" s="1"/>
      <c r="GS151" s="1"/>
      <c r="GT151" s="1"/>
      <c r="GU151" s="1"/>
      <c r="GV151" s="1"/>
      <c r="GW151" s="1"/>
      <c r="GX151" s="1"/>
      <c r="GY151" s="1"/>
      <c r="GZ151" s="1"/>
      <c r="HA151" s="1"/>
      <c r="HB151" s="1"/>
      <c r="HC151" s="1"/>
      <c r="HD151" s="1"/>
      <c r="HE151" s="1"/>
      <c r="HF151" s="1"/>
      <c r="HG151" s="1"/>
      <c r="HH151" s="1"/>
      <c r="HI151" s="1"/>
      <c r="HJ151" s="1"/>
      <c r="HK151" s="1"/>
      <c r="HL151" s="1"/>
      <c r="HM151" s="1"/>
      <c r="HN151" s="1"/>
      <c r="HO151" s="1"/>
      <c r="HP151" s="1"/>
      <c r="HQ151" s="1"/>
      <c r="HR151" s="1"/>
      <c r="HS151" s="1"/>
      <c r="HT151" s="1"/>
      <c r="HU151" s="1"/>
      <c r="HV151" s="1"/>
      <c r="HW151" s="1"/>
      <c r="HX151" s="1"/>
      <c r="HY151" s="1"/>
      <c r="HZ151" s="1"/>
      <c r="IA151" s="1"/>
      <c r="IB151" s="1"/>
      <c r="IC151" s="1"/>
      <c r="ID151" s="1"/>
      <c r="IE151" s="1"/>
      <c r="IF151" s="1"/>
      <c r="IG151" s="1"/>
      <c r="IH151" s="1"/>
      <c r="II151" s="1"/>
      <c r="IJ151" s="1"/>
      <c r="IK151" s="1"/>
      <c r="IL151" s="1"/>
      <c r="IM151" s="1"/>
      <c r="IN151" s="1"/>
      <c r="IO151" s="1"/>
      <c r="IP151" s="1"/>
      <c r="IQ151" s="1"/>
      <c r="IR151" s="1"/>
      <c r="IS151" s="1"/>
      <c r="IT151" s="1"/>
      <c r="IU151" s="1"/>
      <c r="IV151" s="1"/>
      <c r="IW151" s="1"/>
      <c r="IX151" s="1"/>
      <c r="IY151" s="1"/>
      <c r="IZ151" s="1"/>
      <c r="JA151" s="1"/>
      <c r="JB151" s="1"/>
      <c r="JC151" s="1"/>
      <c r="JD151" s="1"/>
      <c r="JE151" s="1"/>
      <c r="JF151" s="1"/>
      <c r="JG151" s="1"/>
      <c r="JH151" s="1"/>
      <c r="JI151" s="1"/>
      <c r="JJ151" s="1"/>
      <c r="JK151" s="1"/>
      <c r="JL151" s="1"/>
      <c r="JM151" s="1"/>
      <c r="JN151" s="1"/>
      <c r="JO151" s="1"/>
      <c r="JP151" s="1"/>
      <c r="JQ151" s="1"/>
      <c r="JR151" s="1"/>
      <c r="JS151" s="1"/>
      <c r="JT151" s="1"/>
      <c r="JU151" s="1"/>
      <c r="JV151" s="1"/>
      <c r="JW151" s="1"/>
      <c r="JX151" s="1"/>
      <c r="JY151" s="1"/>
      <c r="JZ151" s="1"/>
      <c r="KA151" s="1"/>
      <c r="KB151" s="1"/>
      <c r="KC151" s="1"/>
      <c r="KD151" s="1"/>
      <c r="KE151" s="1"/>
      <c r="KF151" s="1"/>
      <c r="KG151" s="1"/>
      <c r="KH151" s="1"/>
      <c r="KI151" s="1"/>
      <c r="KJ151" s="1"/>
      <c r="KK151" s="1"/>
      <c r="KL151" s="1"/>
      <c r="KM151" s="1"/>
      <c r="KN151" s="1"/>
      <c r="KO151" s="1"/>
      <c r="KP151" s="1"/>
      <c r="KQ151" s="1"/>
      <c r="KR151" s="1"/>
      <c r="KS151" s="1"/>
      <c r="KT151" s="1"/>
      <c r="KU151" s="1"/>
      <c r="KV151" s="1"/>
      <c r="KW151" s="1"/>
      <c r="KX151" s="1"/>
      <c r="KY151" s="1"/>
      <c r="KZ151" s="1"/>
      <c r="LA151" s="1"/>
      <c r="LB151" s="1"/>
      <c r="LC151" s="1"/>
      <c r="LD151" s="1"/>
      <c r="LE151" s="1"/>
      <c r="LF151" s="1"/>
      <c r="LG151" s="1"/>
      <c r="LH151" s="1"/>
      <c r="LI151" s="1"/>
      <c r="LJ151" s="1"/>
      <c r="LK151" s="1"/>
      <c r="LL151" s="1"/>
      <c r="LM151" s="1"/>
      <c r="LN151" s="1"/>
      <c r="LO151" s="1"/>
      <c r="LP151" s="1"/>
      <c r="LQ151" s="1"/>
      <c r="LR151" s="1"/>
      <c r="LS151" s="1"/>
      <c r="LT151" s="1"/>
      <c r="LU151" s="1"/>
      <c r="LV151" s="1"/>
      <c r="LW151" s="1"/>
      <c r="LX151" s="1"/>
      <c r="LY151" s="1"/>
      <c r="LZ151" s="1"/>
      <c r="MA151" s="1"/>
      <c r="MB151" s="1"/>
      <c r="MC151" s="1"/>
      <c r="MD151" s="1"/>
      <c r="ME151" s="1"/>
      <c r="MF151" s="1"/>
      <c r="MG151" s="1"/>
      <c r="MH151" s="1"/>
      <c r="MI151" s="1"/>
      <c r="MJ151" s="1"/>
      <c r="MK151" s="1"/>
      <c r="ML151" s="1"/>
      <c r="MM151" s="1"/>
      <c r="MN151" s="1"/>
      <c r="MO151" s="1"/>
      <c r="MP151" s="1"/>
      <c r="MQ151" s="1"/>
      <c r="MR151" s="1"/>
      <c r="MS151" s="1"/>
      <c r="MT151" s="1"/>
      <c r="MU151" s="1"/>
      <c r="MV151" s="1"/>
      <c r="MW151" s="1"/>
      <c r="MX151" s="1"/>
      <c r="MY151" s="1"/>
      <c r="MZ151" s="1"/>
      <c r="NA151" s="1"/>
      <c r="NB151" s="1"/>
      <c r="NC151" s="1"/>
      <c r="ND151" s="1"/>
      <c r="NE151" s="1"/>
      <c r="NF151" s="1"/>
      <c r="NG151" s="1"/>
      <c r="NH151" s="1"/>
      <c r="NI151" s="1"/>
      <c r="NJ151" s="1"/>
      <c r="NK151" s="1"/>
      <c r="NL151" s="1"/>
      <c r="NM151" s="1"/>
      <c r="NN151" s="1"/>
      <c r="NO151" s="1"/>
      <c r="NP151" s="1"/>
      <c r="NQ151" s="1"/>
      <c r="NR151" s="1"/>
      <c r="NS151" s="1"/>
      <c r="NT151" s="1"/>
      <c r="NU151" s="1"/>
      <c r="NV151" s="1"/>
      <c r="NW151" s="1"/>
      <c r="NX151" s="1"/>
      <c r="NY151" s="1"/>
      <c r="NZ151" s="1"/>
      <c r="OA151" s="1"/>
      <c r="OB151" s="1"/>
      <c r="OC151" s="1"/>
      <c r="OD151" s="1"/>
      <c r="OE151" s="1"/>
      <c r="OF151" s="1"/>
      <c r="OG151" s="1"/>
      <c r="OH151" s="1"/>
      <c r="OI151" s="1"/>
      <c r="OJ151" s="1"/>
      <c r="OK151" s="1"/>
      <c r="OL151" s="1"/>
      <c r="OM151" s="1"/>
      <c r="ON151" s="1"/>
      <c r="OO151" s="1"/>
      <c r="OP151" s="1"/>
      <c r="OQ151" s="1"/>
      <c r="OR151" s="1"/>
      <c r="OS151" s="1"/>
      <c r="OT151" s="1"/>
      <c r="OU151" s="1"/>
      <c r="OV151" s="1"/>
      <c r="OW151" s="1"/>
      <c r="OX151" s="1"/>
      <c r="OY151" s="1"/>
      <c r="OZ151" s="1"/>
      <c r="PA151" s="1"/>
      <c r="PB151" s="1"/>
      <c r="PC151" s="1"/>
      <c r="PD151" s="1"/>
      <c r="PE151" s="1"/>
      <c r="PF151" s="1"/>
      <c r="PG151" s="1"/>
      <c r="PH151" s="1"/>
      <c r="PI151" s="1"/>
      <c r="PJ151" s="1"/>
      <c r="PK151" s="1"/>
      <c r="PL151" s="1"/>
      <c r="PM151" s="1"/>
      <c r="PN151" s="1"/>
      <c r="PO151" s="1"/>
      <c r="PP151" s="1"/>
      <c r="PQ151" s="1"/>
      <c r="PR151" s="1"/>
      <c r="PS151" s="1"/>
      <c r="PT151" s="1"/>
      <c r="PU151" s="1"/>
      <c r="PV151" s="1"/>
      <c r="PW151" s="1"/>
      <c r="PX151" s="1"/>
      <c r="PY151" s="1"/>
      <c r="PZ151" s="1"/>
      <c r="QA151" s="1"/>
      <c r="QB151" s="1"/>
      <c r="QC151" s="1"/>
      <c r="QD151" s="1"/>
      <c r="QE151" s="1"/>
      <c r="QF151" s="1"/>
      <c r="QG151" s="1"/>
      <c r="QH151" s="1"/>
      <c r="QI151" s="1"/>
      <c r="QJ151" s="1"/>
      <c r="QK151" s="1"/>
      <c r="QL151" s="1"/>
      <c r="QM151" s="1"/>
      <c r="QN151" s="1"/>
      <c r="QO151" s="1"/>
      <c r="QP151" s="1"/>
      <c r="QQ151" s="1"/>
      <c r="QR151" s="1"/>
      <c r="QS151" s="1"/>
      <c r="QT151" s="1"/>
      <c r="QU151" s="1"/>
      <c r="QV151" s="1"/>
      <c r="QW151" s="1"/>
      <c r="QX151" s="1"/>
      <c r="QY151" s="1"/>
      <c r="QZ151" s="1"/>
      <c r="RA151" s="1"/>
      <c r="RB151" s="1"/>
      <c r="RC151" s="1"/>
      <c r="RD151" s="1"/>
      <c r="RE151" s="1"/>
      <c r="RF151" s="1"/>
      <c r="RG151" s="1"/>
      <c r="RH151" s="1"/>
      <c r="RI151" s="1"/>
      <c r="RJ151" s="1"/>
      <c r="RK151" s="1"/>
      <c r="RL151" s="1"/>
      <c r="RM151" s="1"/>
      <c r="RN151" s="1"/>
      <c r="RO151" s="1"/>
      <c r="RP151" s="1"/>
      <c r="RQ151" s="1"/>
      <c r="RR151" s="1"/>
      <c r="RS151" s="1"/>
      <c r="RT151" s="1"/>
      <c r="RU151" s="1"/>
      <c r="RV151" s="1"/>
      <c r="RW151" s="1"/>
      <c r="RX151" s="1"/>
      <c r="RY151" s="1"/>
      <c r="RZ151" s="1"/>
      <c r="SA151" s="1"/>
      <c r="SB151" s="1"/>
      <c r="SC151" s="1"/>
      <c r="SD151" s="1"/>
      <c r="SE151" s="1"/>
      <c r="SF151" s="1"/>
      <c r="SG151" s="1"/>
      <c r="SH151" s="1"/>
      <c r="SI151" s="1"/>
      <c r="SJ151" s="1"/>
      <c r="SK151" s="1"/>
      <c r="SL151" s="1"/>
      <c r="SM151" s="1"/>
      <c r="SN151" s="1"/>
      <c r="SO151" s="1"/>
      <c r="SP151" s="1"/>
      <c r="SQ151" s="1"/>
      <c r="SR151" s="1"/>
      <c r="SS151" s="1"/>
      <c r="ST151" s="1"/>
      <c r="SU151" s="1"/>
      <c r="SV151" s="1"/>
      <c r="SW151" s="1"/>
      <c r="SX151" s="1"/>
      <c r="SY151" s="1"/>
      <c r="SZ151" s="1"/>
      <c r="TA151" s="1"/>
      <c r="TB151" s="1"/>
      <c r="TC151" s="1"/>
      <c r="TD151" s="1"/>
      <c r="TE151" s="1"/>
      <c r="TF151" s="1"/>
      <c r="TG151" s="1"/>
      <c r="TH151" s="1"/>
      <c r="TI151" s="1"/>
      <c r="TJ151" s="1"/>
      <c r="TK151" s="1"/>
      <c r="TL151" s="1"/>
      <c r="TM151" s="1"/>
      <c r="TN151" s="1"/>
      <c r="TO151" s="1"/>
      <c r="TP151" s="1"/>
      <c r="TQ151" s="1"/>
      <c r="TR151" s="1"/>
      <c r="TS151" s="1"/>
      <c r="TT151" s="1"/>
      <c r="TU151" s="1"/>
      <c r="TV151" s="1"/>
      <c r="TW151" s="1"/>
      <c r="TX151" s="1"/>
      <c r="TY151" s="1"/>
      <c r="TZ151" s="1"/>
      <c r="UA151" s="1"/>
      <c r="UB151" s="1"/>
      <c r="UC151" s="1"/>
      <c r="UD151" s="1"/>
      <c r="UE151" s="1"/>
      <c r="UF151" s="1"/>
      <c r="UG151" s="1"/>
      <c r="UH151" s="1"/>
      <c r="UI151" s="1"/>
      <c r="UJ151" s="1"/>
      <c r="UK151" s="1"/>
      <c r="UL151" s="1"/>
      <c r="UM151" s="1"/>
      <c r="UN151" s="1"/>
      <c r="UO151" s="1"/>
      <c r="UP151" s="1"/>
      <c r="UQ151" s="1"/>
      <c r="UR151" s="1"/>
      <c r="US151" s="1"/>
      <c r="UT151" s="1"/>
      <c r="UU151" s="1"/>
      <c r="UV151" s="1"/>
      <c r="UW151" s="1"/>
      <c r="UX151" s="1"/>
      <c r="UY151" s="1"/>
      <c r="UZ151" s="1"/>
      <c r="VA151" s="1"/>
      <c r="VB151" s="1"/>
      <c r="VC151" s="1"/>
      <c r="VD151" s="1"/>
      <c r="VE151" s="1"/>
      <c r="VF151" s="1"/>
      <c r="VG151" s="1"/>
      <c r="VH151" s="1"/>
      <c r="VI151" s="1"/>
      <c r="VJ151" s="1"/>
      <c r="VK151" s="1"/>
      <c r="VL151" s="1"/>
      <c r="VM151" s="1"/>
      <c r="VN151" s="1"/>
      <c r="VO151" s="1"/>
      <c r="VP151" s="1"/>
      <c r="VQ151" s="1"/>
      <c r="VR151" s="1"/>
      <c r="VS151" s="1"/>
      <c r="VT151" s="1"/>
      <c r="VU151" s="1"/>
      <c r="VV151" s="1"/>
      <c r="VW151" s="1"/>
      <c r="VX151" s="1"/>
      <c r="VY151" s="1"/>
      <c r="VZ151" s="1"/>
      <c r="WA151" s="1"/>
      <c r="WB151" s="1"/>
      <c r="WC151" s="1"/>
      <c r="WD151" s="1"/>
      <c r="WE151" s="1"/>
      <c r="WF151" s="1"/>
      <c r="WG151" s="1"/>
      <c r="WH151" s="1"/>
      <c r="WI151" s="1"/>
      <c r="WJ151" s="1"/>
      <c r="WK151" s="1"/>
      <c r="WL151" s="1"/>
      <c r="WM151" s="1"/>
      <c r="WN151" s="1"/>
      <c r="WO151" s="1"/>
      <c r="WP151" s="1"/>
      <c r="WQ151" s="1"/>
      <c r="WR151" s="1"/>
      <c r="WS151" s="1"/>
      <c r="WT151" s="1"/>
      <c r="WU151" s="1"/>
      <c r="WV151" s="1"/>
      <c r="WW151" s="1"/>
      <c r="WX151" s="1"/>
      <c r="WY151" s="1"/>
      <c r="WZ151" s="1"/>
      <c r="XA151" s="1"/>
      <c r="XB151" s="1"/>
      <c r="XC151" s="1"/>
      <c r="XD151" s="1"/>
      <c r="XE151" s="1"/>
      <c r="XF151" s="1"/>
      <c r="XG151" s="1"/>
      <c r="XH151" s="1"/>
      <c r="XI151" s="1"/>
      <c r="XJ151" s="1"/>
      <c r="XK151" s="1"/>
      <c r="XL151" s="1"/>
      <c r="XM151" s="1"/>
      <c r="XN151" s="1"/>
      <c r="XO151" s="1"/>
      <c r="XP151" s="1"/>
      <c r="XQ151" s="1"/>
      <c r="XR151" s="1"/>
      <c r="XS151" s="1"/>
      <c r="XT151" s="1"/>
      <c r="XU151" s="1"/>
      <c r="XV151" s="1"/>
      <c r="XW151" s="1"/>
      <c r="XX151" s="1"/>
      <c r="XY151" s="1"/>
      <c r="XZ151" s="1"/>
      <c r="YA151" s="1"/>
      <c r="YB151" s="1"/>
      <c r="YC151" s="1"/>
      <c r="YD151" s="1"/>
      <c r="YE151" s="1"/>
      <c r="YF151" s="1"/>
      <c r="YG151" s="1"/>
      <c r="YH151" s="1"/>
      <c r="YI151" s="1"/>
      <c r="YJ151" s="1"/>
      <c r="YK151" s="1"/>
      <c r="YL151" s="1"/>
      <c r="YM151" s="1"/>
      <c r="YN151" s="1"/>
      <c r="YO151" s="1"/>
      <c r="YP151" s="1"/>
      <c r="YQ151" s="1"/>
      <c r="YR151" s="1"/>
      <c r="YS151" s="1"/>
      <c r="YT151" s="1"/>
      <c r="YU151" s="1"/>
      <c r="YV151" s="1"/>
      <c r="YW151" s="1"/>
      <c r="YX151" s="1"/>
      <c r="YY151" s="1"/>
      <c r="YZ151" s="1"/>
      <c r="ZA151" s="1"/>
      <c r="ZB151" s="1"/>
      <c r="ZC151" s="1"/>
      <c r="ZD151" s="1"/>
      <c r="ZE151" s="1"/>
      <c r="ZF151" s="1"/>
      <c r="ZG151" s="1"/>
      <c r="ZH151" s="1"/>
      <c r="ZI151" s="1"/>
      <c r="ZJ151" s="1"/>
      <c r="ZK151" s="1"/>
      <c r="ZL151" s="1"/>
      <c r="ZM151" s="1"/>
      <c r="ZN151" s="1"/>
      <c r="ZO151" s="1"/>
      <c r="ZP151" s="1"/>
      <c r="ZQ151" s="1"/>
      <c r="ZR151" s="1"/>
      <c r="ZS151" s="1"/>
      <c r="ZT151" s="1"/>
      <c r="ZU151" s="1"/>
      <c r="ZV151" s="1"/>
      <c r="ZW151" s="1"/>
      <c r="ZX151" s="1"/>
      <c r="ZY151" s="1"/>
      <c r="ZZ151" s="1"/>
      <c r="AAA151" s="1"/>
      <c r="AAB151" s="1"/>
      <c r="AAC151" s="1"/>
      <c r="AAD151" s="1"/>
      <c r="AAE151" s="1"/>
      <c r="AAF151" s="1"/>
      <c r="AAG151" s="1"/>
      <c r="AAH151" s="1"/>
      <c r="AAI151" s="1"/>
      <c r="AAJ151" s="1"/>
      <c r="AAK151" s="1"/>
      <c r="AAL151" s="1"/>
      <c r="AAM151" s="1"/>
      <c r="AAN151" s="1"/>
      <c r="AAO151" s="1"/>
      <c r="AAP151" s="1"/>
      <c r="AAQ151" s="1"/>
      <c r="AAR151" s="1"/>
      <c r="AAS151" s="1"/>
      <c r="AAT151" s="1"/>
      <c r="AAU151" s="1"/>
      <c r="AAV151" s="1"/>
      <c r="AAW151" s="1"/>
      <c r="AAX151" s="1"/>
      <c r="AAY151" s="1"/>
      <c r="AAZ151" s="1"/>
      <c r="ABA151" s="1"/>
      <c r="ABB151" s="1"/>
      <c r="ABC151" s="1"/>
      <c r="ABD151" s="1"/>
      <c r="ABE151" s="1"/>
      <c r="ABF151" s="1"/>
      <c r="ABG151" s="1"/>
      <c r="ABH151" s="1"/>
      <c r="ABI151" s="1"/>
      <c r="ABJ151" s="1"/>
      <c r="ABK151" s="1"/>
      <c r="ABL151" s="1"/>
      <c r="ABM151" s="1"/>
      <c r="ABN151" s="1"/>
      <c r="ABO151" s="1"/>
      <c r="ABP151" s="1"/>
      <c r="ABQ151" s="1"/>
      <c r="ABR151" s="1"/>
      <c r="ABS151" s="1"/>
      <c r="ABT151" s="1"/>
      <c r="ABU151" s="1"/>
      <c r="ABV151" s="1"/>
      <c r="ABW151" s="1"/>
      <c r="ABX151" s="1"/>
      <c r="ABY151" s="1"/>
      <c r="ABZ151" s="1"/>
      <c r="ACA151" s="1"/>
      <c r="ACB151" s="1"/>
      <c r="ACC151" s="1"/>
      <c r="ACD151" s="1"/>
      <c r="ACE151" s="1"/>
      <c r="ACF151" s="1"/>
      <c r="ACG151" s="1"/>
      <c r="ACH151" s="1"/>
      <c r="ACI151" s="1"/>
      <c r="ACJ151" s="1"/>
      <c r="ACK151" s="1"/>
      <c r="ACL151" s="1"/>
      <c r="ACM151" s="1"/>
      <c r="ACN151" s="1"/>
      <c r="ACO151" s="1"/>
      <c r="ACP151" s="1"/>
      <c r="ACQ151" s="1"/>
      <c r="ACR151" s="1"/>
      <c r="ACS151" s="1"/>
      <c r="ACT151" s="1"/>
      <c r="ACU151" s="1"/>
      <c r="ACV151" s="1"/>
      <c r="ACW151" s="1"/>
      <c r="ACX151" s="1"/>
      <c r="ACY151" s="1"/>
      <c r="ACZ151" s="1"/>
      <c r="ADA151" s="1"/>
      <c r="ADB151" s="1"/>
      <c r="ADC151" s="1"/>
      <c r="ADD151" s="1"/>
      <c r="ADE151" s="1"/>
      <c r="ADF151" s="1"/>
      <c r="ADG151" s="1"/>
      <c r="ADH151" s="1"/>
      <c r="ADI151" s="1"/>
      <c r="ADJ151" s="1"/>
      <c r="ADK151" s="1"/>
      <c r="ADL151" s="1"/>
      <c r="ADM151" s="1"/>
      <c r="ADN151" s="1"/>
      <c r="ADO151" s="1"/>
      <c r="ADP151" s="1"/>
      <c r="ADQ151" s="1"/>
      <c r="ADR151" s="1"/>
      <c r="ADS151" s="1"/>
      <c r="ADT151" s="1"/>
      <c r="ADU151" s="1"/>
      <c r="ADV151" s="1"/>
      <c r="ADW151" s="1"/>
      <c r="ADX151" s="1"/>
      <c r="ADY151" s="1"/>
      <c r="ADZ151" s="1"/>
      <c r="AEA151" s="1"/>
      <c r="AEB151" s="1"/>
      <c r="AEC151" s="1"/>
      <c r="AED151" s="1"/>
      <c r="AEE151" s="1"/>
      <c r="AEF151" s="1"/>
      <c r="AEG151" s="1"/>
      <c r="AEH151" s="1"/>
      <c r="AEI151" s="1"/>
      <c r="AEJ151" s="1"/>
      <c r="AEK151" s="1"/>
      <c r="AEL151" s="1"/>
      <c r="AEM151" s="1"/>
      <c r="AEN151" s="1"/>
      <c r="AEO151" s="1"/>
      <c r="AEP151" s="1"/>
      <c r="AEQ151" s="1"/>
      <c r="AER151" s="1"/>
      <c r="AES151" s="1"/>
      <c r="AET151" s="1"/>
      <c r="AEU151" s="1"/>
      <c r="AEV151" s="1"/>
      <c r="AEW151" s="1"/>
      <c r="AEX151" s="1"/>
      <c r="AEY151" s="1"/>
      <c r="AEZ151" s="1"/>
      <c r="AFA151" s="1"/>
      <c r="AFB151" s="1"/>
      <c r="AFC151" s="1"/>
      <c r="AFD151" s="1"/>
      <c r="AFE151" s="1"/>
      <c r="AFF151" s="1"/>
      <c r="AFG151" s="1"/>
      <c r="AFH151" s="1"/>
      <c r="AFI151" s="1"/>
      <c r="AFJ151" s="1"/>
      <c r="AFK151" s="1"/>
      <c r="AFL151" s="1"/>
      <c r="AFM151" s="1"/>
      <c r="AFN151" s="1"/>
      <c r="AFO151" s="1"/>
      <c r="AFP151" s="1"/>
      <c r="AFQ151" s="1"/>
      <c r="AFR151" s="1"/>
      <c r="AFS151" s="1"/>
      <c r="AFT151" s="1"/>
      <c r="AFU151" s="1"/>
      <c r="AFV151" s="1"/>
      <c r="AFW151" s="1"/>
      <c r="AFX151" s="1"/>
      <c r="AFY151" s="1"/>
      <c r="AFZ151" s="1"/>
      <c r="AGA151" s="1"/>
      <c r="AGB151" s="1"/>
      <c r="AGC151" s="1"/>
      <c r="AGD151" s="1"/>
      <c r="AGE151" s="1"/>
      <c r="AGF151" s="1"/>
      <c r="AGG151" s="1"/>
      <c r="AGH151" s="1"/>
      <c r="AGI151" s="1"/>
      <c r="AGJ151" s="1"/>
      <c r="AGK151" s="1"/>
      <c r="AGL151" s="1"/>
      <c r="AGM151" s="1"/>
      <c r="AGN151" s="1"/>
      <c r="AGO151" s="1"/>
      <c r="AGP151" s="1"/>
      <c r="AGQ151" s="1"/>
      <c r="AGR151" s="1"/>
      <c r="AGS151" s="1"/>
      <c r="AGT151" s="1"/>
      <c r="AGU151" s="1"/>
      <c r="AGV151" s="1"/>
      <c r="AGW151" s="1"/>
      <c r="AGX151" s="1"/>
      <c r="AGY151" s="1"/>
      <c r="AGZ151" s="1"/>
      <c r="AHA151" s="1"/>
      <c r="AHB151" s="1"/>
      <c r="AHC151" s="1"/>
      <c r="AHD151" s="1"/>
      <c r="AHE151" s="1"/>
      <c r="AHF151" s="1"/>
      <c r="AHG151" s="1"/>
      <c r="AHH151" s="1"/>
      <c r="AHI151" s="1"/>
      <c r="AHJ151" s="1"/>
      <c r="AHK151" s="1"/>
      <c r="AHL151" s="1"/>
      <c r="AHM151" s="1"/>
      <c r="AHN151" s="1"/>
      <c r="AHO151" s="1"/>
      <c r="AHP151" s="1"/>
      <c r="AHQ151" s="1"/>
      <c r="AHR151" s="1"/>
      <c r="AHS151" s="1"/>
      <c r="AHT151" s="1"/>
      <c r="AHU151" s="1"/>
      <c r="AHV151" s="1"/>
      <c r="AHW151" s="1"/>
      <c r="AHX151" s="1"/>
      <c r="AHY151" s="1"/>
      <c r="AHZ151" s="1"/>
      <c r="AIA151" s="1"/>
      <c r="AIB151" s="1"/>
      <c r="AIC151" s="1"/>
      <c r="AID151" s="1"/>
      <c r="AIE151" s="1"/>
      <c r="AIF151" s="1"/>
      <c r="AIG151" s="1"/>
      <c r="AIH151" s="1"/>
      <c r="AII151" s="1"/>
      <c r="AIJ151" s="1"/>
      <c r="AIK151" s="1"/>
      <c r="AIL151" s="1"/>
      <c r="AIM151" s="1"/>
      <c r="AIN151" s="1"/>
      <c r="AIO151" s="1"/>
      <c r="AIP151" s="1"/>
      <c r="AIQ151" s="1"/>
      <c r="AIR151" s="1"/>
      <c r="AIS151" s="1"/>
      <c r="AIT151" s="1"/>
      <c r="AIU151" s="1"/>
      <c r="AIV151" s="1"/>
      <c r="AIW151" s="1"/>
      <c r="AIX151" s="1"/>
      <c r="AIY151" s="1"/>
      <c r="AIZ151" s="1"/>
      <c r="AJA151" s="1"/>
      <c r="AJB151" s="1"/>
      <c r="AJC151" s="1"/>
      <c r="AJD151" s="1"/>
      <c r="AJE151" s="1"/>
      <c r="AJF151" s="1"/>
      <c r="AJG151" s="1"/>
      <c r="AJH151" s="1"/>
      <c r="AJI151" s="1"/>
      <c r="AJJ151" s="1"/>
      <c r="AJK151" s="1"/>
      <c r="AJL151" s="1"/>
      <c r="AJM151" s="1"/>
      <c r="AJN151" s="1"/>
      <c r="AJO151" s="1"/>
      <c r="AJP151" s="1"/>
      <c r="AJQ151" s="1"/>
      <c r="AJR151" s="1"/>
      <c r="AJS151" s="1"/>
      <c r="AJT151" s="1"/>
      <c r="AJU151" s="1"/>
      <c r="AJV151" s="1"/>
      <c r="AJW151" s="1"/>
      <c r="AJX151" s="1"/>
      <c r="AJY151" s="1"/>
      <c r="AJZ151" s="1"/>
      <c r="AKA151" s="1"/>
      <c r="AKB151" s="1"/>
      <c r="AKC151" s="1"/>
      <c r="AKD151" s="1"/>
      <c r="AKE151" s="1"/>
      <c r="AKF151" s="1"/>
      <c r="AKG151" s="1"/>
      <c r="AKH151" s="1"/>
      <c r="AKI151" s="1"/>
      <c r="AKJ151" s="1"/>
      <c r="AKK151" s="1"/>
      <c r="AKL151" s="1"/>
      <c r="AKM151" s="1"/>
      <c r="AKN151" s="1"/>
      <c r="AKO151" s="1"/>
      <c r="AKP151" s="1"/>
      <c r="AKQ151" s="1"/>
      <c r="AKR151" s="1"/>
      <c r="AKS151" s="1"/>
      <c r="AKT151" s="1"/>
      <c r="AKU151" s="1"/>
      <c r="AKV151" s="1"/>
      <c r="AKW151" s="1"/>
      <c r="AKX151" s="1"/>
      <c r="AKY151" s="1"/>
      <c r="AKZ151" s="1"/>
      <c r="ALA151" s="1"/>
      <c r="ALB151" s="1"/>
      <c r="ALC151" s="1"/>
      <c r="ALD151" s="1"/>
      <c r="ALE151" s="1"/>
      <c r="ALF151" s="1"/>
      <c r="ALG151" s="1"/>
      <c r="ALH151" s="1"/>
      <c r="ALI151" s="1"/>
      <c r="ALJ151" s="1"/>
      <c r="ALK151" s="1"/>
      <c r="ALL151" s="1"/>
      <c r="ALM151" s="1"/>
      <c r="ALN151" s="1"/>
      <c r="ALO151" s="1"/>
      <c r="ALP151" s="1"/>
      <c r="ALQ151" s="1"/>
      <c r="ALR151" s="1"/>
      <c r="ALS151" s="1"/>
      <c r="ALT151" s="1"/>
      <c r="ALU151" s="1"/>
      <c r="ALV151" s="1"/>
      <c r="ALW151" s="1"/>
      <c r="ALX151" s="1"/>
      <c r="ALY151" s="1"/>
      <c r="ALZ151" s="1"/>
      <c r="AMA151" s="1"/>
      <c r="AMB151" s="1"/>
      <c r="AMC151" s="1"/>
      <c r="AMD151" s="1"/>
      <c r="AME151" s="1"/>
      <c r="AMF151" s="1"/>
      <c r="AMG151" s="1"/>
      <c r="AMH151" s="1"/>
      <c r="AMI151" s="1"/>
      <c r="AMJ151" s="1"/>
    </row>
    <row r="152" customFormat="false" ht="10.5" hidden="false" customHeight="true" outlineLevel="0" collapsed="false">
      <c r="A152" s="97" t="s">
        <v>278</v>
      </c>
      <c r="B152" s="97"/>
      <c r="C152" s="97"/>
      <c r="D152" s="97"/>
      <c r="E152" s="97"/>
      <c r="F152" s="97"/>
      <c r="G152" s="97"/>
      <c r="H152" s="97"/>
      <c r="I152" s="97"/>
      <c r="J152" s="97"/>
      <c r="K152" s="97"/>
      <c r="L152" s="97"/>
      <c r="M152" s="97"/>
      <c r="N152" s="78" t="s">
        <v>279</v>
      </c>
      <c r="O152" s="78"/>
      <c r="P152" s="78"/>
      <c r="Q152" s="78"/>
      <c r="R152" s="78"/>
      <c r="S152" s="78" t="s">
        <v>280</v>
      </c>
      <c r="T152" s="78"/>
      <c r="U152" s="78"/>
      <c r="V152" s="78"/>
      <c r="W152" s="78"/>
      <c r="X152" s="78" t="s">
        <v>281</v>
      </c>
      <c r="Y152" s="78"/>
      <c r="Z152" s="78"/>
      <c r="AA152" s="78"/>
      <c r="AB152" s="78"/>
      <c r="AC152" s="78" t="s">
        <v>282</v>
      </c>
      <c r="AD152" s="78"/>
      <c r="AE152" s="78"/>
      <c r="AF152" s="78"/>
      <c r="AG152" s="78"/>
      <c r="AH152" s="79" t="s">
        <v>283</v>
      </c>
      <c r="AI152" s="79"/>
      <c r="AJ152" s="79"/>
      <c r="AK152" s="79"/>
      <c r="AL152" s="79"/>
      <c r="AM152" s="79"/>
      <c r="AN152" s="79"/>
      <c r="AO152" s="79"/>
      <c r="BE152" s="1"/>
      <c r="BF152" s="1"/>
      <c r="BG152" s="1"/>
      <c r="BH152" s="1"/>
      <c r="BI152" s="1"/>
      <c r="BJ152" s="1"/>
      <c r="BK152" s="1"/>
      <c r="BL152" s="1"/>
      <c r="BM152" s="1"/>
      <c r="BN152" s="1"/>
      <c r="BO152" s="1"/>
      <c r="BP152" s="1"/>
      <c r="BQ152" s="1"/>
      <c r="BR152" s="1"/>
      <c r="BS152" s="1"/>
      <c r="BT152" s="1"/>
      <c r="BU152" s="1"/>
      <c r="BV152" s="1"/>
      <c r="BW152" s="1"/>
      <c r="BX152" s="1"/>
      <c r="BY152" s="1"/>
      <c r="BZ152" s="1"/>
      <c r="CA152" s="1"/>
      <c r="CB152" s="1"/>
      <c r="CC152" s="1"/>
      <c r="CD152" s="1"/>
      <c r="CE152" s="1"/>
      <c r="CF152" s="1"/>
      <c r="CG152" s="1"/>
      <c r="CH152" s="1"/>
      <c r="CI152" s="1"/>
      <c r="CJ152" s="1"/>
      <c r="CK152" s="1"/>
      <c r="CL152" s="1"/>
      <c r="CM152" s="1"/>
      <c r="CN152" s="1"/>
      <c r="CO152" s="1"/>
      <c r="CP152" s="1"/>
      <c r="CQ152" s="1"/>
      <c r="CR152" s="1"/>
      <c r="CS152" s="1"/>
      <c r="CT152" s="1"/>
      <c r="CU152" s="1"/>
      <c r="CV152" s="1"/>
      <c r="CW152" s="1"/>
      <c r="CX152" s="1"/>
      <c r="CY152" s="1"/>
      <c r="CZ152" s="1"/>
      <c r="DA152" s="1"/>
      <c r="DB152" s="1"/>
      <c r="DC152" s="1"/>
      <c r="DD152" s="1"/>
      <c r="DE152" s="1"/>
      <c r="DF152" s="1"/>
      <c r="DG152" s="1"/>
      <c r="DH152" s="1"/>
      <c r="DI152" s="1"/>
      <c r="DJ152" s="1"/>
      <c r="DK152" s="1"/>
      <c r="DL152" s="1"/>
      <c r="DM152" s="1"/>
      <c r="DN152" s="1"/>
      <c r="DO152" s="1"/>
      <c r="DP152" s="1"/>
      <c r="DQ152" s="1"/>
      <c r="DR152" s="1"/>
      <c r="DS152" s="1"/>
      <c r="DT152" s="1"/>
      <c r="DU152" s="1"/>
      <c r="DV152" s="1"/>
      <c r="DW152" s="1"/>
      <c r="DX152" s="1"/>
      <c r="DY152" s="1"/>
      <c r="DZ152" s="1"/>
      <c r="EA152" s="1"/>
      <c r="EB152" s="1"/>
      <c r="EC152" s="1"/>
      <c r="ED152" s="1"/>
      <c r="EE152" s="1"/>
      <c r="EF152" s="1"/>
      <c r="EG152" s="1"/>
      <c r="EH152" s="1"/>
      <c r="EI152" s="1"/>
      <c r="EJ152" s="1"/>
      <c r="EK152" s="1"/>
      <c r="EL152" s="1"/>
      <c r="EM152" s="1"/>
      <c r="EN152" s="1"/>
      <c r="EO152" s="1"/>
      <c r="EP152" s="1"/>
      <c r="EQ152" s="1"/>
      <c r="ER152" s="1"/>
      <c r="ES152" s="1"/>
      <c r="ET152" s="1"/>
      <c r="EU152" s="1"/>
      <c r="EV152" s="1"/>
      <c r="EW152" s="1"/>
      <c r="EX152" s="1"/>
      <c r="EY152" s="1"/>
      <c r="EZ152" s="1"/>
      <c r="FA152" s="1"/>
      <c r="FB152" s="1"/>
      <c r="FC152" s="1"/>
      <c r="FD152" s="1"/>
      <c r="FE152" s="1"/>
      <c r="FF152" s="1"/>
      <c r="FG152" s="1"/>
      <c r="FH152" s="1"/>
      <c r="FI152" s="1"/>
      <c r="FJ152" s="1"/>
      <c r="FK152" s="1"/>
      <c r="FL152" s="1"/>
      <c r="FM152" s="1"/>
      <c r="FN152" s="1"/>
      <c r="FO152" s="1"/>
      <c r="FP152" s="1"/>
      <c r="FQ152" s="1"/>
      <c r="FR152" s="1"/>
      <c r="FS152" s="1"/>
      <c r="FT152" s="1"/>
      <c r="FU152" s="1"/>
      <c r="FV152" s="1"/>
      <c r="FW152" s="1"/>
      <c r="FX152" s="1"/>
      <c r="FY152" s="1"/>
      <c r="FZ152" s="1"/>
      <c r="GA152" s="1"/>
      <c r="GB152" s="1"/>
      <c r="GC152" s="1"/>
      <c r="GD152" s="1"/>
      <c r="GE152" s="1"/>
      <c r="GF152" s="1"/>
      <c r="GG152" s="1"/>
      <c r="GH152" s="1"/>
      <c r="GI152" s="1"/>
      <c r="GJ152" s="1"/>
      <c r="GK152" s="1"/>
      <c r="GL152" s="1"/>
      <c r="GM152" s="1"/>
      <c r="GN152" s="1"/>
      <c r="GO152" s="1"/>
      <c r="GP152" s="1"/>
      <c r="GQ152" s="1"/>
      <c r="GR152" s="1"/>
      <c r="GS152" s="1"/>
      <c r="GT152" s="1"/>
      <c r="GU152" s="1"/>
      <c r="GV152" s="1"/>
      <c r="GW152" s="1"/>
      <c r="GX152" s="1"/>
      <c r="GY152" s="1"/>
      <c r="GZ152" s="1"/>
      <c r="HA152" s="1"/>
      <c r="HB152" s="1"/>
      <c r="HC152" s="1"/>
      <c r="HD152" s="1"/>
      <c r="HE152" s="1"/>
      <c r="HF152" s="1"/>
      <c r="HG152" s="1"/>
      <c r="HH152" s="1"/>
      <c r="HI152" s="1"/>
      <c r="HJ152" s="1"/>
      <c r="HK152" s="1"/>
      <c r="HL152" s="1"/>
      <c r="HM152" s="1"/>
      <c r="HN152" s="1"/>
      <c r="HO152" s="1"/>
      <c r="HP152" s="1"/>
      <c r="HQ152" s="1"/>
      <c r="HR152" s="1"/>
      <c r="HS152" s="1"/>
      <c r="HT152" s="1"/>
      <c r="HU152" s="1"/>
      <c r="HV152" s="1"/>
      <c r="HW152" s="1"/>
      <c r="HX152" s="1"/>
      <c r="HY152" s="1"/>
      <c r="HZ152" s="1"/>
      <c r="IA152" s="1"/>
      <c r="IB152" s="1"/>
      <c r="IC152" s="1"/>
      <c r="ID152" s="1"/>
      <c r="IE152" s="1"/>
      <c r="IF152" s="1"/>
      <c r="IG152" s="1"/>
      <c r="IH152" s="1"/>
      <c r="II152" s="1"/>
      <c r="IJ152" s="1"/>
      <c r="IK152" s="1"/>
      <c r="IL152" s="1"/>
      <c r="IM152" s="1"/>
      <c r="IN152" s="1"/>
      <c r="IO152" s="1"/>
      <c r="IP152" s="1"/>
      <c r="IQ152" s="1"/>
      <c r="IR152" s="1"/>
      <c r="IS152" s="1"/>
      <c r="IT152" s="1"/>
      <c r="IU152" s="1"/>
      <c r="IV152" s="1"/>
      <c r="IW152" s="1"/>
      <c r="IX152" s="1"/>
      <c r="IY152" s="1"/>
      <c r="IZ152" s="1"/>
      <c r="JA152" s="1"/>
      <c r="JB152" s="1"/>
      <c r="JC152" s="1"/>
      <c r="JD152" s="1"/>
      <c r="JE152" s="1"/>
      <c r="JF152" s="1"/>
      <c r="JG152" s="1"/>
      <c r="JH152" s="1"/>
      <c r="JI152" s="1"/>
      <c r="JJ152" s="1"/>
      <c r="JK152" s="1"/>
      <c r="JL152" s="1"/>
      <c r="JM152" s="1"/>
      <c r="JN152" s="1"/>
      <c r="JO152" s="1"/>
      <c r="JP152" s="1"/>
      <c r="JQ152" s="1"/>
      <c r="JR152" s="1"/>
      <c r="JS152" s="1"/>
      <c r="JT152" s="1"/>
      <c r="JU152" s="1"/>
      <c r="JV152" s="1"/>
      <c r="JW152" s="1"/>
      <c r="JX152" s="1"/>
      <c r="JY152" s="1"/>
      <c r="JZ152" s="1"/>
      <c r="KA152" s="1"/>
      <c r="KB152" s="1"/>
      <c r="KC152" s="1"/>
      <c r="KD152" s="1"/>
      <c r="KE152" s="1"/>
      <c r="KF152" s="1"/>
      <c r="KG152" s="1"/>
      <c r="KH152" s="1"/>
      <c r="KI152" s="1"/>
      <c r="KJ152" s="1"/>
      <c r="KK152" s="1"/>
      <c r="KL152" s="1"/>
      <c r="KM152" s="1"/>
      <c r="KN152" s="1"/>
      <c r="KO152" s="1"/>
      <c r="KP152" s="1"/>
      <c r="KQ152" s="1"/>
      <c r="KR152" s="1"/>
      <c r="KS152" s="1"/>
      <c r="KT152" s="1"/>
      <c r="KU152" s="1"/>
      <c r="KV152" s="1"/>
      <c r="KW152" s="1"/>
      <c r="KX152" s="1"/>
      <c r="KY152" s="1"/>
      <c r="KZ152" s="1"/>
      <c r="LA152" s="1"/>
      <c r="LB152" s="1"/>
      <c r="LC152" s="1"/>
      <c r="LD152" s="1"/>
      <c r="LE152" s="1"/>
      <c r="LF152" s="1"/>
      <c r="LG152" s="1"/>
      <c r="LH152" s="1"/>
      <c r="LI152" s="1"/>
      <c r="LJ152" s="1"/>
      <c r="LK152" s="1"/>
      <c r="LL152" s="1"/>
      <c r="LM152" s="1"/>
      <c r="LN152" s="1"/>
      <c r="LO152" s="1"/>
      <c r="LP152" s="1"/>
      <c r="LQ152" s="1"/>
      <c r="LR152" s="1"/>
      <c r="LS152" s="1"/>
      <c r="LT152" s="1"/>
      <c r="LU152" s="1"/>
      <c r="LV152" s="1"/>
      <c r="LW152" s="1"/>
      <c r="LX152" s="1"/>
      <c r="LY152" s="1"/>
      <c r="LZ152" s="1"/>
      <c r="MA152" s="1"/>
      <c r="MB152" s="1"/>
      <c r="MC152" s="1"/>
      <c r="MD152" s="1"/>
      <c r="ME152" s="1"/>
      <c r="MF152" s="1"/>
      <c r="MG152" s="1"/>
      <c r="MH152" s="1"/>
      <c r="MI152" s="1"/>
      <c r="MJ152" s="1"/>
      <c r="MK152" s="1"/>
      <c r="ML152" s="1"/>
      <c r="MM152" s="1"/>
      <c r="MN152" s="1"/>
      <c r="MO152" s="1"/>
      <c r="MP152" s="1"/>
      <c r="MQ152" s="1"/>
      <c r="MR152" s="1"/>
      <c r="MS152" s="1"/>
      <c r="MT152" s="1"/>
      <c r="MU152" s="1"/>
      <c r="MV152" s="1"/>
      <c r="MW152" s="1"/>
      <c r="MX152" s="1"/>
      <c r="MY152" s="1"/>
      <c r="MZ152" s="1"/>
      <c r="NA152" s="1"/>
      <c r="NB152" s="1"/>
      <c r="NC152" s="1"/>
      <c r="ND152" s="1"/>
      <c r="NE152" s="1"/>
      <c r="NF152" s="1"/>
      <c r="NG152" s="1"/>
      <c r="NH152" s="1"/>
      <c r="NI152" s="1"/>
      <c r="NJ152" s="1"/>
      <c r="NK152" s="1"/>
      <c r="NL152" s="1"/>
      <c r="NM152" s="1"/>
      <c r="NN152" s="1"/>
      <c r="NO152" s="1"/>
      <c r="NP152" s="1"/>
      <c r="NQ152" s="1"/>
      <c r="NR152" s="1"/>
      <c r="NS152" s="1"/>
      <c r="NT152" s="1"/>
      <c r="NU152" s="1"/>
      <c r="NV152" s="1"/>
      <c r="NW152" s="1"/>
      <c r="NX152" s="1"/>
      <c r="NY152" s="1"/>
      <c r="NZ152" s="1"/>
      <c r="OA152" s="1"/>
      <c r="OB152" s="1"/>
      <c r="OC152" s="1"/>
      <c r="OD152" s="1"/>
      <c r="OE152" s="1"/>
      <c r="OF152" s="1"/>
      <c r="OG152" s="1"/>
      <c r="OH152" s="1"/>
      <c r="OI152" s="1"/>
      <c r="OJ152" s="1"/>
      <c r="OK152" s="1"/>
      <c r="OL152" s="1"/>
      <c r="OM152" s="1"/>
      <c r="ON152" s="1"/>
      <c r="OO152" s="1"/>
      <c r="OP152" s="1"/>
      <c r="OQ152" s="1"/>
      <c r="OR152" s="1"/>
      <c r="OS152" s="1"/>
      <c r="OT152" s="1"/>
      <c r="OU152" s="1"/>
      <c r="OV152" s="1"/>
      <c r="OW152" s="1"/>
      <c r="OX152" s="1"/>
      <c r="OY152" s="1"/>
      <c r="OZ152" s="1"/>
      <c r="PA152" s="1"/>
      <c r="PB152" s="1"/>
      <c r="PC152" s="1"/>
      <c r="PD152" s="1"/>
      <c r="PE152" s="1"/>
      <c r="PF152" s="1"/>
      <c r="PG152" s="1"/>
      <c r="PH152" s="1"/>
      <c r="PI152" s="1"/>
      <c r="PJ152" s="1"/>
      <c r="PK152" s="1"/>
      <c r="PL152" s="1"/>
      <c r="PM152" s="1"/>
      <c r="PN152" s="1"/>
      <c r="PO152" s="1"/>
      <c r="PP152" s="1"/>
      <c r="PQ152" s="1"/>
      <c r="PR152" s="1"/>
      <c r="PS152" s="1"/>
      <c r="PT152" s="1"/>
      <c r="PU152" s="1"/>
      <c r="PV152" s="1"/>
      <c r="PW152" s="1"/>
      <c r="PX152" s="1"/>
      <c r="PY152" s="1"/>
      <c r="PZ152" s="1"/>
      <c r="QA152" s="1"/>
      <c r="QB152" s="1"/>
      <c r="QC152" s="1"/>
      <c r="QD152" s="1"/>
      <c r="QE152" s="1"/>
      <c r="QF152" s="1"/>
      <c r="QG152" s="1"/>
      <c r="QH152" s="1"/>
      <c r="QI152" s="1"/>
      <c r="QJ152" s="1"/>
      <c r="QK152" s="1"/>
      <c r="QL152" s="1"/>
      <c r="QM152" s="1"/>
      <c r="QN152" s="1"/>
      <c r="QO152" s="1"/>
      <c r="QP152" s="1"/>
      <c r="QQ152" s="1"/>
      <c r="QR152" s="1"/>
      <c r="QS152" s="1"/>
      <c r="QT152" s="1"/>
      <c r="QU152" s="1"/>
      <c r="QV152" s="1"/>
      <c r="QW152" s="1"/>
      <c r="QX152" s="1"/>
      <c r="QY152" s="1"/>
      <c r="QZ152" s="1"/>
      <c r="RA152" s="1"/>
      <c r="RB152" s="1"/>
      <c r="RC152" s="1"/>
      <c r="RD152" s="1"/>
      <c r="RE152" s="1"/>
      <c r="RF152" s="1"/>
      <c r="RG152" s="1"/>
      <c r="RH152" s="1"/>
      <c r="RI152" s="1"/>
      <c r="RJ152" s="1"/>
      <c r="RK152" s="1"/>
      <c r="RL152" s="1"/>
      <c r="RM152" s="1"/>
      <c r="RN152" s="1"/>
      <c r="RO152" s="1"/>
      <c r="RP152" s="1"/>
      <c r="RQ152" s="1"/>
      <c r="RR152" s="1"/>
      <c r="RS152" s="1"/>
      <c r="RT152" s="1"/>
      <c r="RU152" s="1"/>
      <c r="RV152" s="1"/>
      <c r="RW152" s="1"/>
      <c r="RX152" s="1"/>
      <c r="RY152" s="1"/>
      <c r="RZ152" s="1"/>
      <c r="SA152" s="1"/>
      <c r="SB152" s="1"/>
      <c r="SC152" s="1"/>
      <c r="SD152" s="1"/>
      <c r="SE152" s="1"/>
      <c r="SF152" s="1"/>
      <c r="SG152" s="1"/>
      <c r="SH152" s="1"/>
      <c r="SI152" s="1"/>
      <c r="SJ152" s="1"/>
      <c r="SK152" s="1"/>
      <c r="SL152" s="1"/>
      <c r="SM152" s="1"/>
      <c r="SN152" s="1"/>
      <c r="SO152" s="1"/>
      <c r="SP152" s="1"/>
      <c r="SQ152" s="1"/>
      <c r="SR152" s="1"/>
      <c r="SS152" s="1"/>
      <c r="ST152" s="1"/>
      <c r="SU152" s="1"/>
      <c r="SV152" s="1"/>
      <c r="SW152" s="1"/>
      <c r="SX152" s="1"/>
      <c r="SY152" s="1"/>
      <c r="SZ152" s="1"/>
      <c r="TA152" s="1"/>
      <c r="TB152" s="1"/>
      <c r="TC152" s="1"/>
      <c r="TD152" s="1"/>
      <c r="TE152" s="1"/>
      <c r="TF152" s="1"/>
      <c r="TG152" s="1"/>
      <c r="TH152" s="1"/>
      <c r="TI152" s="1"/>
      <c r="TJ152" s="1"/>
      <c r="TK152" s="1"/>
      <c r="TL152" s="1"/>
      <c r="TM152" s="1"/>
      <c r="TN152" s="1"/>
      <c r="TO152" s="1"/>
      <c r="TP152" s="1"/>
      <c r="TQ152" s="1"/>
      <c r="TR152" s="1"/>
      <c r="TS152" s="1"/>
      <c r="TT152" s="1"/>
      <c r="TU152" s="1"/>
      <c r="TV152" s="1"/>
      <c r="TW152" s="1"/>
      <c r="TX152" s="1"/>
      <c r="TY152" s="1"/>
      <c r="TZ152" s="1"/>
      <c r="UA152" s="1"/>
      <c r="UB152" s="1"/>
      <c r="UC152" s="1"/>
      <c r="UD152" s="1"/>
      <c r="UE152" s="1"/>
      <c r="UF152" s="1"/>
      <c r="UG152" s="1"/>
      <c r="UH152" s="1"/>
      <c r="UI152" s="1"/>
      <c r="UJ152" s="1"/>
      <c r="UK152" s="1"/>
      <c r="UL152" s="1"/>
      <c r="UM152" s="1"/>
      <c r="UN152" s="1"/>
      <c r="UO152" s="1"/>
      <c r="UP152" s="1"/>
      <c r="UQ152" s="1"/>
      <c r="UR152" s="1"/>
      <c r="US152" s="1"/>
      <c r="UT152" s="1"/>
      <c r="UU152" s="1"/>
      <c r="UV152" s="1"/>
      <c r="UW152" s="1"/>
      <c r="UX152" s="1"/>
      <c r="UY152" s="1"/>
      <c r="UZ152" s="1"/>
      <c r="VA152" s="1"/>
      <c r="VB152" s="1"/>
      <c r="VC152" s="1"/>
      <c r="VD152" s="1"/>
      <c r="VE152" s="1"/>
      <c r="VF152" s="1"/>
      <c r="VG152" s="1"/>
      <c r="VH152" s="1"/>
      <c r="VI152" s="1"/>
      <c r="VJ152" s="1"/>
      <c r="VK152" s="1"/>
      <c r="VL152" s="1"/>
      <c r="VM152" s="1"/>
      <c r="VN152" s="1"/>
      <c r="VO152" s="1"/>
      <c r="VP152" s="1"/>
      <c r="VQ152" s="1"/>
      <c r="VR152" s="1"/>
      <c r="VS152" s="1"/>
      <c r="VT152" s="1"/>
      <c r="VU152" s="1"/>
      <c r="VV152" s="1"/>
      <c r="VW152" s="1"/>
      <c r="VX152" s="1"/>
      <c r="VY152" s="1"/>
      <c r="VZ152" s="1"/>
      <c r="WA152" s="1"/>
      <c r="WB152" s="1"/>
      <c r="WC152" s="1"/>
      <c r="WD152" s="1"/>
      <c r="WE152" s="1"/>
      <c r="WF152" s="1"/>
      <c r="WG152" s="1"/>
      <c r="WH152" s="1"/>
      <c r="WI152" s="1"/>
      <c r="WJ152" s="1"/>
      <c r="WK152" s="1"/>
      <c r="WL152" s="1"/>
      <c r="WM152" s="1"/>
      <c r="WN152" s="1"/>
      <c r="WO152" s="1"/>
      <c r="WP152" s="1"/>
      <c r="WQ152" s="1"/>
      <c r="WR152" s="1"/>
      <c r="WS152" s="1"/>
      <c r="WT152" s="1"/>
      <c r="WU152" s="1"/>
      <c r="WV152" s="1"/>
      <c r="WW152" s="1"/>
      <c r="WX152" s="1"/>
      <c r="WY152" s="1"/>
      <c r="WZ152" s="1"/>
      <c r="XA152" s="1"/>
      <c r="XB152" s="1"/>
      <c r="XC152" s="1"/>
      <c r="XD152" s="1"/>
      <c r="XE152" s="1"/>
      <c r="XF152" s="1"/>
      <c r="XG152" s="1"/>
      <c r="XH152" s="1"/>
      <c r="XI152" s="1"/>
      <c r="XJ152" s="1"/>
      <c r="XK152" s="1"/>
      <c r="XL152" s="1"/>
      <c r="XM152" s="1"/>
      <c r="XN152" s="1"/>
      <c r="XO152" s="1"/>
      <c r="XP152" s="1"/>
      <c r="XQ152" s="1"/>
      <c r="XR152" s="1"/>
      <c r="XS152" s="1"/>
      <c r="XT152" s="1"/>
      <c r="XU152" s="1"/>
      <c r="XV152" s="1"/>
      <c r="XW152" s="1"/>
      <c r="XX152" s="1"/>
      <c r="XY152" s="1"/>
      <c r="XZ152" s="1"/>
      <c r="YA152" s="1"/>
      <c r="YB152" s="1"/>
      <c r="YC152" s="1"/>
      <c r="YD152" s="1"/>
      <c r="YE152" s="1"/>
      <c r="YF152" s="1"/>
      <c r="YG152" s="1"/>
      <c r="YH152" s="1"/>
      <c r="YI152" s="1"/>
      <c r="YJ152" s="1"/>
      <c r="YK152" s="1"/>
      <c r="YL152" s="1"/>
      <c r="YM152" s="1"/>
      <c r="YN152" s="1"/>
      <c r="YO152" s="1"/>
      <c r="YP152" s="1"/>
      <c r="YQ152" s="1"/>
      <c r="YR152" s="1"/>
      <c r="YS152" s="1"/>
      <c r="YT152" s="1"/>
      <c r="YU152" s="1"/>
      <c r="YV152" s="1"/>
      <c r="YW152" s="1"/>
      <c r="YX152" s="1"/>
      <c r="YY152" s="1"/>
      <c r="YZ152" s="1"/>
      <c r="ZA152" s="1"/>
      <c r="ZB152" s="1"/>
      <c r="ZC152" s="1"/>
      <c r="ZD152" s="1"/>
      <c r="ZE152" s="1"/>
      <c r="ZF152" s="1"/>
      <c r="ZG152" s="1"/>
      <c r="ZH152" s="1"/>
      <c r="ZI152" s="1"/>
      <c r="ZJ152" s="1"/>
      <c r="ZK152" s="1"/>
      <c r="ZL152" s="1"/>
      <c r="ZM152" s="1"/>
      <c r="ZN152" s="1"/>
      <c r="ZO152" s="1"/>
      <c r="ZP152" s="1"/>
      <c r="ZQ152" s="1"/>
      <c r="ZR152" s="1"/>
      <c r="ZS152" s="1"/>
      <c r="ZT152" s="1"/>
      <c r="ZU152" s="1"/>
      <c r="ZV152" s="1"/>
      <c r="ZW152" s="1"/>
      <c r="ZX152" s="1"/>
      <c r="ZY152" s="1"/>
      <c r="ZZ152" s="1"/>
      <c r="AAA152" s="1"/>
      <c r="AAB152" s="1"/>
      <c r="AAC152" s="1"/>
      <c r="AAD152" s="1"/>
      <c r="AAE152" s="1"/>
      <c r="AAF152" s="1"/>
      <c r="AAG152" s="1"/>
      <c r="AAH152" s="1"/>
      <c r="AAI152" s="1"/>
      <c r="AAJ152" s="1"/>
      <c r="AAK152" s="1"/>
      <c r="AAL152" s="1"/>
      <c r="AAM152" s="1"/>
      <c r="AAN152" s="1"/>
      <c r="AAO152" s="1"/>
      <c r="AAP152" s="1"/>
      <c r="AAQ152" s="1"/>
      <c r="AAR152" s="1"/>
      <c r="AAS152" s="1"/>
      <c r="AAT152" s="1"/>
      <c r="AAU152" s="1"/>
      <c r="AAV152" s="1"/>
      <c r="AAW152" s="1"/>
      <c r="AAX152" s="1"/>
      <c r="AAY152" s="1"/>
      <c r="AAZ152" s="1"/>
      <c r="ABA152" s="1"/>
      <c r="ABB152" s="1"/>
      <c r="ABC152" s="1"/>
      <c r="ABD152" s="1"/>
      <c r="ABE152" s="1"/>
      <c r="ABF152" s="1"/>
      <c r="ABG152" s="1"/>
      <c r="ABH152" s="1"/>
      <c r="ABI152" s="1"/>
      <c r="ABJ152" s="1"/>
      <c r="ABK152" s="1"/>
      <c r="ABL152" s="1"/>
      <c r="ABM152" s="1"/>
      <c r="ABN152" s="1"/>
      <c r="ABO152" s="1"/>
      <c r="ABP152" s="1"/>
      <c r="ABQ152" s="1"/>
      <c r="ABR152" s="1"/>
      <c r="ABS152" s="1"/>
      <c r="ABT152" s="1"/>
      <c r="ABU152" s="1"/>
      <c r="ABV152" s="1"/>
      <c r="ABW152" s="1"/>
      <c r="ABX152" s="1"/>
      <c r="ABY152" s="1"/>
      <c r="ABZ152" s="1"/>
      <c r="ACA152" s="1"/>
      <c r="ACB152" s="1"/>
      <c r="ACC152" s="1"/>
      <c r="ACD152" s="1"/>
      <c r="ACE152" s="1"/>
      <c r="ACF152" s="1"/>
      <c r="ACG152" s="1"/>
      <c r="ACH152" s="1"/>
      <c r="ACI152" s="1"/>
      <c r="ACJ152" s="1"/>
      <c r="ACK152" s="1"/>
      <c r="ACL152" s="1"/>
      <c r="ACM152" s="1"/>
      <c r="ACN152" s="1"/>
      <c r="ACO152" s="1"/>
      <c r="ACP152" s="1"/>
      <c r="ACQ152" s="1"/>
      <c r="ACR152" s="1"/>
      <c r="ACS152" s="1"/>
      <c r="ACT152" s="1"/>
      <c r="ACU152" s="1"/>
      <c r="ACV152" s="1"/>
      <c r="ACW152" s="1"/>
      <c r="ACX152" s="1"/>
      <c r="ACY152" s="1"/>
      <c r="ACZ152" s="1"/>
      <c r="ADA152" s="1"/>
      <c r="ADB152" s="1"/>
      <c r="ADC152" s="1"/>
      <c r="ADD152" s="1"/>
      <c r="ADE152" s="1"/>
      <c r="ADF152" s="1"/>
      <c r="ADG152" s="1"/>
      <c r="ADH152" s="1"/>
      <c r="ADI152" s="1"/>
      <c r="ADJ152" s="1"/>
      <c r="ADK152" s="1"/>
      <c r="ADL152" s="1"/>
      <c r="ADM152" s="1"/>
      <c r="ADN152" s="1"/>
      <c r="ADO152" s="1"/>
      <c r="ADP152" s="1"/>
      <c r="ADQ152" s="1"/>
      <c r="ADR152" s="1"/>
      <c r="ADS152" s="1"/>
      <c r="ADT152" s="1"/>
      <c r="ADU152" s="1"/>
      <c r="ADV152" s="1"/>
      <c r="ADW152" s="1"/>
      <c r="ADX152" s="1"/>
      <c r="ADY152" s="1"/>
      <c r="ADZ152" s="1"/>
      <c r="AEA152" s="1"/>
      <c r="AEB152" s="1"/>
      <c r="AEC152" s="1"/>
      <c r="AED152" s="1"/>
      <c r="AEE152" s="1"/>
      <c r="AEF152" s="1"/>
      <c r="AEG152" s="1"/>
      <c r="AEH152" s="1"/>
      <c r="AEI152" s="1"/>
      <c r="AEJ152" s="1"/>
      <c r="AEK152" s="1"/>
      <c r="AEL152" s="1"/>
      <c r="AEM152" s="1"/>
      <c r="AEN152" s="1"/>
      <c r="AEO152" s="1"/>
      <c r="AEP152" s="1"/>
      <c r="AEQ152" s="1"/>
      <c r="AER152" s="1"/>
      <c r="AES152" s="1"/>
      <c r="AET152" s="1"/>
      <c r="AEU152" s="1"/>
      <c r="AEV152" s="1"/>
      <c r="AEW152" s="1"/>
      <c r="AEX152" s="1"/>
      <c r="AEY152" s="1"/>
      <c r="AEZ152" s="1"/>
      <c r="AFA152" s="1"/>
      <c r="AFB152" s="1"/>
      <c r="AFC152" s="1"/>
      <c r="AFD152" s="1"/>
      <c r="AFE152" s="1"/>
      <c r="AFF152" s="1"/>
      <c r="AFG152" s="1"/>
      <c r="AFH152" s="1"/>
      <c r="AFI152" s="1"/>
      <c r="AFJ152" s="1"/>
      <c r="AFK152" s="1"/>
      <c r="AFL152" s="1"/>
      <c r="AFM152" s="1"/>
      <c r="AFN152" s="1"/>
      <c r="AFO152" s="1"/>
      <c r="AFP152" s="1"/>
      <c r="AFQ152" s="1"/>
      <c r="AFR152" s="1"/>
      <c r="AFS152" s="1"/>
      <c r="AFT152" s="1"/>
      <c r="AFU152" s="1"/>
      <c r="AFV152" s="1"/>
      <c r="AFW152" s="1"/>
      <c r="AFX152" s="1"/>
      <c r="AFY152" s="1"/>
      <c r="AFZ152" s="1"/>
      <c r="AGA152" s="1"/>
      <c r="AGB152" s="1"/>
      <c r="AGC152" s="1"/>
      <c r="AGD152" s="1"/>
      <c r="AGE152" s="1"/>
      <c r="AGF152" s="1"/>
      <c r="AGG152" s="1"/>
      <c r="AGH152" s="1"/>
      <c r="AGI152" s="1"/>
      <c r="AGJ152" s="1"/>
      <c r="AGK152" s="1"/>
      <c r="AGL152" s="1"/>
      <c r="AGM152" s="1"/>
      <c r="AGN152" s="1"/>
      <c r="AGO152" s="1"/>
      <c r="AGP152" s="1"/>
      <c r="AGQ152" s="1"/>
      <c r="AGR152" s="1"/>
      <c r="AGS152" s="1"/>
      <c r="AGT152" s="1"/>
      <c r="AGU152" s="1"/>
      <c r="AGV152" s="1"/>
      <c r="AGW152" s="1"/>
      <c r="AGX152" s="1"/>
      <c r="AGY152" s="1"/>
      <c r="AGZ152" s="1"/>
      <c r="AHA152" s="1"/>
      <c r="AHB152" s="1"/>
      <c r="AHC152" s="1"/>
      <c r="AHD152" s="1"/>
      <c r="AHE152" s="1"/>
      <c r="AHF152" s="1"/>
      <c r="AHG152" s="1"/>
      <c r="AHH152" s="1"/>
      <c r="AHI152" s="1"/>
      <c r="AHJ152" s="1"/>
      <c r="AHK152" s="1"/>
      <c r="AHL152" s="1"/>
      <c r="AHM152" s="1"/>
      <c r="AHN152" s="1"/>
      <c r="AHO152" s="1"/>
      <c r="AHP152" s="1"/>
      <c r="AHQ152" s="1"/>
      <c r="AHR152" s="1"/>
      <c r="AHS152" s="1"/>
      <c r="AHT152" s="1"/>
      <c r="AHU152" s="1"/>
      <c r="AHV152" s="1"/>
      <c r="AHW152" s="1"/>
      <c r="AHX152" s="1"/>
      <c r="AHY152" s="1"/>
      <c r="AHZ152" s="1"/>
      <c r="AIA152" s="1"/>
      <c r="AIB152" s="1"/>
      <c r="AIC152" s="1"/>
      <c r="AID152" s="1"/>
      <c r="AIE152" s="1"/>
      <c r="AIF152" s="1"/>
      <c r="AIG152" s="1"/>
      <c r="AIH152" s="1"/>
      <c r="AII152" s="1"/>
      <c r="AIJ152" s="1"/>
      <c r="AIK152" s="1"/>
      <c r="AIL152" s="1"/>
      <c r="AIM152" s="1"/>
      <c r="AIN152" s="1"/>
      <c r="AIO152" s="1"/>
      <c r="AIP152" s="1"/>
      <c r="AIQ152" s="1"/>
      <c r="AIR152" s="1"/>
      <c r="AIS152" s="1"/>
      <c r="AIT152" s="1"/>
      <c r="AIU152" s="1"/>
      <c r="AIV152" s="1"/>
      <c r="AIW152" s="1"/>
      <c r="AIX152" s="1"/>
      <c r="AIY152" s="1"/>
      <c r="AIZ152" s="1"/>
      <c r="AJA152" s="1"/>
      <c r="AJB152" s="1"/>
      <c r="AJC152" s="1"/>
      <c r="AJD152" s="1"/>
      <c r="AJE152" s="1"/>
      <c r="AJF152" s="1"/>
      <c r="AJG152" s="1"/>
      <c r="AJH152" s="1"/>
      <c r="AJI152" s="1"/>
      <c r="AJJ152" s="1"/>
      <c r="AJK152" s="1"/>
      <c r="AJL152" s="1"/>
      <c r="AJM152" s="1"/>
      <c r="AJN152" s="1"/>
      <c r="AJO152" s="1"/>
      <c r="AJP152" s="1"/>
      <c r="AJQ152" s="1"/>
      <c r="AJR152" s="1"/>
      <c r="AJS152" s="1"/>
      <c r="AJT152" s="1"/>
      <c r="AJU152" s="1"/>
      <c r="AJV152" s="1"/>
      <c r="AJW152" s="1"/>
      <c r="AJX152" s="1"/>
      <c r="AJY152" s="1"/>
      <c r="AJZ152" s="1"/>
      <c r="AKA152" s="1"/>
      <c r="AKB152" s="1"/>
      <c r="AKC152" s="1"/>
      <c r="AKD152" s="1"/>
      <c r="AKE152" s="1"/>
      <c r="AKF152" s="1"/>
      <c r="AKG152" s="1"/>
      <c r="AKH152" s="1"/>
      <c r="AKI152" s="1"/>
      <c r="AKJ152" s="1"/>
      <c r="AKK152" s="1"/>
      <c r="AKL152" s="1"/>
      <c r="AKM152" s="1"/>
      <c r="AKN152" s="1"/>
      <c r="AKO152" s="1"/>
      <c r="AKP152" s="1"/>
      <c r="AKQ152" s="1"/>
      <c r="AKR152" s="1"/>
      <c r="AKS152" s="1"/>
      <c r="AKT152" s="1"/>
      <c r="AKU152" s="1"/>
      <c r="AKV152" s="1"/>
      <c r="AKW152" s="1"/>
      <c r="AKX152" s="1"/>
      <c r="AKY152" s="1"/>
      <c r="AKZ152" s="1"/>
      <c r="ALA152" s="1"/>
      <c r="ALB152" s="1"/>
      <c r="ALC152" s="1"/>
      <c r="ALD152" s="1"/>
      <c r="ALE152" s="1"/>
      <c r="ALF152" s="1"/>
      <c r="ALG152" s="1"/>
      <c r="ALH152" s="1"/>
      <c r="ALI152" s="1"/>
      <c r="ALJ152" s="1"/>
      <c r="ALK152" s="1"/>
      <c r="ALL152" s="1"/>
      <c r="ALM152" s="1"/>
      <c r="ALN152" s="1"/>
      <c r="ALO152" s="1"/>
      <c r="ALP152" s="1"/>
      <c r="ALQ152" s="1"/>
      <c r="ALR152" s="1"/>
      <c r="ALS152" s="1"/>
      <c r="ALT152" s="1"/>
      <c r="ALU152" s="1"/>
      <c r="ALV152" s="1"/>
      <c r="ALW152" s="1"/>
      <c r="ALX152" s="1"/>
      <c r="ALY152" s="1"/>
      <c r="ALZ152" s="1"/>
      <c r="AMA152" s="1"/>
      <c r="AMB152" s="1"/>
      <c r="AMC152" s="1"/>
      <c r="AMD152" s="1"/>
      <c r="AME152" s="1"/>
      <c r="AMF152" s="1"/>
      <c r="AMG152" s="1"/>
      <c r="AMH152" s="1"/>
      <c r="AMI152" s="1"/>
      <c r="AMJ152" s="1"/>
    </row>
    <row r="153" customFormat="false" ht="10.5" hidden="false" customHeight="true" outlineLevel="0" collapsed="false">
      <c r="A153" s="216" t="s">
        <v>284</v>
      </c>
      <c r="B153" s="216"/>
      <c r="C153" s="216"/>
      <c r="D153" s="216"/>
      <c r="E153" s="216"/>
      <c r="F153" s="216"/>
      <c r="G153" s="216"/>
      <c r="H153" s="216"/>
      <c r="I153" s="216"/>
      <c r="J153" s="216"/>
      <c r="K153" s="216"/>
      <c r="L153" s="216"/>
      <c r="M153" s="216"/>
      <c r="N153" s="19" t="s">
        <v>285</v>
      </c>
      <c r="O153" s="19"/>
      <c r="P153" s="19"/>
      <c r="Q153" s="19"/>
      <c r="R153" s="19"/>
      <c r="S153" s="185" t="n">
        <v>1480</v>
      </c>
      <c r="T153" s="185"/>
      <c r="U153" s="185"/>
      <c r="V153" s="185"/>
      <c r="W153" s="185"/>
      <c r="X153" s="217" t="n">
        <v>4</v>
      </c>
      <c r="Y153" s="217"/>
      <c r="Z153" s="217"/>
      <c r="AA153" s="217"/>
      <c r="AB153" s="217"/>
      <c r="AC153" s="19" t="n">
        <v>1</v>
      </c>
      <c r="AD153" s="19"/>
      <c r="AE153" s="19"/>
      <c r="AF153" s="19"/>
      <c r="AG153" s="19"/>
      <c r="AH153" s="140" t="n">
        <f aca="false">S153*X153*AC153</f>
        <v>5920</v>
      </c>
      <c r="AI153" s="140"/>
      <c r="AJ153" s="140"/>
      <c r="AK153" s="140"/>
      <c r="AL153" s="140"/>
      <c r="AM153" s="140"/>
      <c r="AN153" s="140"/>
      <c r="AO153" s="140"/>
      <c r="BE153" s="1"/>
      <c r="BF153" s="1"/>
      <c r="BG153" s="1"/>
      <c r="BH153" s="1"/>
      <c r="BI153" s="1"/>
      <c r="BJ153" s="1"/>
      <c r="BK153" s="1"/>
      <c r="BL153" s="1"/>
      <c r="BM153" s="1"/>
      <c r="BN153" s="1"/>
      <c r="BO153" s="1"/>
      <c r="BP153" s="1"/>
      <c r="BQ153" s="1"/>
      <c r="BR153" s="1"/>
      <c r="BS153" s="1"/>
      <c r="BT153" s="1"/>
      <c r="BU153" s="1"/>
      <c r="BV153" s="1"/>
      <c r="BW153" s="1"/>
      <c r="BX153" s="1"/>
      <c r="BY153" s="1"/>
      <c r="BZ153" s="1"/>
      <c r="CA153" s="1"/>
      <c r="CB153" s="1"/>
      <c r="CC153" s="1"/>
      <c r="CD153" s="1"/>
      <c r="CE153" s="1"/>
      <c r="CF153" s="1"/>
      <c r="CG153" s="1"/>
      <c r="CH153" s="1"/>
      <c r="CI153" s="1"/>
      <c r="CJ153" s="1"/>
      <c r="CK153" s="1"/>
      <c r="CL153" s="1"/>
      <c r="CM153" s="1"/>
      <c r="CN153" s="1"/>
      <c r="CO153" s="1"/>
      <c r="CP153" s="1"/>
      <c r="CQ153" s="1"/>
      <c r="CR153" s="1"/>
      <c r="CS153" s="1"/>
      <c r="CT153" s="1"/>
      <c r="CU153" s="1"/>
      <c r="CV153" s="1"/>
      <c r="CW153" s="1"/>
      <c r="CX153" s="1"/>
      <c r="CY153" s="1"/>
      <c r="CZ153" s="1"/>
      <c r="DA153" s="1"/>
      <c r="DB153" s="1"/>
      <c r="DC153" s="1"/>
      <c r="DD153" s="1"/>
      <c r="DE153" s="1"/>
      <c r="DF153" s="1"/>
      <c r="DG153" s="1"/>
      <c r="DH153" s="1"/>
      <c r="DI153" s="1"/>
      <c r="DJ153" s="1"/>
      <c r="DK153" s="1"/>
      <c r="DL153" s="1"/>
      <c r="DM153" s="1"/>
      <c r="DN153" s="1"/>
      <c r="DO153" s="1"/>
      <c r="DP153" s="1"/>
      <c r="DQ153" s="1"/>
      <c r="DR153" s="1"/>
      <c r="DS153" s="1"/>
      <c r="DT153" s="1"/>
      <c r="DU153" s="1"/>
      <c r="DV153" s="1"/>
      <c r="DW153" s="1"/>
      <c r="DX153" s="1"/>
      <c r="DY153" s="1"/>
      <c r="DZ153" s="1"/>
      <c r="EA153" s="1"/>
      <c r="EB153" s="1"/>
      <c r="EC153" s="1"/>
      <c r="ED153" s="1"/>
      <c r="EE153" s="1"/>
      <c r="EF153" s="1"/>
      <c r="EG153" s="1"/>
      <c r="EH153" s="1"/>
      <c r="EI153" s="1"/>
      <c r="EJ153" s="1"/>
      <c r="EK153" s="1"/>
      <c r="EL153" s="1"/>
      <c r="EM153" s="1"/>
      <c r="EN153" s="1"/>
      <c r="EO153" s="1"/>
      <c r="EP153" s="1"/>
      <c r="EQ153" s="1"/>
      <c r="ER153" s="1"/>
      <c r="ES153" s="1"/>
      <c r="ET153" s="1"/>
      <c r="EU153" s="1"/>
      <c r="EV153" s="1"/>
      <c r="EW153" s="1"/>
      <c r="EX153" s="1"/>
      <c r="EY153" s="1"/>
      <c r="EZ153" s="1"/>
      <c r="FA153" s="1"/>
      <c r="FB153" s="1"/>
      <c r="FC153" s="1"/>
      <c r="FD153" s="1"/>
      <c r="FE153" s="1"/>
      <c r="FF153" s="1"/>
      <c r="FG153" s="1"/>
      <c r="FH153" s="1"/>
      <c r="FI153" s="1"/>
      <c r="FJ153" s="1"/>
      <c r="FK153" s="1"/>
      <c r="FL153" s="1"/>
      <c r="FM153" s="1"/>
      <c r="FN153" s="1"/>
      <c r="FO153" s="1"/>
      <c r="FP153" s="1"/>
      <c r="FQ153" s="1"/>
      <c r="FR153" s="1"/>
      <c r="FS153" s="1"/>
      <c r="FT153" s="1"/>
      <c r="FU153" s="1"/>
      <c r="FV153" s="1"/>
      <c r="FW153" s="1"/>
      <c r="FX153" s="1"/>
      <c r="FY153" s="1"/>
      <c r="FZ153" s="1"/>
      <c r="GA153" s="1"/>
      <c r="GB153" s="1"/>
      <c r="GC153" s="1"/>
      <c r="GD153" s="1"/>
      <c r="GE153" s="1"/>
      <c r="GF153" s="1"/>
      <c r="GG153" s="1"/>
      <c r="GH153" s="1"/>
      <c r="GI153" s="1"/>
      <c r="GJ153" s="1"/>
      <c r="GK153" s="1"/>
      <c r="GL153" s="1"/>
      <c r="GM153" s="1"/>
      <c r="GN153" s="1"/>
      <c r="GO153" s="1"/>
      <c r="GP153" s="1"/>
      <c r="GQ153" s="1"/>
      <c r="GR153" s="1"/>
      <c r="GS153" s="1"/>
      <c r="GT153" s="1"/>
      <c r="GU153" s="1"/>
      <c r="GV153" s="1"/>
      <c r="GW153" s="1"/>
      <c r="GX153" s="1"/>
      <c r="GY153" s="1"/>
      <c r="GZ153" s="1"/>
      <c r="HA153" s="1"/>
      <c r="HB153" s="1"/>
      <c r="HC153" s="1"/>
      <c r="HD153" s="1"/>
      <c r="HE153" s="1"/>
      <c r="HF153" s="1"/>
      <c r="HG153" s="1"/>
      <c r="HH153" s="1"/>
      <c r="HI153" s="1"/>
      <c r="HJ153" s="1"/>
      <c r="HK153" s="1"/>
      <c r="HL153" s="1"/>
      <c r="HM153" s="1"/>
      <c r="HN153" s="1"/>
      <c r="HO153" s="1"/>
      <c r="HP153" s="1"/>
      <c r="HQ153" s="1"/>
      <c r="HR153" s="1"/>
      <c r="HS153" s="1"/>
      <c r="HT153" s="1"/>
      <c r="HU153" s="1"/>
      <c r="HV153" s="1"/>
      <c r="HW153" s="1"/>
      <c r="HX153" s="1"/>
      <c r="HY153" s="1"/>
      <c r="HZ153" s="1"/>
      <c r="IA153" s="1"/>
      <c r="IB153" s="1"/>
      <c r="IC153" s="1"/>
      <c r="ID153" s="1"/>
      <c r="IE153" s="1"/>
      <c r="IF153" s="1"/>
      <c r="IG153" s="1"/>
      <c r="IH153" s="1"/>
      <c r="II153" s="1"/>
      <c r="IJ153" s="1"/>
      <c r="IK153" s="1"/>
      <c r="IL153" s="1"/>
      <c r="IM153" s="1"/>
      <c r="IN153" s="1"/>
      <c r="IO153" s="1"/>
      <c r="IP153" s="1"/>
      <c r="IQ153" s="1"/>
      <c r="IR153" s="1"/>
      <c r="IS153" s="1"/>
      <c r="IT153" s="1"/>
      <c r="IU153" s="1"/>
      <c r="IV153" s="1"/>
      <c r="IW153" s="1"/>
      <c r="IX153" s="1"/>
      <c r="IY153" s="1"/>
      <c r="IZ153" s="1"/>
      <c r="JA153" s="1"/>
      <c r="JB153" s="1"/>
      <c r="JC153" s="1"/>
      <c r="JD153" s="1"/>
      <c r="JE153" s="1"/>
      <c r="JF153" s="1"/>
      <c r="JG153" s="1"/>
      <c r="JH153" s="1"/>
      <c r="JI153" s="1"/>
      <c r="JJ153" s="1"/>
      <c r="JK153" s="1"/>
      <c r="JL153" s="1"/>
      <c r="JM153" s="1"/>
      <c r="JN153" s="1"/>
      <c r="JO153" s="1"/>
      <c r="JP153" s="1"/>
      <c r="JQ153" s="1"/>
      <c r="JR153" s="1"/>
      <c r="JS153" s="1"/>
      <c r="JT153" s="1"/>
      <c r="JU153" s="1"/>
      <c r="JV153" s="1"/>
      <c r="JW153" s="1"/>
      <c r="JX153" s="1"/>
      <c r="JY153" s="1"/>
      <c r="JZ153" s="1"/>
      <c r="KA153" s="1"/>
      <c r="KB153" s="1"/>
      <c r="KC153" s="1"/>
      <c r="KD153" s="1"/>
      <c r="KE153" s="1"/>
      <c r="KF153" s="1"/>
      <c r="KG153" s="1"/>
      <c r="KH153" s="1"/>
      <c r="KI153" s="1"/>
      <c r="KJ153" s="1"/>
      <c r="KK153" s="1"/>
      <c r="KL153" s="1"/>
      <c r="KM153" s="1"/>
      <c r="KN153" s="1"/>
      <c r="KO153" s="1"/>
      <c r="KP153" s="1"/>
      <c r="KQ153" s="1"/>
      <c r="KR153" s="1"/>
      <c r="KS153" s="1"/>
      <c r="KT153" s="1"/>
      <c r="KU153" s="1"/>
      <c r="KV153" s="1"/>
      <c r="KW153" s="1"/>
      <c r="KX153" s="1"/>
      <c r="KY153" s="1"/>
      <c r="KZ153" s="1"/>
      <c r="LA153" s="1"/>
      <c r="LB153" s="1"/>
      <c r="LC153" s="1"/>
      <c r="LD153" s="1"/>
      <c r="LE153" s="1"/>
      <c r="LF153" s="1"/>
      <c r="LG153" s="1"/>
      <c r="LH153" s="1"/>
      <c r="LI153" s="1"/>
      <c r="LJ153" s="1"/>
      <c r="LK153" s="1"/>
      <c r="LL153" s="1"/>
      <c r="LM153" s="1"/>
      <c r="LN153" s="1"/>
      <c r="LO153" s="1"/>
      <c r="LP153" s="1"/>
      <c r="LQ153" s="1"/>
      <c r="LR153" s="1"/>
      <c r="LS153" s="1"/>
      <c r="LT153" s="1"/>
      <c r="LU153" s="1"/>
      <c r="LV153" s="1"/>
      <c r="LW153" s="1"/>
      <c r="LX153" s="1"/>
      <c r="LY153" s="1"/>
      <c r="LZ153" s="1"/>
      <c r="MA153" s="1"/>
      <c r="MB153" s="1"/>
      <c r="MC153" s="1"/>
      <c r="MD153" s="1"/>
      <c r="ME153" s="1"/>
      <c r="MF153" s="1"/>
      <c r="MG153" s="1"/>
      <c r="MH153" s="1"/>
      <c r="MI153" s="1"/>
      <c r="MJ153" s="1"/>
      <c r="MK153" s="1"/>
      <c r="ML153" s="1"/>
      <c r="MM153" s="1"/>
      <c r="MN153" s="1"/>
      <c r="MO153" s="1"/>
      <c r="MP153" s="1"/>
      <c r="MQ153" s="1"/>
      <c r="MR153" s="1"/>
      <c r="MS153" s="1"/>
      <c r="MT153" s="1"/>
      <c r="MU153" s="1"/>
      <c r="MV153" s="1"/>
      <c r="MW153" s="1"/>
      <c r="MX153" s="1"/>
      <c r="MY153" s="1"/>
      <c r="MZ153" s="1"/>
      <c r="NA153" s="1"/>
      <c r="NB153" s="1"/>
      <c r="NC153" s="1"/>
      <c r="ND153" s="1"/>
      <c r="NE153" s="1"/>
      <c r="NF153" s="1"/>
      <c r="NG153" s="1"/>
      <c r="NH153" s="1"/>
      <c r="NI153" s="1"/>
      <c r="NJ153" s="1"/>
      <c r="NK153" s="1"/>
      <c r="NL153" s="1"/>
      <c r="NM153" s="1"/>
      <c r="NN153" s="1"/>
      <c r="NO153" s="1"/>
      <c r="NP153" s="1"/>
      <c r="NQ153" s="1"/>
      <c r="NR153" s="1"/>
      <c r="NS153" s="1"/>
      <c r="NT153" s="1"/>
      <c r="NU153" s="1"/>
      <c r="NV153" s="1"/>
      <c r="NW153" s="1"/>
      <c r="NX153" s="1"/>
      <c r="NY153" s="1"/>
      <c r="NZ153" s="1"/>
      <c r="OA153" s="1"/>
      <c r="OB153" s="1"/>
      <c r="OC153" s="1"/>
      <c r="OD153" s="1"/>
      <c r="OE153" s="1"/>
      <c r="OF153" s="1"/>
      <c r="OG153" s="1"/>
      <c r="OH153" s="1"/>
      <c r="OI153" s="1"/>
      <c r="OJ153" s="1"/>
      <c r="OK153" s="1"/>
      <c r="OL153" s="1"/>
      <c r="OM153" s="1"/>
      <c r="ON153" s="1"/>
      <c r="OO153" s="1"/>
      <c r="OP153" s="1"/>
      <c r="OQ153" s="1"/>
      <c r="OR153" s="1"/>
      <c r="OS153" s="1"/>
      <c r="OT153" s="1"/>
      <c r="OU153" s="1"/>
      <c r="OV153" s="1"/>
      <c r="OW153" s="1"/>
      <c r="OX153" s="1"/>
      <c r="OY153" s="1"/>
      <c r="OZ153" s="1"/>
      <c r="PA153" s="1"/>
      <c r="PB153" s="1"/>
      <c r="PC153" s="1"/>
      <c r="PD153" s="1"/>
      <c r="PE153" s="1"/>
      <c r="PF153" s="1"/>
      <c r="PG153" s="1"/>
      <c r="PH153" s="1"/>
      <c r="PI153" s="1"/>
      <c r="PJ153" s="1"/>
      <c r="PK153" s="1"/>
      <c r="PL153" s="1"/>
      <c r="PM153" s="1"/>
      <c r="PN153" s="1"/>
      <c r="PO153" s="1"/>
      <c r="PP153" s="1"/>
      <c r="PQ153" s="1"/>
      <c r="PR153" s="1"/>
      <c r="PS153" s="1"/>
      <c r="PT153" s="1"/>
      <c r="PU153" s="1"/>
      <c r="PV153" s="1"/>
      <c r="PW153" s="1"/>
      <c r="PX153" s="1"/>
      <c r="PY153" s="1"/>
      <c r="PZ153" s="1"/>
      <c r="QA153" s="1"/>
      <c r="QB153" s="1"/>
      <c r="QC153" s="1"/>
      <c r="QD153" s="1"/>
      <c r="QE153" s="1"/>
      <c r="QF153" s="1"/>
      <c r="QG153" s="1"/>
      <c r="QH153" s="1"/>
      <c r="QI153" s="1"/>
      <c r="QJ153" s="1"/>
      <c r="QK153" s="1"/>
      <c r="QL153" s="1"/>
      <c r="QM153" s="1"/>
      <c r="QN153" s="1"/>
      <c r="QO153" s="1"/>
      <c r="QP153" s="1"/>
      <c r="QQ153" s="1"/>
      <c r="QR153" s="1"/>
      <c r="QS153" s="1"/>
      <c r="QT153" s="1"/>
      <c r="QU153" s="1"/>
      <c r="QV153" s="1"/>
      <c r="QW153" s="1"/>
      <c r="QX153" s="1"/>
      <c r="QY153" s="1"/>
      <c r="QZ153" s="1"/>
      <c r="RA153" s="1"/>
      <c r="RB153" s="1"/>
      <c r="RC153" s="1"/>
      <c r="RD153" s="1"/>
      <c r="RE153" s="1"/>
      <c r="RF153" s="1"/>
      <c r="RG153" s="1"/>
      <c r="RH153" s="1"/>
      <c r="RI153" s="1"/>
      <c r="RJ153" s="1"/>
      <c r="RK153" s="1"/>
      <c r="RL153" s="1"/>
      <c r="RM153" s="1"/>
      <c r="RN153" s="1"/>
      <c r="RO153" s="1"/>
      <c r="RP153" s="1"/>
      <c r="RQ153" s="1"/>
      <c r="RR153" s="1"/>
      <c r="RS153" s="1"/>
      <c r="RT153" s="1"/>
      <c r="RU153" s="1"/>
      <c r="RV153" s="1"/>
      <c r="RW153" s="1"/>
      <c r="RX153" s="1"/>
      <c r="RY153" s="1"/>
      <c r="RZ153" s="1"/>
      <c r="SA153" s="1"/>
      <c r="SB153" s="1"/>
      <c r="SC153" s="1"/>
      <c r="SD153" s="1"/>
      <c r="SE153" s="1"/>
      <c r="SF153" s="1"/>
      <c r="SG153" s="1"/>
      <c r="SH153" s="1"/>
      <c r="SI153" s="1"/>
      <c r="SJ153" s="1"/>
      <c r="SK153" s="1"/>
      <c r="SL153" s="1"/>
      <c r="SM153" s="1"/>
      <c r="SN153" s="1"/>
      <c r="SO153" s="1"/>
      <c r="SP153" s="1"/>
      <c r="SQ153" s="1"/>
      <c r="SR153" s="1"/>
      <c r="SS153" s="1"/>
      <c r="ST153" s="1"/>
      <c r="SU153" s="1"/>
      <c r="SV153" s="1"/>
      <c r="SW153" s="1"/>
      <c r="SX153" s="1"/>
      <c r="SY153" s="1"/>
      <c r="SZ153" s="1"/>
      <c r="TA153" s="1"/>
      <c r="TB153" s="1"/>
      <c r="TC153" s="1"/>
      <c r="TD153" s="1"/>
      <c r="TE153" s="1"/>
      <c r="TF153" s="1"/>
      <c r="TG153" s="1"/>
      <c r="TH153" s="1"/>
      <c r="TI153" s="1"/>
      <c r="TJ153" s="1"/>
      <c r="TK153" s="1"/>
      <c r="TL153" s="1"/>
      <c r="TM153" s="1"/>
      <c r="TN153" s="1"/>
      <c r="TO153" s="1"/>
      <c r="TP153" s="1"/>
      <c r="TQ153" s="1"/>
      <c r="TR153" s="1"/>
      <c r="TS153" s="1"/>
      <c r="TT153" s="1"/>
      <c r="TU153" s="1"/>
      <c r="TV153" s="1"/>
      <c r="TW153" s="1"/>
      <c r="TX153" s="1"/>
      <c r="TY153" s="1"/>
      <c r="TZ153" s="1"/>
      <c r="UA153" s="1"/>
      <c r="UB153" s="1"/>
      <c r="UC153" s="1"/>
      <c r="UD153" s="1"/>
      <c r="UE153" s="1"/>
      <c r="UF153" s="1"/>
      <c r="UG153" s="1"/>
      <c r="UH153" s="1"/>
      <c r="UI153" s="1"/>
      <c r="UJ153" s="1"/>
      <c r="UK153" s="1"/>
      <c r="UL153" s="1"/>
      <c r="UM153" s="1"/>
      <c r="UN153" s="1"/>
      <c r="UO153" s="1"/>
      <c r="UP153" s="1"/>
      <c r="UQ153" s="1"/>
      <c r="UR153" s="1"/>
      <c r="US153" s="1"/>
      <c r="UT153" s="1"/>
      <c r="UU153" s="1"/>
      <c r="UV153" s="1"/>
      <c r="UW153" s="1"/>
      <c r="UX153" s="1"/>
      <c r="UY153" s="1"/>
      <c r="UZ153" s="1"/>
      <c r="VA153" s="1"/>
      <c r="VB153" s="1"/>
      <c r="VC153" s="1"/>
      <c r="VD153" s="1"/>
      <c r="VE153" s="1"/>
      <c r="VF153" s="1"/>
      <c r="VG153" s="1"/>
      <c r="VH153" s="1"/>
      <c r="VI153" s="1"/>
      <c r="VJ153" s="1"/>
      <c r="VK153" s="1"/>
      <c r="VL153" s="1"/>
      <c r="VM153" s="1"/>
      <c r="VN153" s="1"/>
      <c r="VO153" s="1"/>
      <c r="VP153" s="1"/>
      <c r="VQ153" s="1"/>
      <c r="VR153" s="1"/>
      <c r="VS153" s="1"/>
      <c r="VT153" s="1"/>
      <c r="VU153" s="1"/>
      <c r="VV153" s="1"/>
      <c r="VW153" s="1"/>
      <c r="VX153" s="1"/>
      <c r="VY153" s="1"/>
      <c r="VZ153" s="1"/>
      <c r="WA153" s="1"/>
      <c r="WB153" s="1"/>
      <c r="WC153" s="1"/>
      <c r="WD153" s="1"/>
      <c r="WE153" s="1"/>
      <c r="WF153" s="1"/>
      <c r="WG153" s="1"/>
      <c r="WH153" s="1"/>
      <c r="WI153" s="1"/>
      <c r="WJ153" s="1"/>
      <c r="WK153" s="1"/>
      <c r="WL153" s="1"/>
      <c r="WM153" s="1"/>
      <c r="WN153" s="1"/>
      <c r="WO153" s="1"/>
      <c r="WP153" s="1"/>
      <c r="WQ153" s="1"/>
      <c r="WR153" s="1"/>
      <c r="WS153" s="1"/>
      <c r="WT153" s="1"/>
      <c r="WU153" s="1"/>
      <c r="WV153" s="1"/>
      <c r="WW153" s="1"/>
      <c r="WX153" s="1"/>
      <c r="WY153" s="1"/>
      <c r="WZ153" s="1"/>
      <c r="XA153" s="1"/>
      <c r="XB153" s="1"/>
      <c r="XC153" s="1"/>
      <c r="XD153" s="1"/>
      <c r="XE153" s="1"/>
      <c r="XF153" s="1"/>
      <c r="XG153" s="1"/>
      <c r="XH153" s="1"/>
      <c r="XI153" s="1"/>
      <c r="XJ153" s="1"/>
      <c r="XK153" s="1"/>
      <c r="XL153" s="1"/>
      <c r="XM153" s="1"/>
      <c r="XN153" s="1"/>
      <c r="XO153" s="1"/>
      <c r="XP153" s="1"/>
      <c r="XQ153" s="1"/>
      <c r="XR153" s="1"/>
      <c r="XS153" s="1"/>
      <c r="XT153" s="1"/>
      <c r="XU153" s="1"/>
      <c r="XV153" s="1"/>
      <c r="XW153" s="1"/>
      <c r="XX153" s="1"/>
      <c r="XY153" s="1"/>
      <c r="XZ153" s="1"/>
      <c r="YA153" s="1"/>
      <c r="YB153" s="1"/>
      <c r="YC153" s="1"/>
      <c r="YD153" s="1"/>
      <c r="YE153" s="1"/>
      <c r="YF153" s="1"/>
      <c r="YG153" s="1"/>
      <c r="YH153" s="1"/>
      <c r="YI153" s="1"/>
      <c r="YJ153" s="1"/>
      <c r="YK153" s="1"/>
      <c r="YL153" s="1"/>
      <c r="YM153" s="1"/>
      <c r="YN153" s="1"/>
      <c r="YO153" s="1"/>
      <c r="YP153" s="1"/>
      <c r="YQ153" s="1"/>
      <c r="YR153" s="1"/>
      <c r="YS153" s="1"/>
      <c r="YT153" s="1"/>
      <c r="YU153" s="1"/>
      <c r="YV153" s="1"/>
      <c r="YW153" s="1"/>
      <c r="YX153" s="1"/>
      <c r="YY153" s="1"/>
      <c r="YZ153" s="1"/>
      <c r="ZA153" s="1"/>
      <c r="ZB153" s="1"/>
      <c r="ZC153" s="1"/>
      <c r="ZD153" s="1"/>
      <c r="ZE153" s="1"/>
      <c r="ZF153" s="1"/>
      <c r="ZG153" s="1"/>
      <c r="ZH153" s="1"/>
      <c r="ZI153" s="1"/>
      <c r="ZJ153" s="1"/>
      <c r="ZK153" s="1"/>
      <c r="ZL153" s="1"/>
      <c r="ZM153" s="1"/>
      <c r="ZN153" s="1"/>
      <c r="ZO153" s="1"/>
      <c r="ZP153" s="1"/>
      <c r="ZQ153" s="1"/>
      <c r="ZR153" s="1"/>
      <c r="ZS153" s="1"/>
      <c r="ZT153" s="1"/>
      <c r="ZU153" s="1"/>
      <c r="ZV153" s="1"/>
      <c r="ZW153" s="1"/>
      <c r="ZX153" s="1"/>
      <c r="ZY153" s="1"/>
      <c r="ZZ153" s="1"/>
      <c r="AAA153" s="1"/>
      <c r="AAB153" s="1"/>
      <c r="AAC153" s="1"/>
      <c r="AAD153" s="1"/>
      <c r="AAE153" s="1"/>
      <c r="AAF153" s="1"/>
      <c r="AAG153" s="1"/>
      <c r="AAH153" s="1"/>
      <c r="AAI153" s="1"/>
      <c r="AAJ153" s="1"/>
      <c r="AAK153" s="1"/>
      <c r="AAL153" s="1"/>
      <c r="AAM153" s="1"/>
      <c r="AAN153" s="1"/>
      <c r="AAO153" s="1"/>
      <c r="AAP153" s="1"/>
      <c r="AAQ153" s="1"/>
      <c r="AAR153" s="1"/>
      <c r="AAS153" s="1"/>
      <c r="AAT153" s="1"/>
      <c r="AAU153" s="1"/>
      <c r="AAV153" s="1"/>
      <c r="AAW153" s="1"/>
      <c r="AAX153" s="1"/>
      <c r="AAY153" s="1"/>
      <c r="AAZ153" s="1"/>
      <c r="ABA153" s="1"/>
      <c r="ABB153" s="1"/>
      <c r="ABC153" s="1"/>
      <c r="ABD153" s="1"/>
      <c r="ABE153" s="1"/>
      <c r="ABF153" s="1"/>
      <c r="ABG153" s="1"/>
      <c r="ABH153" s="1"/>
      <c r="ABI153" s="1"/>
      <c r="ABJ153" s="1"/>
      <c r="ABK153" s="1"/>
      <c r="ABL153" s="1"/>
      <c r="ABM153" s="1"/>
      <c r="ABN153" s="1"/>
      <c r="ABO153" s="1"/>
      <c r="ABP153" s="1"/>
      <c r="ABQ153" s="1"/>
      <c r="ABR153" s="1"/>
      <c r="ABS153" s="1"/>
      <c r="ABT153" s="1"/>
      <c r="ABU153" s="1"/>
      <c r="ABV153" s="1"/>
      <c r="ABW153" s="1"/>
      <c r="ABX153" s="1"/>
      <c r="ABY153" s="1"/>
      <c r="ABZ153" s="1"/>
      <c r="ACA153" s="1"/>
      <c r="ACB153" s="1"/>
      <c r="ACC153" s="1"/>
      <c r="ACD153" s="1"/>
      <c r="ACE153" s="1"/>
      <c r="ACF153" s="1"/>
      <c r="ACG153" s="1"/>
      <c r="ACH153" s="1"/>
      <c r="ACI153" s="1"/>
      <c r="ACJ153" s="1"/>
      <c r="ACK153" s="1"/>
      <c r="ACL153" s="1"/>
      <c r="ACM153" s="1"/>
      <c r="ACN153" s="1"/>
      <c r="ACO153" s="1"/>
      <c r="ACP153" s="1"/>
      <c r="ACQ153" s="1"/>
      <c r="ACR153" s="1"/>
      <c r="ACS153" s="1"/>
      <c r="ACT153" s="1"/>
      <c r="ACU153" s="1"/>
      <c r="ACV153" s="1"/>
      <c r="ACW153" s="1"/>
      <c r="ACX153" s="1"/>
      <c r="ACY153" s="1"/>
      <c r="ACZ153" s="1"/>
      <c r="ADA153" s="1"/>
      <c r="ADB153" s="1"/>
      <c r="ADC153" s="1"/>
      <c r="ADD153" s="1"/>
      <c r="ADE153" s="1"/>
      <c r="ADF153" s="1"/>
      <c r="ADG153" s="1"/>
      <c r="ADH153" s="1"/>
      <c r="ADI153" s="1"/>
      <c r="ADJ153" s="1"/>
      <c r="ADK153" s="1"/>
      <c r="ADL153" s="1"/>
      <c r="ADM153" s="1"/>
      <c r="ADN153" s="1"/>
      <c r="ADO153" s="1"/>
      <c r="ADP153" s="1"/>
      <c r="ADQ153" s="1"/>
      <c r="ADR153" s="1"/>
      <c r="ADS153" s="1"/>
      <c r="ADT153" s="1"/>
      <c r="ADU153" s="1"/>
      <c r="ADV153" s="1"/>
      <c r="ADW153" s="1"/>
      <c r="ADX153" s="1"/>
      <c r="ADY153" s="1"/>
      <c r="ADZ153" s="1"/>
      <c r="AEA153" s="1"/>
      <c r="AEB153" s="1"/>
      <c r="AEC153" s="1"/>
      <c r="AED153" s="1"/>
      <c r="AEE153" s="1"/>
      <c r="AEF153" s="1"/>
      <c r="AEG153" s="1"/>
      <c r="AEH153" s="1"/>
      <c r="AEI153" s="1"/>
      <c r="AEJ153" s="1"/>
      <c r="AEK153" s="1"/>
      <c r="AEL153" s="1"/>
      <c r="AEM153" s="1"/>
      <c r="AEN153" s="1"/>
      <c r="AEO153" s="1"/>
      <c r="AEP153" s="1"/>
      <c r="AEQ153" s="1"/>
      <c r="AER153" s="1"/>
      <c r="AES153" s="1"/>
      <c r="AET153" s="1"/>
      <c r="AEU153" s="1"/>
      <c r="AEV153" s="1"/>
      <c r="AEW153" s="1"/>
      <c r="AEX153" s="1"/>
      <c r="AEY153" s="1"/>
      <c r="AEZ153" s="1"/>
      <c r="AFA153" s="1"/>
      <c r="AFB153" s="1"/>
      <c r="AFC153" s="1"/>
      <c r="AFD153" s="1"/>
      <c r="AFE153" s="1"/>
      <c r="AFF153" s="1"/>
      <c r="AFG153" s="1"/>
      <c r="AFH153" s="1"/>
      <c r="AFI153" s="1"/>
      <c r="AFJ153" s="1"/>
      <c r="AFK153" s="1"/>
      <c r="AFL153" s="1"/>
      <c r="AFM153" s="1"/>
      <c r="AFN153" s="1"/>
      <c r="AFO153" s="1"/>
      <c r="AFP153" s="1"/>
      <c r="AFQ153" s="1"/>
      <c r="AFR153" s="1"/>
      <c r="AFS153" s="1"/>
      <c r="AFT153" s="1"/>
      <c r="AFU153" s="1"/>
      <c r="AFV153" s="1"/>
      <c r="AFW153" s="1"/>
      <c r="AFX153" s="1"/>
      <c r="AFY153" s="1"/>
      <c r="AFZ153" s="1"/>
      <c r="AGA153" s="1"/>
      <c r="AGB153" s="1"/>
      <c r="AGC153" s="1"/>
      <c r="AGD153" s="1"/>
      <c r="AGE153" s="1"/>
      <c r="AGF153" s="1"/>
      <c r="AGG153" s="1"/>
      <c r="AGH153" s="1"/>
      <c r="AGI153" s="1"/>
      <c r="AGJ153" s="1"/>
      <c r="AGK153" s="1"/>
      <c r="AGL153" s="1"/>
      <c r="AGM153" s="1"/>
      <c r="AGN153" s="1"/>
      <c r="AGO153" s="1"/>
      <c r="AGP153" s="1"/>
      <c r="AGQ153" s="1"/>
      <c r="AGR153" s="1"/>
      <c r="AGS153" s="1"/>
      <c r="AGT153" s="1"/>
      <c r="AGU153" s="1"/>
      <c r="AGV153" s="1"/>
      <c r="AGW153" s="1"/>
      <c r="AGX153" s="1"/>
      <c r="AGY153" s="1"/>
      <c r="AGZ153" s="1"/>
      <c r="AHA153" s="1"/>
      <c r="AHB153" s="1"/>
      <c r="AHC153" s="1"/>
      <c r="AHD153" s="1"/>
      <c r="AHE153" s="1"/>
      <c r="AHF153" s="1"/>
      <c r="AHG153" s="1"/>
      <c r="AHH153" s="1"/>
      <c r="AHI153" s="1"/>
      <c r="AHJ153" s="1"/>
      <c r="AHK153" s="1"/>
      <c r="AHL153" s="1"/>
      <c r="AHM153" s="1"/>
      <c r="AHN153" s="1"/>
      <c r="AHO153" s="1"/>
      <c r="AHP153" s="1"/>
      <c r="AHQ153" s="1"/>
      <c r="AHR153" s="1"/>
      <c r="AHS153" s="1"/>
      <c r="AHT153" s="1"/>
      <c r="AHU153" s="1"/>
      <c r="AHV153" s="1"/>
      <c r="AHW153" s="1"/>
      <c r="AHX153" s="1"/>
      <c r="AHY153" s="1"/>
      <c r="AHZ153" s="1"/>
      <c r="AIA153" s="1"/>
      <c r="AIB153" s="1"/>
      <c r="AIC153" s="1"/>
      <c r="AID153" s="1"/>
      <c r="AIE153" s="1"/>
      <c r="AIF153" s="1"/>
      <c r="AIG153" s="1"/>
      <c r="AIH153" s="1"/>
      <c r="AII153" s="1"/>
      <c r="AIJ153" s="1"/>
      <c r="AIK153" s="1"/>
      <c r="AIL153" s="1"/>
      <c r="AIM153" s="1"/>
      <c r="AIN153" s="1"/>
      <c r="AIO153" s="1"/>
      <c r="AIP153" s="1"/>
      <c r="AIQ153" s="1"/>
      <c r="AIR153" s="1"/>
      <c r="AIS153" s="1"/>
      <c r="AIT153" s="1"/>
      <c r="AIU153" s="1"/>
      <c r="AIV153" s="1"/>
      <c r="AIW153" s="1"/>
      <c r="AIX153" s="1"/>
      <c r="AIY153" s="1"/>
      <c r="AIZ153" s="1"/>
      <c r="AJA153" s="1"/>
      <c r="AJB153" s="1"/>
      <c r="AJC153" s="1"/>
      <c r="AJD153" s="1"/>
      <c r="AJE153" s="1"/>
      <c r="AJF153" s="1"/>
      <c r="AJG153" s="1"/>
      <c r="AJH153" s="1"/>
      <c r="AJI153" s="1"/>
      <c r="AJJ153" s="1"/>
      <c r="AJK153" s="1"/>
      <c r="AJL153" s="1"/>
      <c r="AJM153" s="1"/>
      <c r="AJN153" s="1"/>
      <c r="AJO153" s="1"/>
      <c r="AJP153" s="1"/>
      <c r="AJQ153" s="1"/>
      <c r="AJR153" s="1"/>
      <c r="AJS153" s="1"/>
      <c r="AJT153" s="1"/>
      <c r="AJU153" s="1"/>
      <c r="AJV153" s="1"/>
      <c r="AJW153" s="1"/>
      <c r="AJX153" s="1"/>
      <c r="AJY153" s="1"/>
      <c r="AJZ153" s="1"/>
      <c r="AKA153" s="1"/>
      <c r="AKB153" s="1"/>
      <c r="AKC153" s="1"/>
      <c r="AKD153" s="1"/>
      <c r="AKE153" s="1"/>
      <c r="AKF153" s="1"/>
      <c r="AKG153" s="1"/>
      <c r="AKH153" s="1"/>
      <c r="AKI153" s="1"/>
      <c r="AKJ153" s="1"/>
      <c r="AKK153" s="1"/>
      <c r="AKL153" s="1"/>
      <c r="AKM153" s="1"/>
      <c r="AKN153" s="1"/>
      <c r="AKO153" s="1"/>
      <c r="AKP153" s="1"/>
      <c r="AKQ153" s="1"/>
      <c r="AKR153" s="1"/>
      <c r="AKS153" s="1"/>
      <c r="AKT153" s="1"/>
      <c r="AKU153" s="1"/>
      <c r="AKV153" s="1"/>
      <c r="AKW153" s="1"/>
      <c r="AKX153" s="1"/>
      <c r="AKY153" s="1"/>
      <c r="AKZ153" s="1"/>
      <c r="ALA153" s="1"/>
      <c r="ALB153" s="1"/>
      <c r="ALC153" s="1"/>
      <c r="ALD153" s="1"/>
      <c r="ALE153" s="1"/>
      <c r="ALF153" s="1"/>
      <c r="ALG153" s="1"/>
      <c r="ALH153" s="1"/>
      <c r="ALI153" s="1"/>
      <c r="ALJ153" s="1"/>
      <c r="ALK153" s="1"/>
      <c r="ALL153" s="1"/>
      <c r="ALM153" s="1"/>
      <c r="ALN153" s="1"/>
      <c r="ALO153" s="1"/>
      <c r="ALP153" s="1"/>
      <c r="ALQ153" s="1"/>
      <c r="ALR153" s="1"/>
      <c r="ALS153" s="1"/>
      <c r="ALT153" s="1"/>
      <c r="ALU153" s="1"/>
      <c r="ALV153" s="1"/>
      <c r="ALW153" s="1"/>
      <c r="ALX153" s="1"/>
      <c r="ALY153" s="1"/>
      <c r="ALZ153" s="1"/>
      <c r="AMA153" s="1"/>
      <c r="AMB153" s="1"/>
      <c r="AMC153" s="1"/>
      <c r="AMD153" s="1"/>
      <c r="AME153" s="1"/>
      <c r="AMF153" s="1"/>
      <c r="AMG153" s="1"/>
      <c r="AMH153" s="1"/>
      <c r="AMI153" s="1"/>
      <c r="AMJ153" s="1"/>
    </row>
    <row r="154" customFormat="false" ht="10.5" hidden="false" customHeight="true" outlineLevel="0" collapsed="false">
      <c r="A154" s="216" t="s">
        <v>286</v>
      </c>
      <c r="B154" s="216"/>
      <c r="C154" s="216"/>
      <c r="D154" s="216"/>
      <c r="E154" s="216"/>
      <c r="F154" s="216"/>
      <c r="G154" s="216"/>
      <c r="H154" s="216"/>
      <c r="I154" s="216"/>
      <c r="J154" s="216"/>
      <c r="K154" s="216"/>
      <c r="L154" s="216"/>
      <c r="M154" s="216"/>
      <c r="N154" s="19" t="s">
        <v>285</v>
      </c>
      <c r="O154" s="19"/>
      <c r="P154" s="19"/>
      <c r="Q154" s="19"/>
      <c r="R154" s="19"/>
      <c r="S154" s="185" t="n">
        <v>1493</v>
      </c>
      <c r="T154" s="185"/>
      <c r="U154" s="185"/>
      <c r="V154" s="185"/>
      <c r="W154" s="185"/>
      <c r="X154" s="217" t="n">
        <v>2</v>
      </c>
      <c r="Y154" s="217"/>
      <c r="Z154" s="217"/>
      <c r="AA154" s="217"/>
      <c r="AB154" s="217"/>
      <c r="AC154" s="19" t="n">
        <v>1</v>
      </c>
      <c r="AD154" s="19"/>
      <c r="AE154" s="19"/>
      <c r="AF154" s="19"/>
      <c r="AG154" s="19"/>
      <c r="AH154" s="140" t="n">
        <f aca="false">S154*X154*AC154</f>
        <v>2986</v>
      </c>
      <c r="AI154" s="140"/>
      <c r="AJ154" s="140"/>
      <c r="AK154" s="140"/>
      <c r="AL154" s="140"/>
      <c r="AM154" s="140"/>
      <c r="AN154" s="140"/>
      <c r="AO154" s="140"/>
      <c r="BE154" s="1"/>
      <c r="BF154" s="1"/>
      <c r="BG154" s="1"/>
      <c r="BH154" s="1"/>
      <c r="BI154" s="1"/>
      <c r="BJ154" s="1"/>
      <c r="BK154" s="1"/>
      <c r="BL154" s="1"/>
      <c r="BM154" s="1"/>
      <c r="BN154" s="1"/>
      <c r="BO154" s="1"/>
      <c r="BP154" s="1"/>
      <c r="BQ154" s="1"/>
      <c r="BR154" s="1"/>
      <c r="BS154" s="1"/>
      <c r="BT154" s="1"/>
      <c r="BU154" s="1"/>
      <c r="BV154" s="1"/>
      <c r="BW154" s="1"/>
      <c r="BX154" s="1"/>
      <c r="BY154" s="1"/>
      <c r="BZ154" s="1"/>
      <c r="CA154" s="1"/>
      <c r="CB154" s="1"/>
      <c r="CC154" s="1"/>
      <c r="CD154" s="1"/>
      <c r="CE154" s="1"/>
      <c r="CF154" s="1"/>
      <c r="CG154" s="1"/>
      <c r="CH154" s="1"/>
      <c r="CI154" s="1"/>
      <c r="CJ154" s="1"/>
      <c r="CK154" s="1"/>
      <c r="CL154" s="1"/>
      <c r="CM154" s="1"/>
      <c r="CN154" s="1"/>
      <c r="CO154" s="1"/>
      <c r="CP154" s="1"/>
      <c r="CQ154" s="1"/>
      <c r="CR154" s="1"/>
      <c r="CS154" s="1"/>
      <c r="CT154" s="1"/>
      <c r="CU154" s="1"/>
      <c r="CV154" s="1"/>
      <c r="CW154" s="1"/>
      <c r="CX154" s="1"/>
      <c r="CY154" s="1"/>
      <c r="CZ154" s="1"/>
      <c r="DA154" s="1"/>
      <c r="DB154" s="1"/>
      <c r="DC154" s="1"/>
      <c r="DD154" s="1"/>
      <c r="DE154" s="1"/>
      <c r="DF154" s="1"/>
      <c r="DG154" s="1"/>
      <c r="DH154" s="1"/>
      <c r="DI154" s="1"/>
      <c r="DJ154" s="1"/>
      <c r="DK154" s="1"/>
      <c r="DL154" s="1"/>
      <c r="DM154" s="1"/>
      <c r="DN154" s="1"/>
      <c r="DO154" s="1"/>
      <c r="DP154" s="1"/>
      <c r="DQ154" s="1"/>
      <c r="DR154" s="1"/>
      <c r="DS154" s="1"/>
      <c r="DT154" s="1"/>
      <c r="DU154" s="1"/>
      <c r="DV154" s="1"/>
      <c r="DW154" s="1"/>
      <c r="DX154" s="1"/>
      <c r="DY154" s="1"/>
      <c r="DZ154" s="1"/>
      <c r="EA154" s="1"/>
      <c r="EB154" s="1"/>
      <c r="EC154" s="1"/>
      <c r="ED154" s="1"/>
      <c r="EE154" s="1"/>
      <c r="EF154" s="1"/>
      <c r="EG154" s="1"/>
      <c r="EH154" s="1"/>
      <c r="EI154" s="1"/>
      <c r="EJ154" s="1"/>
      <c r="EK154" s="1"/>
      <c r="EL154" s="1"/>
      <c r="EM154" s="1"/>
      <c r="EN154" s="1"/>
      <c r="EO154" s="1"/>
      <c r="EP154" s="1"/>
      <c r="EQ154" s="1"/>
      <c r="ER154" s="1"/>
      <c r="ES154" s="1"/>
      <c r="ET154" s="1"/>
      <c r="EU154" s="1"/>
      <c r="EV154" s="1"/>
      <c r="EW154" s="1"/>
      <c r="EX154" s="1"/>
      <c r="EY154" s="1"/>
      <c r="EZ154" s="1"/>
      <c r="FA154" s="1"/>
      <c r="FB154" s="1"/>
      <c r="FC154" s="1"/>
      <c r="FD154" s="1"/>
      <c r="FE154" s="1"/>
      <c r="FF154" s="1"/>
      <c r="FG154" s="1"/>
      <c r="FH154" s="1"/>
      <c r="FI154" s="1"/>
      <c r="FJ154" s="1"/>
      <c r="FK154" s="1"/>
      <c r="FL154" s="1"/>
      <c r="FM154" s="1"/>
      <c r="FN154" s="1"/>
      <c r="FO154" s="1"/>
      <c r="FP154" s="1"/>
      <c r="FQ154" s="1"/>
      <c r="FR154" s="1"/>
      <c r="FS154" s="1"/>
      <c r="FT154" s="1"/>
      <c r="FU154" s="1"/>
      <c r="FV154" s="1"/>
      <c r="FW154" s="1"/>
      <c r="FX154" s="1"/>
      <c r="FY154" s="1"/>
      <c r="FZ154" s="1"/>
      <c r="GA154" s="1"/>
      <c r="GB154" s="1"/>
      <c r="GC154" s="1"/>
      <c r="GD154" s="1"/>
      <c r="GE154" s="1"/>
      <c r="GF154" s="1"/>
      <c r="GG154" s="1"/>
      <c r="GH154" s="1"/>
      <c r="GI154" s="1"/>
      <c r="GJ154" s="1"/>
      <c r="GK154" s="1"/>
      <c r="GL154" s="1"/>
      <c r="GM154" s="1"/>
      <c r="GN154" s="1"/>
      <c r="GO154" s="1"/>
      <c r="GP154" s="1"/>
      <c r="GQ154" s="1"/>
      <c r="GR154" s="1"/>
      <c r="GS154" s="1"/>
      <c r="GT154" s="1"/>
      <c r="GU154" s="1"/>
      <c r="GV154" s="1"/>
      <c r="GW154" s="1"/>
      <c r="GX154" s="1"/>
      <c r="GY154" s="1"/>
      <c r="GZ154" s="1"/>
      <c r="HA154" s="1"/>
      <c r="HB154" s="1"/>
      <c r="HC154" s="1"/>
      <c r="HD154" s="1"/>
      <c r="HE154" s="1"/>
      <c r="HF154" s="1"/>
      <c r="HG154" s="1"/>
      <c r="HH154" s="1"/>
      <c r="HI154" s="1"/>
      <c r="HJ154" s="1"/>
      <c r="HK154" s="1"/>
      <c r="HL154" s="1"/>
      <c r="HM154" s="1"/>
      <c r="HN154" s="1"/>
      <c r="HO154" s="1"/>
      <c r="HP154" s="1"/>
      <c r="HQ154" s="1"/>
      <c r="HR154" s="1"/>
      <c r="HS154" s="1"/>
      <c r="HT154" s="1"/>
      <c r="HU154" s="1"/>
      <c r="HV154" s="1"/>
      <c r="HW154" s="1"/>
      <c r="HX154" s="1"/>
      <c r="HY154" s="1"/>
      <c r="HZ154" s="1"/>
      <c r="IA154" s="1"/>
      <c r="IB154" s="1"/>
      <c r="IC154" s="1"/>
      <c r="ID154" s="1"/>
      <c r="IE154" s="1"/>
      <c r="IF154" s="1"/>
      <c r="IG154" s="1"/>
      <c r="IH154" s="1"/>
      <c r="II154" s="1"/>
      <c r="IJ154" s="1"/>
      <c r="IK154" s="1"/>
      <c r="IL154" s="1"/>
      <c r="IM154" s="1"/>
      <c r="IN154" s="1"/>
      <c r="IO154" s="1"/>
      <c r="IP154" s="1"/>
      <c r="IQ154" s="1"/>
      <c r="IR154" s="1"/>
      <c r="IS154" s="1"/>
      <c r="IT154" s="1"/>
      <c r="IU154" s="1"/>
      <c r="IV154" s="1"/>
      <c r="IW154" s="1"/>
      <c r="IX154" s="1"/>
      <c r="IY154" s="1"/>
      <c r="IZ154" s="1"/>
      <c r="JA154" s="1"/>
      <c r="JB154" s="1"/>
      <c r="JC154" s="1"/>
      <c r="JD154" s="1"/>
      <c r="JE154" s="1"/>
      <c r="JF154" s="1"/>
      <c r="JG154" s="1"/>
      <c r="JH154" s="1"/>
      <c r="JI154" s="1"/>
      <c r="JJ154" s="1"/>
      <c r="JK154" s="1"/>
      <c r="JL154" s="1"/>
      <c r="JM154" s="1"/>
      <c r="JN154" s="1"/>
      <c r="JO154" s="1"/>
      <c r="JP154" s="1"/>
      <c r="JQ154" s="1"/>
      <c r="JR154" s="1"/>
      <c r="JS154" s="1"/>
      <c r="JT154" s="1"/>
      <c r="JU154" s="1"/>
      <c r="JV154" s="1"/>
      <c r="JW154" s="1"/>
      <c r="JX154" s="1"/>
      <c r="JY154" s="1"/>
      <c r="JZ154" s="1"/>
      <c r="KA154" s="1"/>
      <c r="KB154" s="1"/>
      <c r="KC154" s="1"/>
      <c r="KD154" s="1"/>
      <c r="KE154" s="1"/>
      <c r="KF154" s="1"/>
      <c r="KG154" s="1"/>
      <c r="KH154" s="1"/>
      <c r="KI154" s="1"/>
      <c r="KJ154" s="1"/>
      <c r="KK154" s="1"/>
      <c r="KL154" s="1"/>
      <c r="KM154" s="1"/>
      <c r="KN154" s="1"/>
      <c r="KO154" s="1"/>
      <c r="KP154" s="1"/>
      <c r="KQ154" s="1"/>
      <c r="KR154" s="1"/>
      <c r="KS154" s="1"/>
      <c r="KT154" s="1"/>
      <c r="KU154" s="1"/>
      <c r="KV154" s="1"/>
      <c r="KW154" s="1"/>
      <c r="KX154" s="1"/>
      <c r="KY154" s="1"/>
      <c r="KZ154" s="1"/>
      <c r="LA154" s="1"/>
      <c r="LB154" s="1"/>
      <c r="LC154" s="1"/>
      <c r="LD154" s="1"/>
      <c r="LE154" s="1"/>
      <c r="LF154" s="1"/>
      <c r="LG154" s="1"/>
      <c r="LH154" s="1"/>
      <c r="LI154" s="1"/>
      <c r="LJ154" s="1"/>
      <c r="LK154" s="1"/>
      <c r="LL154" s="1"/>
      <c r="LM154" s="1"/>
      <c r="LN154" s="1"/>
      <c r="LO154" s="1"/>
      <c r="LP154" s="1"/>
      <c r="LQ154" s="1"/>
      <c r="LR154" s="1"/>
      <c r="LS154" s="1"/>
      <c r="LT154" s="1"/>
      <c r="LU154" s="1"/>
      <c r="LV154" s="1"/>
      <c r="LW154" s="1"/>
      <c r="LX154" s="1"/>
      <c r="LY154" s="1"/>
      <c r="LZ154" s="1"/>
      <c r="MA154" s="1"/>
      <c r="MB154" s="1"/>
      <c r="MC154" s="1"/>
      <c r="MD154" s="1"/>
      <c r="ME154" s="1"/>
      <c r="MF154" s="1"/>
      <c r="MG154" s="1"/>
      <c r="MH154" s="1"/>
      <c r="MI154" s="1"/>
      <c r="MJ154" s="1"/>
      <c r="MK154" s="1"/>
      <c r="ML154" s="1"/>
      <c r="MM154" s="1"/>
      <c r="MN154" s="1"/>
      <c r="MO154" s="1"/>
      <c r="MP154" s="1"/>
      <c r="MQ154" s="1"/>
      <c r="MR154" s="1"/>
      <c r="MS154" s="1"/>
      <c r="MT154" s="1"/>
      <c r="MU154" s="1"/>
      <c r="MV154" s="1"/>
      <c r="MW154" s="1"/>
      <c r="MX154" s="1"/>
      <c r="MY154" s="1"/>
      <c r="MZ154" s="1"/>
      <c r="NA154" s="1"/>
      <c r="NB154" s="1"/>
      <c r="NC154" s="1"/>
      <c r="ND154" s="1"/>
      <c r="NE154" s="1"/>
      <c r="NF154" s="1"/>
      <c r="NG154" s="1"/>
      <c r="NH154" s="1"/>
      <c r="NI154" s="1"/>
      <c r="NJ154" s="1"/>
      <c r="NK154" s="1"/>
      <c r="NL154" s="1"/>
      <c r="NM154" s="1"/>
      <c r="NN154" s="1"/>
      <c r="NO154" s="1"/>
      <c r="NP154" s="1"/>
      <c r="NQ154" s="1"/>
      <c r="NR154" s="1"/>
      <c r="NS154" s="1"/>
      <c r="NT154" s="1"/>
      <c r="NU154" s="1"/>
      <c r="NV154" s="1"/>
      <c r="NW154" s="1"/>
      <c r="NX154" s="1"/>
      <c r="NY154" s="1"/>
      <c r="NZ154" s="1"/>
      <c r="OA154" s="1"/>
      <c r="OB154" s="1"/>
      <c r="OC154" s="1"/>
      <c r="OD154" s="1"/>
      <c r="OE154" s="1"/>
      <c r="OF154" s="1"/>
      <c r="OG154" s="1"/>
      <c r="OH154" s="1"/>
      <c r="OI154" s="1"/>
      <c r="OJ154" s="1"/>
      <c r="OK154" s="1"/>
      <c r="OL154" s="1"/>
      <c r="OM154" s="1"/>
      <c r="ON154" s="1"/>
      <c r="OO154" s="1"/>
      <c r="OP154" s="1"/>
      <c r="OQ154" s="1"/>
      <c r="OR154" s="1"/>
      <c r="OS154" s="1"/>
      <c r="OT154" s="1"/>
      <c r="OU154" s="1"/>
      <c r="OV154" s="1"/>
      <c r="OW154" s="1"/>
      <c r="OX154" s="1"/>
      <c r="OY154" s="1"/>
      <c r="OZ154" s="1"/>
      <c r="PA154" s="1"/>
      <c r="PB154" s="1"/>
      <c r="PC154" s="1"/>
      <c r="PD154" s="1"/>
      <c r="PE154" s="1"/>
      <c r="PF154" s="1"/>
      <c r="PG154" s="1"/>
      <c r="PH154" s="1"/>
      <c r="PI154" s="1"/>
      <c r="PJ154" s="1"/>
      <c r="PK154" s="1"/>
      <c r="PL154" s="1"/>
      <c r="PM154" s="1"/>
      <c r="PN154" s="1"/>
      <c r="PO154" s="1"/>
      <c r="PP154" s="1"/>
      <c r="PQ154" s="1"/>
      <c r="PR154" s="1"/>
      <c r="PS154" s="1"/>
      <c r="PT154" s="1"/>
      <c r="PU154" s="1"/>
      <c r="PV154" s="1"/>
      <c r="PW154" s="1"/>
      <c r="PX154" s="1"/>
      <c r="PY154" s="1"/>
      <c r="PZ154" s="1"/>
      <c r="QA154" s="1"/>
      <c r="QB154" s="1"/>
      <c r="QC154" s="1"/>
      <c r="QD154" s="1"/>
      <c r="QE154" s="1"/>
      <c r="QF154" s="1"/>
      <c r="QG154" s="1"/>
      <c r="QH154" s="1"/>
      <c r="QI154" s="1"/>
      <c r="QJ154" s="1"/>
      <c r="QK154" s="1"/>
      <c r="QL154" s="1"/>
      <c r="QM154" s="1"/>
      <c r="QN154" s="1"/>
      <c r="QO154" s="1"/>
      <c r="QP154" s="1"/>
      <c r="QQ154" s="1"/>
      <c r="QR154" s="1"/>
      <c r="QS154" s="1"/>
      <c r="QT154" s="1"/>
      <c r="QU154" s="1"/>
      <c r="QV154" s="1"/>
      <c r="QW154" s="1"/>
      <c r="QX154" s="1"/>
      <c r="QY154" s="1"/>
      <c r="QZ154" s="1"/>
      <c r="RA154" s="1"/>
      <c r="RB154" s="1"/>
      <c r="RC154" s="1"/>
      <c r="RD154" s="1"/>
      <c r="RE154" s="1"/>
      <c r="RF154" s="1"/>
      <c r="RG154" s="1"/>
      <c r="RH154" s="1"/>
      <c r="RI154" s="1"/>
      <c r="RJ154" s="1"/>
      <c r="RK154" s="1"/>
      <c r="RL154" s="1"/>
      <c r="RM154" s="1"/>
      <c r="RN154" s="1"/>
      <c r="RO154" s="1"/>
      <c r="RP154" s="1"/>
      <c r="RQ154" s="1"/>
      <c r="RR154" s="1"/>
      <c r="RS154" s="1"/>
      <c r="RT154" s="1"/>
      <c r="RU154" s="1"/>
      <c r="RV154" s="1"/>
      <c r="RW154" s="1"/>
      <c r="RX154" s="1"/>
      <c r="RY154" s="1"/>
      <c r="RZ154" s="1"/>
      <c r="SA154" s="1"/>
      <c r="SB154" s="1"/>
      <c r="SC154" s="1"/>
      <c r="SD154" s="1"/>
      <c r="SE154" s="1"/>
      <c r="SF154" s="1"/>
      <c r="SG154" s="1"/>
      <c r="SH154" s="1"/>
      <c r="SI154" s="1"/>
      <c r="SJ154" s="1"/>
      <c r="SK154" s="1"/>
      <c r="SL154" s="1"/>
      <c r="SM154" s="1"/>
      <c r="SN154" s="1"/>
      <c r="SO154" s="1"/>
      <c r="SP154" s="1"/>
      <c r="SQ154" s="1"/>
      <c r="SR154" s="1"/>
      <c r="SS154" s="1"/>
      <c r="ST154" s="1"/>
      <c r="SU154" s="1"/>
      <c r="SV154" s="1"/>
      <c r="SW154" s="1"/>
      <c r="SX154" s="1"/>
      <c r="SY154" s="1"/>
      <c r="SZ154" s="1"/>
      <c r="TA154" s="1"/>
      <c r="TB154" s="1"/>
      <c r="TC154" s="1"/>
      <c r="TD154" s="1"/>
      <c r="TE154" s="1"/>
      <c r="TF154" s="1"/>
      <c r="TG154" s="1"/>
      <c r="TH154" s="1"/>
      <c r="TI154" s="1"/>
      <c r="TJ154" s="1"/>
      <c r="TK154" s="1"/>
      <c r="TL154" s="1"/>
      <c r="TM154" s="1"/>
      <c r="TN154" s="1"/>
      <c r="TO154" s="1"/>
      <c r="TP154" s="1"/>
      <c r="TQ154" s="1"/>
      <c r="TR154" s="1"/>
      <c r="TS154" s="1"/>
      <c r="TT154" s="1"/>
      <c r="TU154" s="1"/>
      <c r="TV154" s="1"/>
      <c r="TW154" s="1"/>
      <c r="TX154" s="1"/>
      <c r="TY154" s="1"/>
      <c r="TZ154" s="1"/>
      <c r="UA154" s="1"/>
      <c r="UB154" s="1"/>
      <c r="UC154" s="1"/>
      <c r="UD154" s="1"/>
      <c r="UE154" s="1"/>
      <c r="UF154" s="1"/>
      <c r="UG154" s="1"/>
      <c r="UH154" s="1"/>
      <c r="UI154" s="1"/>
      <c r="UJ154" s="1"/>
      <c r="UK154" s="1"/>
      <c r="UL154" s="1"/>
      <c r="UM154" s="1"/>
      <c r="UN154" s="1"/>
      <c r="UO154" s="1"/>
      <c r="UP154" s="1"/>
      <c r="UQ154" s="1"/>
      <c r="UR154" s="1"/>
      <c r="US154" s="1"/>
      <c r="UT154" s="1"/>
      <c r="UU154" s="1"/>
      <c r="UV154" s="1"/>
      <c r="UW154" s="1"/>
      <c r="UX154" s="1"/>
      <c r="UY154" s="1"/>
      <c r="UZ154" s="1"/>
      <c r="VA154" s="1"/>
      <c r="VB154" s="1"/>
      <c r="VC154" s="1"/>
      <c r="VD154" s="1"/>
      <c r="VE154" s="1"/>
      <c r="VF154" s="1"/>
      <c r="VG154" s="1"/>
      <c r="VH154" s="1"/>
      <c r="VI154" s="1"/>
      <c r="VJ154" s="1"/>
      <c r="VK154" s="1"/>
      <c r="VL154" s="1"/>
      <c r="VM154" s="1"/>
      <c r="VN154" s="1"/>
      <c r="VO154" s="1"/>
      <c r="VP154" s="1"/>
      <c r="VQ154" s="1"/>
      <c r="VR154" s="1"/>
      <c r="VS154" s="1"/>
      <c r="VT154" s="1"/>
      <c r="VU154" s="1"/>
      <c r="VV154" s="1"/>
      <c r="VW154" s="1"/>
      <c r="VX154" s="1"/>
      <c r="VY154" s="1"/>
      <c r="VZ154" s="1"/>
      <c r="WA154" s="1"/>
      <c r="WB154" s="1"/>
      <c r="WC154" s="1"/>
      <c r="WD154" s="1"/>
      <c r="WE154" s="1"/>
      <c r="WF154" s="1"/>
      <c r="WG154" s="1"/>
      <c r="WH154" s="1"/>
      <c r="WI154" s="1"/>
      <c r="WJ154" s="1"/>
      <c r="WK154" s="1"/>
      <c r="WL154" s="1"/>
      <c r="WM154" s="1"/>
      <c r="WN154" s="1"/>
      <c r="WO154" s="1"/>
      <c r="WP154" s="1"/>
      <c r="WQ154" s="1"/>
      <c r="WR154" s="1"/>
      <c r="WS154" s="1"/>
      <c r="WT154" s="1"/>
      <c r="WU154" s="1"/>
      <c r="WV154" s="1"/>
      <c r="WW154" s="1"/>
      <c r="WX154" s="1"/>
      <c r="WY154" s="1"/>
      <c r="WZ154" s="1"/>
      <c r="XA154" s="1"/>
      <c r="XB154" s="1"/>
      <c r="XC154" s="1"/>
      <c r="XD154" s="1"/>
      <c r="XE154" s="1"/>
      <c r="XF154" s="1"/>
      <c r="XG154" s="1"/>
      <c r="XH154" s="1"/>
      <c r="XI154" s="1"/>
      <c r="XJ154" s="1"/>
      <c r="XK154" s="1"/>
      <c r="XL154" s="1"/>
      <c r="XM154" s="1"/>
      <c r="XN154" s="1"/>
      <c r="XO154" s="1"/>
      <c r="XP154" s="1"/>
      <c r="XQ154" s="1"/>
      <c r="XR154" s="1"/>
      <c r="XS154" s="1"/>
      <c r="XT154" s="1"/>
      <c r="XU154" s="1"/>
      <c r="XV154" s="1"/>
      <c r="XW154" s="1"/>
      <c r="XX154" s="1"/>
      <c r="XY154" s="1"/>
      <c r="XZ154" s="1"/>
      <c r="YA154" s="1"/>
      <c r="YB154" s="1"/>
      <c r="YC154" s="1"/>
      <c r="YD154" s="1"/>
      <c r="YE154" s="1"/>
      <c r="YF154" s="1"/>
      <c r="YG154" s="1"/>
      <c r="YH154" s="1"/>
      <c r="YI154" s="1"/>
      <c r="YJ154" s="1"/>
      <c r="YK154" s="1"/>
      <c r="YL154" s="1"/>
      <c r="YM154" s="1"/>
      <c r="YN154" s="1"/>
      <c r="YO154" s="1"/>
      <c r="YP154" s="1"/>
      <c r="YQ154" s="1"/>
      <c r="YR154" s="1"/>
      <c r="YS154" s="1"/>
      <c r="YT154" s="1"/>
      <c r="YU154" s="1"/>
      <c r="YV154" s="1"/>
      <c r="YW154" s="1"/>
      <c r="YX154" s="1"/>
      <c r="YY154" s="1"/>
      <c r="YZ154" s="1"/>
      <c r="ZA154" s="1"/>
      <c r="ZB154" s="1"/>
      <c r="ZC154" s="1"/>
      <c r="ZD154" s="1"/>
      <c r="ZE154" s="1"/>
      <c r="ZF154" s="1"/>
      <c r="ZG154" s="1"/>
      <c r="ZH154" s="1"/>
      <c r="ZI154" s="1"/>
      <c r="ZJ154" s="1"/>
      <c r="ZK154" s="1"/>
      <c r="ZL154" s="1"/>
      <c r="ZM154" s="1"/>
      <c r="ZN154" s="1"/>
      <c r="ZO154" s="1"/>
      <c r="ZP154" s="1"/>
      <c r="ZQ154" s="1"/>
      <c r="ZR154" s="1"/>
      <c r="ZS154" s="1"/>
      <c r="ZT154" s="1"/>
      <c r="ZU154" s="1"/>
      <c r="ZV154" s="1"/>
      <c r="ZW154" s="1"/>
      <c r="ZX154" s="1"/>
      <c r="ZY154" s="1"/>
      <c r="ZZ154" s="1"/>
      <c r="AAA154" s="1"/>
      <c r="AAB154" s="1"/>
      <c r="AAC154" s="1"/>
      <c r="AAD154" s="1"/>
      <c r="AAE154" s="1"/>
      <c r="AAF154" s="1"/>
      <c r="AAG154" s="1"/>
      <c r="AAH154" s="1"/>
      <c r="AAI154" s="1"/>
      <c r="AAJ154" s="1"/>
      <c r="AAK154" s="1"/>
      <c r="AAL154" s="1"/>
      <c r="AAM154" s="1"/>
      <c r="AAN154" s="1"/>
      <c r="AAO154" s="1"/>
      <c r="AAP154" s="1"/>
      <c r="AAQ154" s="1"/>
      <c r="AAR154" s="1"/>
      <c r="AAS154" s="1"/>
      <c r="AAT154" s="1"/>
      <c r="AAU154" s="1"/>
      <c r="AAV154" s="1"/>
      <c r="AAW154" s="1"/>
      <c r="AAX154" s="1"/>
      <c r="AAY154" s="1"/>
      <c r="AAZ154" s="1"/>
      <c r="ABA154" s="1"/>
      <c r="ABB154" s="1"/>
      <c r="ABC154" s="1"/>
      <c r="ABD154" s="1"/>
      <c r="ABE154" s="1"/>
      <c r="ABF154" s="1"/>
      <c r="ABG154" s="1"/>
      <c r="ABH154" s="1"/>
      <c r="ABI154" s="1"/>
      <c r="ABJ154" s="1"/>
      <c r="ABK154" s="1"/>
      <c r="ABL154" s="1"/>
      <c r="ABM154" s="1"/>
      <c r="ABN154" s="1"/>
      <c r="ABO154" s="1"/>
      <c r="ABP154" s="1"/>
      <c r="ABQ154" s="1"/>
      <c r="ABR154" s="1"/>
      <c r="ABS154" s="1"/>
      <c r="ABT154" s="1"/>
      <c r="ABU154" s="1"/>
      <c r="ABV154" s="1"/>
      <c r="ABW154" s="1"/>
      <c r="ABX154" s="1"/>
      <c r="ABY154" s="1"/>
      <c r="ABZ154" s="1"/>
      <c r="ACA154" s="1"/>
      <c r="ACB154" s="1"/>
      <c r="ACC154" s="1"/>
      <c r="ACD154" s="1"/>
      <c r="ACE154" s="1"/>
      <c r="ACF154" s="1"/>
      <c r="ACG154" s="1"/>
      <c r="ACH154" s="1"/>
      <c r="ACI154" s="1"/>
      <c r="ACJ154" s="1"/>
      <c r="ACK154" s="1"/>
      <c r="ACL154" s="1"/>
      <c r="ACM154" s="1"/>
      <c r="ACN154" s="1"/>
      <c r="ACO154" s="1"/>
      <c r="ACP154" s="1"/>
      <c r="ACQ154" s="1"/>
      <c r="ACR154" s="1"/>
      <c r="ACS154" s="1"/>
      <c r="ACT154" s="1"/>
      <c r="ACU154" s="1"/>
      <c r="ACV154" s="1"/>
      <c r="ACW154" s="1"/>
      <c r="ACX154" s="1"/>
      <c r="ACY154" s="1"/>
      <c r="ACZ154" s="1"/>
      <c r="ADA154" s="1"/>
      <c r="ADB154" s="1"/>
      <c r="ADC154" s="1"/>
      <c r="ADD154" s="1"/>
      <c r="ADE154" s="1"/>
      <c r="ADF154" s="1"/>
      <c r="ADG154" s="1"/>
      <c r="ADH154" s="1"/>
      <c r="ADI154" s="1"/>
      <c r="ADJ154" s="1"/>
      <c r="ADK154" s="1"/>
      <c r="ADL154" s="1"/>
      <c r="ADM154" s="1"/>
      <c r="ADN154" s="1"/>
      <c r="ADO154" s="1"/>
      <c r="ADP154" s="1"/>
      <c r="ADQ154" s="1"/>
      <c r="ADR154" s="1"/>
      <c r="ADS154" s="1"/>
      <c r="ADT154" s="1"/>
      <c r="ADU154" s="1"/>
      <c r="ADV154" s="1"/>
      <c r="ADW154" s="1"/>
      <c r="ADX154" s="1"/>
      <c r="ADY154" s="1"/>
      <c r="ADZ154" s="1"/>
      <c r="AEA154" s="1"/>
      <c r="AEB154" s="1"/>
      <c r="AEC154" s="1"/>
      <c r="AED154" s="1"/>
      <c r="AEE154" s="1"/>
      <c r="AEF154" s="1"/>
      <c r="AEG154" s="1"/>
      <c r="AEH154" s="1"/>
      <c r="AEI154" s="1"/>
      <c r="AEJ154" s="1"/>
      <c r="AEK154" s="1"/>
      <c r="AEL154" s="1"/>
      <c r="AEM154" s="1"/>
      <c r="AEN154" s="1"/>
      <c r="AEO154" s="1"/>
      <c r="AEP154" s="1"/>
      <c r="AEQ154" s="1"/>
      <c r="AER154" s="1"/>
      <c r="AES154" s="1"/>
      <c r="AET154" s="1"/>
      <c r="AEU154" s="1"/>
      <c r="AEV154" s="1"/>
      <c r="AEW154" s="1"/>
      <c r="AEX154" s="1"/>
      <c r="AEY154" s="1"/>
      <c r="AEZ154" s="1"/>
      <c r="AFA154" s="1"/>
      <c r="AFB154" s="1"/>
      <c r="AFC154" s="1"/>
      <c r="AFD154" s="1"/>
      <c r="AFE154" s="1"/>
      <c r="AFF154" s="1"/>
      <c r="AFG154" s="1"/>
      <c r="AFH154" s="1"/>
      <c r="AFI154" s="1"/>
      <c r="AFJ154" s="1"/>
      <c r="AFK154" s="1"/>
      <c r="AFL154" s="1"/>
      <c r="AFM154" s="1"/>
      <c r="AFN154" s="1"/>
      <c r="AFO154" s="1"/>
      <c r="AFP154" s="1"/>
      <c r="AFQ154" s="1"/>
      <c r="AFR154" s="1"/>
      <c r="AFS154" s="1"/>
      <c r="AFT154" s="1"/>
      <c r="AFU154" s="1"/>
      <c r="AFV154" s="1"/>
      <c r="AFW154" s="1"/>
      <c r="AFX154" s="1"/>
      <c r="AFY154" s="1"/>
      <c r="AFZ154" s="1"/>
      <c r="AGA154" s="1"/>
      <c r="AGB154" s="1"/>
      <c r="AGC154" s="1"/>
      <c r="AGD154" s="1"/>
      <c r="AGE154" s="1"/>
      <c r="AGF154" s="1"/>
      <c r="AGG154" s="1"/>
      <c r="AGH154" s="1"/>
      <c r="AGI154" s="1"/>
      <c r="AGJ154" s="1"/>
      <c r="AGK154" s="1"/>
      <c r="AGL154" s="1"/>
      <c r="AGM154" s="1"/>
      <c r="AGN154" s="1"/>
      <c r="AGO154" s="1"/>
      <c r="AGP154" s="1"/>
      <c r="AGQ154" s="1"/>
      <c r="AGR154" s="1"/>
      <c r="AGS154" s="1"/>
      <c r="AGT154" s="1"/>
      <c r="AGU154" s="1"/>
      <c r="AGV154" s="1"/>
      <c r="AGW154" s="1"/>
      <c r="AGX154" s="1"/>
      <c r="AGY154" s="1"/>
      <c r="AGZ154" s="1"/>
      <c r="AHA154" s="1"/>
      <c r="AHB154" s="1"/>
      <c r="AHC154" s="1"/>
      <c r="AHD154" s="1"/>
      <c r="AHE154" s="1"/>
      <c r="AHF154" s="1"/>
      <c r="AHG154" s="1"/>
      <c r="AHH154" s="1"/>
      <c r="AHI154" s="1"/>
      <c r="AHJ154" s="1"/>
      <c r="AHK154" s="1"/>
      <c r="AHL154" s="1"/>
      <c r="AHM154" s="1"/>
      <c r="AHN154" s="1"/>
      <c r="AHO154" s="1"/>
      <c r="AHP154" s="1"/>
      <c r="AHQ154" s="1"/>
      <c r="AHR154" s="1"/>
      <c r="AHS154" s="1"/>
      <c r="AHT154" s="1"/>
      <c r="AHU154" s="1"/>
      <c r="AHV154" s="1"/>
      <c r="AHW154" s="1"/>
      <c r="AHX154" s="1"/>
      <c r="AHY154" s="1"/>
      <c r="AHZ154" s="1"/>
      <c r="AIA154" s="1"/>
      <c r="AIB154" s="1"/>
      <c r="AIC154" s="1"/>
      <c r="AID154" s="1"/>
      <c r="AIE154" s="1"/>
      <c r="AIF154" s="1"/>
      <c r="AIG154" s="1"/>
      <c r="AIH154" s="1"/>
      <c r="AII154" s="1"/>
      <c r="AIJ154" s="1"/>
      <c r="AIK154" s="1"/>
      <c r="AIL154" s="1"/>
      <c r="AIM154" s="1"/>
      <c r="AIN154" s="1"/>
      <c r="AIO154" s="1"/>
      <c r="AIP154" s="1"/>
      <c r="AIQ154" s="1"/>
      <c r="AIR154" s="1"/>
      <c r="AIS154" s="1"/>
      <c r="AIT154" s="1"/>
      <c r="AIU154" s="1"/>
      <c r="AIV154" s="1"/>
      <c r="AIW154" s="1"/>
      <c r="AIX154" s="1"/>
      <c r="AIY154" s="1"/>
      <c r="AIZ154" s="1"/>
      <c r="AJA154" s="1"/>
      <c r="AJB154" s="1"/>
      <c r="AJC154" s="1"/>
      <c r="AJD154" s="1"/>
      <c r="AJE154" s="1"/>
      <c r="AJF154" s="1"/>
      <c r="AJG154" s="1"/>
      <c r="AJH154" s="1"/>
      <c r="AJI154" s="1"/>
      <c r="AJJ154" s="1"/>
      <c r="AJK154" s="1"/>
      <c r="AJL154" s="1"/>
      <c r="AJM154" s="1"/>
      <c r="AJN154" s="1"/>
      <c r="AJO154" s="1"/>
      <c r="AJP154" s="1"/>
      <c r="AJQ154" s="1"/>
      <c r="AJR154" s="1"/>
      <c r="AJS154" s="1"/>
      <c r="AJT154" s="1"/>
      <c r="AJU154" s="1"/>
      <c r="AJV154" s="1"/>
      <c r="AJW154" s="1"/>
      <c r="AJX154" s="1"/>
      <c r="AJY154" s="1"/>
      <c r="AJZ154" s="1"/>
      <c r="AKA154" s="1"/>
      <c r="AKB154" s="1"/>
      <c r="AKC154" s="1"/>
      <c r="AKD154" s="1"/>
      <c r="AKE154" s="1"/>
      <c r="AKF154" s="1"/>
      <c r="AKG154" s="1"/>
      <c r="AKH154" s="1"/>
      <c r="AKI154" s="1"/>
      <c r="AKJ154" s="1"/>
      <c r="AKK154" s="1"/>
      <c r="AKL154" s="1"/>
      <c r="AKM154" s="1"/>
      <c r="AKN154" s="1"/>
      <c r="AKO154" s="1"/>
      <c r="AKP154" s="1"/>
      <c r="AKQ154" s="1"/>
      <c r="AKR154" s="1"/>
      <c r="AKS154" s="1"/>
      <c r="AKT154" s="1"/>
      <c r="AKU154" s="1"/>
      <c r="AKV154" s="1"/>
      <c r="AKW154" s="1"/>
      <c r="AKX154" s="1"/>
      <c r="AKY154" s="1"/>
      <c r="AKZ154" s="1"/>
      <c r="ALA154" s="1"/>
      <c r="ALB154" s="1"/>
      <c r="ALC154" s="1"/>
      <c r="ALD154" s="1"/>
      <c r="ALE154" s="1"/>
      <c r="ALF154" s="1"/>
      <c r="ALG154" s="1"/>
      <c r="ALH154" s="1"/>
      <c r="ALI154" s="1"/>
      <c r="ALJ154" s="1"/>
      <c r="ALK154" s="1"/>
      <c r="ALL154" s="1"/>
      <c r="ALM154" s="1"/>
      <c r="ALN154" s="1"/>
      <c r="ALO154" s="1"/>
      <c r="ALP154" s="1"/>
      <c r="ALQ154" s="1"/>
      <c r="ALR154" s="1"/>
      <c r="ALS154" s="1"/>
      <c r="ALT154" s="1"/>
      <c r="ALU154" s="1"/>
      <c r="ALV154" s="1"/>
      <c r="ALW154" s="1"/>
      <c r="ALX154" s="1"/>
      <c r="ALY154" s="1"/>
      <c r="ALZ154" s="1"/>
      <c r="AMA154" s="1"/>
      <c r="AMB154" s="1"/>
      <c r="AMC154" s="1"/>
      <c r="AMD154" s="1"/>
      <c r="AME154" s="1"/>
      <c r="AMF154" s="1"/>
      <c r="AMG154" s="1"/>
      <c r="AMH154" s="1"/>
      <c r="AMI154" s="1"/>
      <c r="AMJ154" s="1"/>
    </row>
    <row r="155" customFormat="false" ht="10.5" hidden="false" customHeight="true" outlineLevel="0" collapsed="false">
      <c r="A155" s="162"/>
      <c r="B155" s="162"/>
      <c r="C155" s="162"/>
      <c r="D155" s="162"/>
      <c r="E155" s="162"/>
      <c r="F155" s="162"/>
      <c r="G155" s="162"/>
      <c r="H155" s="162"/>
      <c r="I155" s="162"/>
      <c r="J155" s="162"/>
      <c r="K155" s="162"/>
      <c r="L155" s="162"/>
      <c r="M155" s="162"/>
      <c r="N155" s="19"/>
      <c r="O155" s="19"/>
      <c r="P155" s="19"/>
      <c r="Q155" s="19"/>
      <c r="R155" s="19"/>
      <c r="S155" s="185"/>
      <c r="T155" s="185"/>
      <c r="U155" s="185"/>
      <c r="V155" s="185"/>
      <c r="W155" s="185"/>
      <c r="X155" s="217"/>
      <c r="Y155" s="217"/>
      <c r="Z155" s="217"/>
      <c r="AA155" s="217"/>
      <c r="AB155" s="217"/>
      <c r="AC155" s="19"/>
      <c r="AD155" s="19"/>
      <c r="AE155" s="19"/>
      <c r="AF155" s="19"/>
      <c r="AG155" s="19"/>
      <c r="AH155" s="140" t="n">
        <f aca="false">S155*X155*AC155</f>
        <v>0</v>
      </c>
      <c r="AI155" s="140"/>
      <c r="AJ155" s="140"/>
      <c r="AK155" s="140"/>
      <c r="AL155" s="140"/>
      <c r="AM155" s="140"/>
      <c r="AN155" s="140"/>
      <c r="AO155" s="140"/>
      <c r="AW155" s="2" t="s">
        <v>168</v>
      </c>
      <c r="BE155" s="1"/>
      <c r="BF155" s="1"/>
      <c r="BG155" s="1"/>
      <c r="BH155" s="1"/>
      <c r="BI155" s="1"/>
      <c r="BJ155" s="1"/>
      <c r="BK155" s="1"/>
      <c r="BL155" s="1"/>
      <c r="BM155" s="1"/>
      <c r="BN155" s="1"/>
      <c r="BO155" s="1"/>
      <c r="BP155" s="1"/>
      <c r="BQ155" s="1"/>
      <c r="BR155" s="1"/>
      <c r="BS155" s="1"/>
      <c r="BT155" s="1"/>
      <c r="BU155" s="1"/>
      <c r="BV155" s="1"/>
      <c r="BW155" s="1"/>
      <c r="BX155" s="1"/>
      <c r="BY155" s="1"/>
      <c r="BZ155" s="1"/>
      <c r="CA155" s="1"/>
      <c r="CB155" s="1"/>
      <c r="CC155" s="1"/>
      <c r="CD155" s="1"/>
      <c r="CE155" s="1"/>
      <c r="CF155" s="1"/>
      <c r="CG155" s="1"/>
      <c r="CH155" s="1"/>
      <c r="CI155" s="1"/>
      <c r="CJ155" s="1"/>
      <c r="CK155" s="1"/>
      <c r="CL155" s="1"/>
      <c r="CM155" s="1"/>
      <c r="CN155" s="1"/>
      <c r="CO155" s="1"/>
      <c r="CP155" s="1"/>
      <c r="CQ155" s="1"/>
      <c r="CR155" s="1"/>
      <c r="CS155" s="1"/>
      <c r="CT155" s="1"/>
      <c r="CU155" s="1"/>
      <c r="CV155" s="1"/>
      <c r="CW155" s="1"/>
      <c r="CX155" s="1"/>
      <c r="CY155" s="1"/>
      <c r="CZ155" s="1"/>
      <c r="DA155" s="1"/>
      <c r="DB155" s="1"/>
      <c r="DC155" s="1"/>
      <c r="DD155" s="1"/>
      <c r="DE155" s="1"/>
      <c r="DF155" s="1"/>
      <c r="DG155" s="1"/>
      <c r="DH155" s="1"/>
      <c r="DI155" s="1"/>
      <c r="DJ155" s="1"/>
      <c r="DK155" s="1"/>
      <c r="DL155" s="1"/>
      <c r="DM155" s="1"/>
      <c r="DN155" s="1"/>
      <c r="DO155" s="1"/>
      <c r="DP155" s="1"/>
      <c r="DQ155" s="1"/>
      <c r="DR155" s="1"/>
      <c r="DS155" s="1"/>
      <c r="DT155" s="1"/>
      <c r="DU155" s="1"/>
      <c r="DV155" s="1"/>
      <c r="DW155" s="1"/>
      <c r="DX155" s="1"/>
      <c r="DY155" s="1"/>
      <c r="DZ155" s="1"/>
      <c r="EA155" s="1"/>
      <c r="EB155" s="1"/>
      <c r="EC155" s="1"/>
      <c r="ED155" s="1"/>
      <c r="EE155" s="1"/>
      <c r="EF155" s="1"/>
      <c r="EG155" s="1"/>
      <c r="EH155" s="1"/>
      <c r="EI155" s="1"/>
      <c r="EJ155" s="1"/>
      <c r="EK155" s="1"/>
      <c r="EL155" s="1"/>
      <c r="EM155" s="1"/>
      <c r="EN155" s="1"/>
      <c r="EO155" s="1"/>
      <c r="EP155" s="1"/>
      <c r="EQ155" s="1"/>
      <c r="ER155" s="1"/>
      <c r="ES155" s="1"/>
      <c r="ET155" s="1"/>
      <c r="EU155" s="1"/>
      <c r="EV155" s="1"/>
      <c r="EW155" s="1"/>
      <c r="EX155" s="1"/>
      <c r="EY155" s="1"/>
      <c r="EZ155" s="1"/>
      <c r="FA155" s="1"/>
      <c r="FB155" s="1"/>
      <c r="FC155" s="1"/>
      <c r="FD155" s="1"/>
      <c r="FE155" s="1"/>
      <c r="FF155" s="1"/>
      <c r="FG155" s="1"/>
      <c r="FH155" s="1"/>
      <c r="FI155" s="1"/>
      <c r="FJ155" s="1"/>
      <c r="FK155" s="1"/>
      <c r="FL155" s="1"/>
      <c r="FM155" s="1"/>
      <c r="FN155" s="1"/>
      <c r="FO155" s="1"/>
      <c r="FP155" s="1"/>
      <c r="FQ155" s="1"/>
      <c r="FR155" s="1"/>
      <c r="FS155" s="1"/>
      <c r="FT155" s="1"/>
      <c r="FU155" s="1"/>
      <c r="FV155" s="1"/>
      <c r="FW155" s="1"/>
      <c r="FX155" s="1"/>
      <c r="FY155" s="1"/>
      <c r="FZ155" s="1"/>
      <c r="GA155" s="1"/>
      <c r="GB155" s="1"/>
      <c r="GC155" s="1"/>
      <c r="GD155" s="1"/>
      <c r="GE155" s="1"/>
      <c r="GF155" s="1"/>
      <c r="GG155" s="1"/>
      <c r="GH155" s="1"/>
      <c r="GI155" s="1"/>
      <c r="GJ155" s="1"/>
      <c r="GK155" s="1"/>
      <c r="GL155" s="1"/>
      <c r="GM155" s="1"/>
      <c r="GN155" s="1"/>
      <c r="GO155" s="1"/>
      <c r="GP155" s="1"/>
      <c r="GQ155" s="1"/>
      <c r="GR155" s="1"/>
      <c r="GS155" s="1"/>
      <c r="GT155" s="1"/>
      <c r="GU155" s="1"/>
      <c r="GV155" s="1"/>
      <c r="GW155" s="1"/>
      <c r="GX155" s="1"/>
      <c r="GY155" s="1"/>
      <c r="GZ155" s="1"/>
      <c r="HA155" s="1"/>
      <c r="HB155" s="1"/>
      <c r="HC155" s="1"/>
      <c r="HD155" s="1"/>
      <c r="HE155" s="1"/>
      <c r="HF155" s="1"/>
      <c r="HG155" s="1"/>
      <c r="HH155" s="1"/>
      <c r="HI155" s="1"/>
      <c r="HJ155" s="1"/>
      <c r="HK155" s="1"/>
      <c r="HL155" s="1"/>
      <c r="HM155" s="1"/>
      <c r="HN155" s="1"/>
      <c r="HO155" s="1"/>
      <c r="HP155" s="1"/>
      <c r="HQ155" s="1"/>
      <c r="HR155" s="1"/>
      <c r="HS155" s="1"/>
      <c r="HT155" s="1"/>
      <c r="HU155" s="1"/>
      <c r="HV155" s="1"/>
      <c r="HW155" s="1"/>
      <c r="HX155" s="1"/>
      <c r="HY155" s="1"/>
      <c r="HZ155" s="1"/>
      <c r="IA155" s="1"/>
      <c r="IB155" s="1"/>
      <c r="IC155" s="1"/>
      <c r="ID155" s="1"/>
      <c r="IE155" s="1"/>
      <c r="IF155" s="1"/>
      <c r="IG155" s="1"/>
      <c r="IH155" s="1"/>
      <c r="II155" s="1"/>
      <c r="IJ155" s="1"/>
      <c r="IK155" s="1"/>
      <c r="IL155" s="1"/>
      <c r="IM155" s="1"/>
      <c r="IN155" s="1"/>
      <c r="IO155" s="1"/>
      <c r="IP155" s="1"/>
      <c r="IQ155" s="1"/>
      <c r="IR155" s="1"/>
      <c r="IS155" s="1"/>
      <c r="IT155" s="1"/>
      <c r="IU155" s="1"/>
      <c r="IV155" s="1"/>
      <c r="IW155" s="1"/>
      <c r="IX155" s="1"/>
      <c r="IY155" s="1"/>
      <c r="IZ155" s="1"/>
      <c r="JA155" s="1"/>
      <c r="JB155" s="1"/>
      <c r="JC155" s="1"/>
      <c r="JD155" s="1"/>
      <c r="JE155" s="1"/>
      <c r="JF155" s="1"/>
      <c r="JG155" s="1"/>
      <c r="JH155" s="1"/>
      <c r="JI155" s="1"/>
      <c r="JJ155" s="1"/>
      <c r="JK155" s="1"/>
      <c r="JL155" s="1"/>
      <c r="JM155" s="1"/>
      <c r="JN155" s="1"/>
      <c r="JO155" s="1"/>
      <c r="JP155" s="1"/>
      <c r="JQ155" s="1"/>
      <c r="JR155" s="1"/>
      <c r="JS155" s="1"/>
      <c r="JT155" s="1"/>
      <c r="JU155" s="1"/>
      <c r="JV155" s="1"/>
      <c r="JW155" s="1"/>
      <c r="JX155" s="1"/>
      <c r="JY155" s="1"/>
      <c r="JZ155" s="1"/>
      <c r="KA155" s="1"/>
      <c r="KB155" s="1"/>
      <c r="KC155" s="1"/>
      <c r="KD155" s="1"/>
      <c r="KE155" s="1"/>
      <c r="KF155" s="1"/>
      <c r="KG155" s="1"/>
      <c r="KH155" s="1"/>
      <c r="KI155" s="1"/>
      <c r="KJ155" s="1"/>
      <c r="KK155" s="1"/>
      <c r="KL155" s="1"/>
      <c r="KM155" s="1"/>
      <c r="KN155" s="1"/>
      <c r="KO155" s="1"/>
      <c r="KP155" s="1"/>
      <c r="KQ155" s="1"/>
      <c r="KR155" s="1"/>
      <c r="KS155" s="1"/>
      <c r="KT155" s="1"/>
      <c r="KU155" s="1"/>
      <c r="KV155" s="1"/>
      <c r="KW155" s="1"/>
      <c r="KX155" s="1"/>
      <c r="KY155" s="1"/>
      <c r="KZ155" s="1"/>
      <c r="LA155" s="1"/>
      <c r="LB155" s="1"/>
      <c r="LC155" s="1"/>
      <c r="LD155" s="1"/>
      <c r="LE155" s="1"/>
      <c r="LF155" s="1"/>
      <c r="LG155" s="1"/>
      <c r="LH155" s="1"/>
      <c r="LI155" s="1"/>
      <c r="LJ155" s="1"/>
      <c r="LK155" s="1"/>
      <c r="LL155" s="1"/>
      <c r="LM155" s="1"/>
      <c r="LN155" s="1"/>
      <c r="LO155" s="1"/>
      <c r="LP155" s="1"/>
      <c r="LQ155" s="1"/>
      <c r="LR155" s="1"/>
      <c r="LS155" s="1"/>
      <c r="LT155" s="1"/>
      <c r="LU155" s="1"/>
      <c r="LV155" s="1"/>
      <c r="LW155" s="1"/>
      <c r="LX155" s="1"/>
      <c r="LY155" s="1"/>
      <c r="LZ155" s="1"/>
      <c r="MA155" s="1"/>
      <c r="MB155" s="1"/>
      <c r="MC155" s="1"/>
      <c r="MD155" s="1"/>
      <c r="ME155" s="1"/>
      <c r="MF155" s="1"/>
      <c r="MG155" s="1"/>
      <c r="MH155" s="1"/>
      <c r="MI155" s="1"/>
      <c r="MJ155" s="1"/>
      <c r="MK155" s="1"/>
      <c r="ML155" s="1"/>
      <c r="MM155" s="1"/>
      <c r="MN155" s="1"/>
      <c r="MO155" s="1"/>
      <c r="MP155" s="1"/>
      <c r="MQ155" s="1"/>
      <c r="MR155" s="1"/>
      <c r="MS155" s="1"/>
      <c r="MT155" s="1"/>
      <c r="MU155" s="1"/>
      <c r="MV155" s="1"/>
      <c r="MW155" s="1"/>
      <c r="MX155" s="1"/>
      <c r="MY155" s="1"/>
      <c r="MZ155" s="1"/>
      <c r="NA155" s="1"/>
      <c r="NB155" s="1"/>
      <c r="NC155" s="1"/>
      <c r="ND155" s="1"/>
      <c r="NE155" s="1"/>
      <c r="NF155" s="1"/>
      <c r="NG155" s="1"/>
      <c r="NH155" s="1"/>
      <c r="NI155" s="1"/>
      <c r="NJ155" s="1"/>
      <c r="NK155" s="1"/>
      <c r="NL155" s="1"/>
      <c r="NM155" s="1"/>
      <c r="NN155" s="1"/>
      <c r="NO155" s="1"/>
      <c r="NP155" s="1"/>
      <c r="NQ155" s="1"/>
      <c r="NR155" s="1"/>
      <c r="NS155" s="1"/>
      <c r="NT155" s="1"/>
      <c r="NU155" s="1"/>
      <c r="NV155" s="1"/>
      <c r="NW155" s="1"/>
      <c r="NX155" s="1"/>
      <c r="NY155" s="1"/>
      <c r="NZ155" s="1"/>
      <c r="OA155" s="1"/>
      <c r="OB155" s="1"/>
      <c r="OC155" s="1"/>
      <c r="OD155" s="1"/>
      <c r="OE155" s="1"/>
      <c r="OF155" s="1"/>
      <c r="OG155" s="1"/>
      <c r="OH155" s="1"/>
      <c r="OI155" s="1"/>
      <c r="OJ155" s="1"/>
      <c r="OK155" s="1"/>
      <c r="OL155" s="1"/>
      <c r="OM155" s="1"/>
      <c r="ON155" s="1"/>
      <c r="OO155" s="1"/>
      <c r="OP155" s="1"/>
      <c r="OQ155" s="1"/>
      <c r="OR155" s="1"/>
      <c r="OS155" s="1"/>
      <c r="OT155" s="1"/>
      <c r="OU155" s="1"/>
      <c r="OV155" s="1"/>
      <c r="OW155" s="1"/>
      <c r="OX155" s="1"/>
      <c r="OY155" s="1"/>
      <c r="OZ155" s="1"/>
      <c r="PA155" s="1"/>
      <c r="PB155" s="1"/>
      <c r="PC155" s="1"/>
      <c r="PD155" s="1"/>
      <c r="PE155" s="1"/>
      <c r="PF155" s="1"/>
      <c r="PG155" s="1"/>
      <c r="PH155" s="1"/>
      <c r="PI155" s="1"/>
      <c r="PJ155" s="1"/>
      <c r="PK155" s="1"/>
      <c r="PL155" s="1"/>
      <c r="PM155" s="1"/>
      <c r="PN155" s="1"/>
      <c r="PO155" s="1"/>
      <c r="PP155" s="1"/>
      <c r="PQ155" s="1"/>
      <c r="PR155" s="1"/>
      <c r="PS155" s="1"/>
      <c r="PT155" s="1"/>
      <c r="PU155" s="1"/>
      <c r="PV155" s="1"/>
      <c r="PW155" s="1"/>
      <c r="PX155" s="1"/>
      <c r="PY155" s="1"/>
      <c r="PZ155" s="1"/>
      <c r="QA155" s="1"/>
      <c r="QB155" s="1"/>
      <c r="QC155" s="1"/>
      <c r="QD155" s="1"/>
      <c r="QE155" s="1"/>
      <c r="QF155" s="1"/>
      <c r="QG155" s="1"/>
      <c r="QH155" s="1"/>
      <c r="QI155" s="1"/>
      <c r="QJ155" s="1"/>
      <c r="QK155" s="1"/>
      <c r="QL155" s="1"/>
      <c r="QM155" s="1"/>
      <c r="QN155" s="1"/>
      <c r="QO155" s="1"/>
      <c r="QP155" s="1"/>
      <c r="QQ155" s="1"/>
      <c r="QR155" s="1"/>
      <c r="QS155" s="1"/>
      <c r="QT155" s="1"/>
      <c r="QU155" s="1"/>
      <c r="QV155" s="1"/>
      <c r="QW155" s="1"/>
      <c r="QX155" s="1"/>
      <c r="QY155" s="1"/>
      <c r="QZ155" s="1"/>
      <c r="RA155" s="1"/>
      <c r="RB155" s="1"/>
      <c r="RC155" s="1"/>
      <c r="RD155" s="1"/>
      <c r="RE155" s="1"/>
      <c r="RF155" s="1"/>
      <c r="RG155" s="1"/>
      <c r="RH155" s="1"/>
      <c r="RI155" s="1"/>
      <c r="RJ155" s="1"/>
      <c r="RK155" s="1"/>
      <c r="RL155" s="1"/>
      <c r="RM155" s="1"/>
      <c r="RN155" s="1"/>
      <c r="RO155" s="1"/>
      <c r="RP155" s="1"/>
      <c r="RQ155" s="1"/>
      <c r="RR155" s="1"/>
      <c r="RS155" s="1"/>
      <c r="RT155" s="1"/>
      <c r="RU155" s="1"/>
      <c r="RV155" s="1"/>
      <c r="RW155" s="1"/>
      <c r="RX155" s="1"/>
      <c r="RY155" s="1"/>
      <c r="RZ155" s="1"/>
      <c r="SA155" s="1"/>
      <c r="SB155" s="1"/>
      <c r="SC155" s="1"/>
      <c r="SD155" s="1"/>
      <c r="SE155" s="1"/>
      <c r="SF155" s="1"/>
      <c r="SG155" s="1"/>
      <c r="SH155" s="1"/>
      <c r="SI155" s="1"/>
      <c r="SJ155" s="1"/>
      <c r="SK155" s="1"/>
      <c r="SL155" s="1"/>
      <c r="SM155" s="1"/>
      <c r="SN155" s="1"/>
      <c r="SO155" s="1"/>
      <c r="SP155" s="1"/>
      <c r="SQ155" s="1"/>
      <c r="SR155" s="1"/>
      <c r="SS155" s="1"/>
      <c r="ST155" s="1"/>
      <c r="SU155" s="1"/>
      <c r="SV155" s="1"/>
      <c r="SW155" s="1"/>
      <c r="SX155" s="1"/>
      <c r="SY155" s="1"/>
      <c r="SZ155" s="1"/>
      <c r="TA155" s="1"/>
      <c r="TB155" s="1"/>
      <c r="TC155" s="1"/>
      <c r="TD155" s="1"/>
      <c r="TE155" s="1"/>
      <c r="TF155" s="1"/>
      <c r="TG155" s="1"/>
      <c r="TH155" s="1"/>
      <c r="TI155" s="1"/>
      <c r="TJ155" s="1"/>
      <c r="TK155" s="1"/>
      <c r="TL155" s="1"/>
      <c r="TM155" s="1"/>
      <c r="TN155" s="1"/>
      <c r="TO155" s="1"/>
      <c r="TP155" s="1"/>
      <c r="TQ155" s="1"/>
      <c r="TR155" s="1"/>
      <c r="TS155" s="1"/>
      <c r="TT155" s="1"/>
      <c r="TU155" s="1"/>
      <c r="TV155" s="1"/>
      <c r="TW155" s="1"/>
      <c r="TX155" s="1"/>
      <c r="TY155" s="1"/>
      <c r="TZ155" s="1"/>
      <c r="UA155" s="1"/>
      <c r="UB155" s="1"/>
      <c r="UC155" s="1"/>
      <c r="UD155" s="1"/>
      <c r="UE155" s="1"/>
      <c r="UF155" s="1"/>
      <c r="UG155" s="1"/>
      <c r="UH155" s="1"/>
      <c r="UI155" s="1"/>
      <c r="UJ155" s="1"/>
      <c r="UK155" s="1"/>
      <c r="UL155" s="1"/>
      <c r="UM155" s="1"/>
      <c r="UN155" s="1"/>
      <c r="UO155" s="1"/>
      <c r="UP155" s="1"/>
      <c r="UQ155" s="1"/>
      <c r="UR155" s="1"/>
      <c r="US155" s="1"/>
      <c r="UT155" s="1"/>
      <c r="UU155" s="1"/>
      <c r="UV155" s="1"/>
      <c r="UW155" s="1"/>
      <c r="UX155" s="1"/>
      <c r="UY155" s="1"/>
      <c r="UZ155" s="1"/>
      <c r="VA155" s="1"/>
      <c r="VB155" s="1"/>
      <c r="VC155" s="1"/>
      <c r="VD155" s="1"/>
      <c r="VE155" s="1"/>
      <c r="VF155" s="1"/>
      <c r="VG155" s="1"/>
      <c r="VH155" s="1"/>
      <c r="VI155" s="1"/>
      <c r="VJ155" s="1"/>
      <c r="VK155" s="1"/>
      <c r="VL155" s="1"/>
      <c r="VM155" s="1"/>
      <c r="VN155" s="1"/>
      <c r="VO155" s="1"/>
      <c r="VP155" s="1"/>
      <c r="VQ155" s="1"/>
      <c r="VR155" s="1"/>
      <c r="VS155" s="1"/>
      <c r="VT155" s="1"/>
      <c r="VU155" s="1"/>
      <c r="VV155" s="1"/>
      <c r="VW155" s="1"/>
      <c r="VX155" s="1"/>
      <c r="VY155" s="1"/>
      <c r="VZ155" s="1"/>
      <c r="WA155" s="1"/>
      <c r="WB155" s="1"/>
      <c r="WC155" s="1"/>
      <c r="WD155" s="1"/>
      <c r="WE155" s="1"/>
      <c r="WF155" s="1"/>
      <c r="WG155" s="1"/>
      <c r="WH155" s="1"/>
      <c r="WI155" s="1"/>
      <c r="WJ155" s="1"/>
      <c r="WK155" s="1"/>
      <c r="WL155" s="1"/>
      <c r="WM155" s="1"/>
      <c r="WN155" s="1"/>
      <c r="WO155" s="1"/>
      <c r="WP155" s="1"/>
      <c r="WQ155" s="1"/>
      <c r="WR155" s="1"/>
      <c r="WS155" s="1"/>
      <c r="WT155" s="1"/>
      <c r="WU155" s="1"/>
      <c r="WV155" s="1"/>
      <c r="WW155" s="1"/>
      <c r="WX155" s="1"/>
      <c r="WY155" s="1"/>
      <c r="WZ155" s="1"/>
      <c r="XA155" s="1"/>
      <c r="XB155" s="1"/>
      <c r="XC155" s="1"/>
      <c r="XD155" s="1"/>
      <c r="XE155" s="1"/>
      <c r="XF155" s="1"/>
      <c r="XG155" s="1"/>
      <c r="XH155" s="1"/>
      <c r="XI155" s="1"/>
      <c r="XJ155" s="1"/>
      <c r="XK155" s="1"/>
      <c r="XL155" s="1"/>
      <c r="XM155" s="1"/>
      <c r="XN155" s="1"/>
      <c r="XO155" s="1"/>
      <c r="XP155" s="1"/>
      <c r="XQ155" s="1"/>
      <c r="XR155" s="1"/>
      <c r="XS155" s="1"/>
      <c r="XT155" s="1"/>
      <c r="XU155" s="1"/>
      <c r="XV155" s="1"/>
      <c r="XW155" s="1"/>
      <c r="XX155" s="1"/>
      <c r="XY155" s="1"/>
      <c r="XZ155" s="1"/>
      <c r="YA155" s="1"/>
      <c r="YB155" s="1"/>
      <c r="YC155" s="1"/>
      <c r="YD155" s="1"/>
      <c r="YE155" s="1"/>
      <c r="YF155" s="1"/>
      <c r="YG155" s="1"/>
      <c r="YH155" s="1"/>
      <c r="YI155" s="1"/>
      <c r="YJ155" s="1"/>
      <c r="YK155" s="1"/>
      <c r="YL155" s="1"/>
      <c r="YM155" s="1"/>
      <c r="YN155" s="1"/>
      <c r="YO155" s="1"/>
      <c r="YP155" s="1"/>
      <c r="YQ155" s="1"/>
      <c r="YR155" s="1"/>
      <c r="YS155" s="1"/>
      <c r="YT155" s="1"/>
      <c r="YU155" s="1"/>
      <c r="YV155" s="1"/>
      <c r="YW155" s="1"/>
      <c r="YX155" s="1"/>
      <c r="YY155" s="1"/>
      <c r="YZ155" s="1"/>
      <c r="ZA155" s="1"/>
      <c r="ZB155" s="1"/>
      <c r="ZC155" s="1"/>
      <c r="ZD155" s="1"/>
      <c r="ZE155" s="1"/>
      <c r="ZF155" s="1"/>
      <c r="ZG155" s="1"/>
      <c r="ZH155" s="1"/>
      <c r="ZI155" s="1"/>
      <c r="ZJ155" s="1"/>
      <c r="ZK155" s="1"/>
      <c r="ZL155" s="1"/>
      <c r="ZM155" s="1"/>
      <c r="ZN155" s="1"/>
      <c r="ZO155" s="1"/>
      <c r="ZP155" s="1"/>
      <c r="ZQ155" s="1"/>
      <c r="ZR155" s="1"/>
      <c r="ZS155" s="1"/>
      <c r="ZT155" s="1"/>
      <c r="ZU155" s="1"/>
      <c r="ZV155" s="1"/>
      <c r="ZW155" s="1"/>
      <c r="ZX155" s="1"/>
      <c r="ZY155" s="1"/>
      <c r="ZZ155" s="1"/>
      <c r="AAA155" s="1"/>
      <c r="AAB155" s="1"/>
      <c r="AAC155" s="1"/>
      <c r="AAD155" s="1"/>
      <c r="AAE155" s="1"/>
      <c r="AAF155" s="1"/>
      <c r="AAG155" s="1"/>
      <c r="AAH155" s="1"/>
      <c r="AAI155" s="1"/>
      <c r="AAJ155" s="1"/>
      <c r="AAK155" s="1"/>
      <c r="AAL155" s="1"/>
      <c r="AAM155" s="1"/>
      <c r="AAN155" s="1"/>
      <c r="AAO155" s="1"/>
      <c r="AAP155" s="1"/>
      <c r="AAQ155" s="1"/>
      <c r="AAR155" s="1"/>
      <c r="AAS155" s="1"/>
      <c r="AAT155" s="1"/>
      <c r="AAU155" s="1"/>
      <c r="AAV155" s="1"/>
      <c r="AAW155" s="1"/>
      <c r="AAX155" s="1"/>
      <c r="AAY155" s="1"/>
      <c r="AAZ155" s="1"/>
      <c r="ABA155" s="1"/>
      <c r="ABB155" s="1"/>
      <c r="ABC155" s="1"/>
      <c r="ABD155" s="1"/>
      <c r="ABE155" s="1"/>
      <c r="ABF155" s="1"/>
      <c r="ABG155" s="1"/>
      <c r="ABH155" s="1"/>
      <c r="ABI155" s="1"/>
      <c r="ABJ155" s="1"/>
      <c r="ABK155" s="1"/>
      <c r="ABL155" s="1"/>
      <c r="ABM155" s="1"/>
      <c r="ABN155" s="1"/>
      <c r="ABO155" s="1"/>
      <c r="ABP155" s="1"/>
      <c r="ABQ155" s="1"/>
      <c r="ABR155" s="1"/>
      <c r="ABS155" s="1"/>
      <c r="ABT155" s="1"/>
      <c r="ABU155" s="1"/>
      <c r="ABV155" s="1"/>
      <c r="ABW155" s="1"/>
      <c r="ABX155" s="1"/>
      <c r="ABY155" s="1"/>
      <c r="ABZ155" s="1"/>
      <c r="ACA155" s="1"/>
      <c r="ACB155" s="1"/>
      <c r="ACC155" s="1"/>
      <c r="ACD155" s="1"/>
      <c r="ACE155" s="1"/>
      <c r="ACF155" s="1"/>
      <c r="ACG155" s="1"/>
      <c r="ACH155" s="1"/>
      <c r="ACI155" s="1"/>
      <c r="ACJ155" s="1"/>
      <c r="ACK155" s="1"/>
      <c r="ACL155" s="1"/>
      <c r="ACM155" s="1"/>
      <c r="ACN155" s="1"/>
      <c r="ACO155" s="1"/>
      <c r="ACP155" s="1"/>
      <c r="ACQ155" s="1"/>
      <c r="ACR155" s="1"/>
      <c r="ACS155" s="1"/>
      <c r="ACT155" s="1"/>
      <c r="ACU155" s="1"/>
      <c r="ACV155" s="1"/>
      <c r="ACW155" s="1"/>
      <c r="ACX155" s="1"/>
      <c r="ACY155" s="1"/>
      <c r="ACZ155" s="1"/>
      <c r="ADA155" s="1"/>
      <c r="ADB155" s="1"/>
      <c r="ADC155" s="1"/>
      <c r="ADD155" s="1"/>
      <c r="ADE155" s="1"/>
      <c r="ADF155" s="1"/>
      <c r="ADG155" s="1"/>
      <c r="ADH155" s="1"/>
      <c r="ADI155" s="1"/>
      <c r="ADJ155" s="1"/>
      <c r="ADK155" s="1"/>
      <c r="ADL155" s="1"/>
      <c r="ADM155" s="1"/>
      <c r="ADN155" s="1"/>
      <c r="ADO155" s="1"/>
      <c r="ADP155" s="1"/>
      <c r="ADQ155" s="1"/>
      <c r="ADR155" s="1"/>
      <c r="ADS155" s="1"/>
      <c r="ADT155" s="1"/>
      <c r="ADU155" s="1"/>
      <c r="ADV155" s="1"/>
      <c r="ADW155" s="1"/>
      <c r="ADX155" s="1"/>
      <c r="ADY155" s="1"/>
      <c r="ADZ155" s="1"/>
      <c r="AEA155" s="1"/>
      <c r="AEB155" s="1"/>
      <c r="AEC155" s="1"/>
      <c r="AED155" s="1"/>
      <c r="AEE155" s="1"/>
      <c r="AEF155" s="1"/>
      <c r="AEG155" s="1"/>
      <c r="AEH155" s="1"/>
      <c r="AEI155" s="1"/>
      <c r="AEJ155" s="1"/>
      <c r="AEK155" s="1"/>
      <c r="AEL155" s="1"/>
      <c r="AEM155" s="1"/>
      <c r="AEN155" s="1"/>
      <c r="AEO155" s="1"/>
      <c r="AEP155" s="1"/>
      <c r="AEQ155" s="1"/>
      <c r="AER155" s="1"/>
      <c r="AES155" s="1"/>
      <c r="AET155" s="1"/>
      <c r="AEU155" s="1"/>
      <c r="AEV155" s="1"/>
      <c r="AEW155" s="1"/>
      <c r="AEX155" s="1"/>
      <c r="AEY155" s="1"/>
      <c r="AEZ155" s="1"/>
      <c r="AFA155" s="1"/>
      <c r="AFB155" s="1"/>
      <c r="AFC155" s="1"/>
      <c r="AFD155" s="1"/>
      <c r="AFE155" s="1"/>
      <c r="AFF155" s="1"/>
      <c r="AFG155" s="1"/>
      <c r="AFH155" s="1"/>
      <c r="AFI155" s="1"/>
      <c r="AFJ155" s="1"/>
      <c r="AFK155" s="1"/>
      <c r="AFL155" s="1"/>
      <c r="AFM155" s="1"/>
      <c r="AFN155" s="1"/>
      <c r="AFO155" s="1"/>
      <c r="AFP155" s="1"/>
      <c r="AFQ155" s="1"/>
      <c r="AFR155" s="1"/>
      <c r="AFS155" s="1"/>
      <c r="AFT155" s="1"/>
      <c r="AFU155" s="1"/>
      <c r="AFV155" s="1"/>
      <c r="AFW155" s="1"/>
      <c r="AFX155" s="1"/>
      <c r="AFY155" s="1"/>
      <c r="AFZ155" s="1"/>
      <c r="AGA155" s="1"/>
      <c r="AGB155" s="1"/>
      <c r="AGC155" s="1"/>
      <c r="AGD155" s="1"/>
      <c r="AGE155" s="1"/>
      <c r="AGF155" s="1"/>
      <c r="AGG155" s="1"/>
      <c r="AGH155" s="1"/>
      <c r="AGI155" s="1"/>
      <c r="AGJ155" s="1"/>
      <c r="AGK155" s="1"/>
      <c r="AGL155" s="1"/>
      <c r="AGM155" s="1"/>
      <c r="AGN155" s="1"/>
      <c r="AGO155" s="1"/>
      <c r="AGP155" s="1"/>
      <c r="AGQ155" s="1"/>
      <c r="AGR155" s="1"/>
      <c r="AGS155" s="1"/>
      <c r="AGT155" s="1"/>
      <c r="AGU155" s="1"/>
      <c r="AGV155" s="1"/>
      <c r="AGW155" s="1"/>
      <c r="AGX155" s="1"/>
      <c r="AGY155" s="1"/>
      <c r="AGZ155" s="1"/>
      <c r="AHA155" s="1"/>
      <c r="AHB155" s="1"/>
      <c r="AHC155" s="1"/>
      <c r="AHD155" s="1"/>
      <c r="AHE155" s="1"/>
      <c r="AHF155" s="1"/>
      <c r="AHG155" s="1"/>
      <c r="AHH155" s="1"/>
      <c r="AHI155" s="1"/>
      <c r="AHJ155" s="1"/>
      <c r="AHK155" s="1"/>
      <c r="AHL155" s="1"/>
      <c r="AHM155" s="1"/>
      <c r="AHN155" s="1"/>
      <c r="AHO155" s="1"/>
      <c r="AHP155" s="1"/>
      <c r="AHQ155" s="1"/>
      <c r="AHR155" s="1"/>
      <c r="AHS155" s="1"/>
      <c r="AHT155" s="1"/>
      <c r="AHU155" s="1"/>
      <c r="AHV155" s="1"/>
      <c r="AHW155" s="1"/>
      <c r="AHX155" s="1"/>
      <c r="AHY155" s="1"/>
      <c r="AHZ155" s="1"/>
      <c r="AIA155" s="1"/>
      <c r="AIB155" s="1"/>
      <c r="AIC155" s="1"/>
      <c r="AID155" s="1"/>
      <c r="AIE155" s="1"/>
      <c r="AIF155" s="1"/>
      <c r="AIG155" s="1"/>
      <c r="AIH155" s="1"/>
      <c r="AII155" s="1"/>
      <c r="AIJ155" s="1"/>
      <c r="AIK155" s="1"/>
      <c r="AIL155" s="1"/>
      <c r="AIM155" s="1"/>
      <c r="AIN155" s="1"/>
      <c r="AIO155" s="1"/>
      <c r="AIP155" s="1"/>
      <c r="AIQ155" s="1"/>
      <c r="AIR155" s="1"/>
      <c r="AIS155" s="1"/>
      <c r="AIT155" s="1"/>
      <c r="AIU155" s="1"/>
      <c r="AIV155" s="1"/>
      <c r="AIW155" s="1"/>
      <c r="AIX155" s="1"/>
      <c r="AIY155" s="1"/>
      <c r="AIZ155" s="1"/>
      <c r="AJA155" s="1"/>
      <c r="AJB155" s="1"/>
      <c r="AJC155" s="1"/>
      <c r="AJD155" s="1"/>
      <c r="AJE155" s="1"/>
      <c r="AJF155" s="1"/>
      <c r="AJG155" s="1"/>
      <c r="AJH155" s="1"/>
      <c r="AJI155" s="1"/>
      <c r="AJJ155" s="1"/>
      <c r="AJK155" s="1"/>
      <c r="AJL155" s="1"/>
      <c r="AJM155" s="1"/>
      <c r="AJN155" s="1"/>
      <c r="AJO155" s="1"/>
      <c r="AJP155" s="1"/>
      <c r="AJQ155" s="1"/>
      <c r="AJR155" s="1"/>
      <c r="AJS155" s="1"/>
      <c r="AJT155" s="1"/>
      <c r="AJU155" s="1"/>
      <c r="AJV155" s="1"/>
      <c r="AJW155" s="1"/>
      <c r="AJX155" s="1"/>
      <c r="AJY155" s="1"/>
      <c r="AJZ155" s="1"/>
      <c r="AKA155" s="1"/>
      <c r="AKB155" s="1"/>
      <c r="AKC155" s="1"/>
      <c r="AKD155" s="1"/>
      <c r="AKE155" s="1"/>
      <c r="AKF155" s="1"/>
      <c r="AKG155" s="1"/>
      <c r="AKH155" s="1"/>
      <c r="AKI155" s="1"/>
      <c r="AKJ155" s="1"/>
      <c r="AKK155" s="1"/>
      <c r="AKL155" s="1"/>
      <c r="AKM155" s="1"/>
      <c r="AKN155" s="1"/>
      <c r="AKO155" s="1"/>
      <c r="AKP155" s="1"/>
      <c r="AKQ155" s="1"/>
      <c r="AKR155" s="1"/>
      <c r="AKS155" s="1"/>
      <c r="AKT155" s="1"/>
      <c r="AKU155" s="1"/>
      <c r="AKV155" s="1"/>
      <c r="AKW155" s="1"/>
      <c r="AKX155" s="1"/>
      <c r="AKY155" s="1"/>
      <c r="AKZ155" s="1"/>
      <c r="ALA155" s="1"/>
      <c r="ALB155" s="1"/>
      <c r="ALC155" s="1"/>
      <c r="ALD155" s="1"/>
      <c r="ALE155" s="1"/>
      <c r="ALF155" s="1"/>
      <c r="ALG155" s="1"/>
      <c r="ALH155" s="1"/>
      <c r="ALI155" s="1"/>
      <c r="ALJ155" s="1"/>
      <c r="ALK155" s="1"/>
      <c r="ALL155" s="1"/>
      <c r="ALM155" s="1"/>
      <c r="ALN155" s="1"/>
      <c r="ALO155" s="1"/>
      <c r="ALP155" s="1"/>
      <c r="ALQ155" s="1"/>
      <c r="ALR155" s="1"/>
      <c r="ALS155" s="1"/>
      <c r="ALT155" s="1"/>
      <c r="ALU155" s="1"/>
      <c r="ALV155" s="1"/>
      <c r="ALW155" s="1"/>
      <c r="ALX155" s="1"/>
      <c r="ALY155" s="1"/>
      <c r="ALZ155" s="1"/>
      <c r="AMA155" s="1"/>
      <c r="AMB155" s="1"/>
      <c r="AMC155" s="1"/>
      <c r="AMD155" s="1"/>
      <c r="AME155" s="1"/>
      <c r="AMF155" s="1"/>
      <c r="AMG155" s="1"/>
      <c r="AMH155" s="1"/>
      <c r="AMI155" s="1"/>
      <c r="AMJ155" s="1"/>
    </row>
    <row r="156" customFormat="false" ht="10.5" hidden="false" customHeight="true" outlineLevel="0" collapsed="false">
      <c r="A156" s="162"/>
      <c r="B156" s="162"/>
      <c r="C156" s="162"/>
      <c r="D156" s="162"/>
      <c r="E156" s="162"/>
      <c r="F156" s="162"/>
      <c r="G156" s="162"/>
      <c r="H156" s="162"/>
      <c r="I156" s="162"/>
      <c r="J156" s="162"/>
      <c r="K156" s="162"/>
      <c r="L156" s="162"/>
      <c r="M156" s="162"/>
      <c r="N156" s="19"/>
      <c r="O156" s="19"/>
      <c r="P156" s="19"/>
      <c r="Q156" s="19"/>
      <c r="R156" s="19"/>
      <c r="S156" s="185"/>
      <c r="T156" s="185"/>
      <c r="U156" s="185"/>
      <c r="V156" s="185"/>
      <c r="W156" s="185"/>
      <c r="X156" s="217"/>
      <c r="Y156" s="217"/>
      <c r="Z156" s="217"/>
      <c r="AA156" s="217"/>
      <c r="AB156" s="217"/>
      <c r="AC156" s="19"/>
      <c r="AD156" s="19"/>
      <c r="AE156" s="19"/>
      <c r="AF156" s="19"/>
      <c r="AG156" s="19"/>
      <c r="AH156" s="140" t="n">
        <f aca="false">S156*X156*AC156</f>
        <v>0</v>
      </c>
      <c r="AI156" s="140"/>
      <c r="AJ156" s="140"/>
      <c r="AK156" s="140"/>
      <c r="AL156" s="140"/>
      <c r="AM156" s="140"/>
      <c r="AN156" s="140"/>
      <c r="AO156" s="140"/>
      <c r="BE156" s="1"/>
      <c r="BF156" s="1"/>
      <c r="BG156" s="1"/>
      <c r="BH156" s="1"/>
      <c r="BI156" s="1"/>
      <c r="BJ156" s="1"/>
      <c r="BK156" s="1"/>
      <c r="BL156" s="1"/>
      <c r="BM156" s="1"/>
      <c r="BN156" s="1"/>
      <c r="BO156" s="1"/>
      <c r="BP156" s="1"/>
      <c r="BQ156" s="1"/>
      <c r="BR156" s="1"/>
      <c r="BS156" s="1"/>
      <c r="BT156" s="1"/>
      <c r="BU156" s="1"/>
      <c r="BV156" s="1"/>
      <c r="BW156" s="1"/>
      <c r="BX156" s="1"/>
      <c r="BY156" s="1"/>
      <c r="BZ156" s="1"/>
      <c r="CA156" s="1"/>
      <c r="CB156" s="1"/>
      <c r="CC156" s="1"/>
      <c r="CD156" s="1"/>
      <c r="CE156" s="1"/>
      <c r="CF156" s="1"/>
      <c r="CG156" s="1"/>
      <c r="CH156" s="1"/>
      <c r="CI156" s="1"/>
      <c r="CJ156" s="1"/>
      <c r="CK156" s="1"/>
      <c r="CL156" s="1"/>
      <c r="CM156" s="1"/>
      <c r="CN156" s="1"/>
      <c r="CO156" s="1"/>
      <c r="CP156" s="1"/>
      <c r="CQ156" s="1"/>
      <c r="CR156" s="1"/>
      <c r="CS156" s="1"/>
      <c r="CT156" s="1"/>
      <c r="CU156" s="1"/>
      <c r="CV156" s="1"/>
      <c r="CW156" s="1"/>
      <c r="CX156" s="1"/>
      <c r="CY156" s="1"/>
      <c r="CZ156" s="1"/>
      <c r="DA156" s="1"/>
      <c r="DB156" s="1"/>
      <c r="DC156" s="1"/>
      <c r="DD156" s="1"/>
      <c r="DE156" s="1"/>
      <c r="DF156" s="1"/>
      <c r="DG156" s="1"/>
      <c r="DH156" s="1"/>
      <c r="DI156" s="1"/>
      <c r="DJ156" s="1"/>
      <c r="DK156" s="1"/>
      <c r="DL156" s="1"/>
      <c r="DM156" s="1"/>
      <c r="DN156" s="1"/>
      <c r="DO156" s="1"/>
      <c r="DP156" s="1"/>
      <c r="DQ156" s="1"/>
      <c r="DR156" s="1"/>
      <c r="DS156" s="1"/>
      <c r="DT156" s="1"/>
      <c r="DU156" s="1"/>
      <c r="DV156" s="1"/>
      <c r="DW156" s="1"/>
      <c r="DX156" s="1"/>
      <c r="DY156" s="1"/>
      <c r="DZ156" s="1"/>
      <c r="EA156" s="1"/>
      <c r="EB156" s="1"/>
      <c r="EC156" s="1"/>
      <c r="ED156" s="1"/>
      <c r="EE156" s="1"/>
      <c r="EF156" s="1"/>
      <c r="EG156" s="1"/>
      <c r="EH156" s="1"/>
      <c r="EI156" s="1"/>
      <c r="EJ156" s="1"/>
      <c r="EK156" s="1"/>
      <c r="EL156" s="1"/>
      <c r="EM156" s="1"/>
      <c r="EN156" s="1"/>
      <c r="EO156" s="1"/>
      <c r="EP156" s="1"/>
      <c r="EQ156" s="1"/>
      <c r="ER156" s="1"/>
      <c r="ES156" s="1"/>
      <c r="ET156" s="1"/>
      <c r="EU156" s="1"/>
      <c r="EV156" s="1"/>
      <c r="EW156" s="1"/>
      <c r="EX156" s="1"/>
      <c r="EY156" s="1"/>
      <c r="EZ156" s="1"/>
      <c r="FA156" s="1"/>
      <c r="FB156" s="1"/>
      <c r="FC156" s="1"/>
      <c r="FD156" s="1"/>
      <c r="FE156" s="1"/>
      <c r="FF156" s="1"/>
      <c r="FG156" s="1"/>
      <c r="FH156" s="1"/>
      <c r="FI156" s="1"/>
      <c r="FJ156" s="1"/>
      <c r="FK156" s="1"/>
      <c r="FL156" s="1"/>
      <c r="FM156" s="1"/>
      <c r="FN156" s="1"/>
      <c r="FO156" s="1"/>
      <c r="FP156" s="1"/>
      <c r="FQ156" s="1"/>
      <c r="FR156" s="1"/>
      <c r="FS156" s="1"/>
      <c r="FT156" s="1"/>
      <c r="FU156" s="1"/>
      <c r="FV156" s="1"/>
      <c r="FW156" s="1"/>
      <c r="FX156" s="1"/>
      <c r="FY156" s="1"/>
      <c r="FZ156" s="1"/>
      <c r="GA156" s="1"/>
      <c r="GB156" s="1"/>
      <c r="GC156" s="1"/>
      <c r="GD156" s="1"/>
      <c r="GE156" s="1"/>
      <c r="GF156" s="1"/>
      <c r="GG156" s="1"/>
      <c r="GH156" s="1"/>
      <c r="GI156" s="1"/>
      <c r="GJ156" s="1"/>
      <c r="GK156" s="1"/>
      <c r="GL156" s="1"/>
      <c r="GM156" s="1"/>
      <c r="GN156" s="1"/>
      <c r="GO156" s="1"/>
      <c r="GP156" s="1"/>
      <c r="GQ156" s="1"/>
      <c r="GR156" s="1"/>
      <c r="GS156" s="1"/>
      <c r="GT156" s="1"/>
      <c r="GU156" s="1"/>
      <c r="GV156" s="1"/>
      <c r="GW156" s="1"/>
      <c r="GX156" s="1"/>
      <c r="GY156" s="1"/>
      <c r="GZ156" s="1"/>
      <c r="HA156" s="1"/>
      <c r="HB156" s="1"/>
      <c r="HC156" s="1"/>
      <c r="HD156" s="1"/>
      <c r="HE156" s="1"/>
      <c r="HF156" s="1"/>
      <c r="HG156" s="1"/>
      <c r="HH156" s="1"/>
      <c r="HI156" s="1"/>
      <c r="HJ156" s="1"/>
      <c r="HK156" s="1"/>
      <c r="HL156" s="1"/>
      <c r="HM156" s="1"/>
      <c r="HN156" s="1"/>
      <c r="HO156" s="1"/>
      <c r="HP156" s="1"/>
      <c r="HQ156" s="1"/>
      <c r="HR156" s="1"/>
      <c r="HS156" s="1"/>
      <c r="HT156" s="1"/>
      <c r="HU156" s="1"/>
      <c r="HV156" s="1"/>
      <c r="HW156" s="1"/>
      <c r="HX156" s="1"/>
      <c r="HY156" s="1"/>
      <c r="HZ156" s="1"/>
      <c r="IA156" s="1"/>
      <c r="IB156" s="1"/>
      <c r="IC156" s="1"/>
      <c r="ID156" s="1"/>
      <c r="IE156" s="1"/>
      <c r="IF156" s="1"/>
      <c r="IG156" s="1"/>
      <c r="IH156" s="1"/>
      <c r="II156" s="1"/>
      <c r="IJ156" s="1"/>
      <c r="IK156" s="1"/>
      <c r="IL156" s="1"/>
      <c r="IM156" s="1"/>
      <c r="IN156" s="1"/>
      <c r="IO156" s="1"/>
      <c r="IP156" s="1"/>
      <c r="IQ156" s="1"/>
      <c r="IR156" s="1"/>
      <c r="IS156" s="1"/>
      <c r="IT156" s="1"/>
      <c r="IU156" s="1"/>
      <c r="IV156" s="1"/>
      <c r="IW156" s="1"/>
      <c r="IX156" s="1"/>
      <c r="IY156" s="1"/>
      <c r="IZ156" s="1"/>
      <c r="JA156" s="1"/>
      <c r="JB156" s="1"/>
      <c r="JC156" s="1"/>
      <c r="JD156" s="1"/>
      <c r="JE156" s="1"/>
      <c r="JF156" s="1"/>
      <c r="JG156" s="1"/>
      <c r="JH156" s="1"/>
      <c r="JI156" s="1"/>
      <c r="JJ156" s="1"/>
      <c r="JK156" s="1"/>
      <c r="JL156" s="1"/>
      <c r="JM156" s="1"/>
      <c r="JN156" s="1"/>
      <c r="JO156" s="1"/>
      <c r="JP156" s="1"/>
      <c r="JQ156" s="1"/>
      <c r="JR156" s="1"/>
      <c r="JS156" s="1"/>
      <c r="JT156" s="1"/>
      <c r="JU156" s="1"/>
      <c r="JV156" s="1"/>
      <c r="JW156" s="1"/>
      <c r="JX156" s="1"/>
      <c r="JY156" s="1"/>
      <c r="JZ156" s="1"/>
      <c r="KA156" s="1"/>
      <c r="KB156" s="1"/>
      <c r="KC156" s="1"/>
      <c r="KD156" s="1"/>
      <c r="KE156" s="1"/>
      <c r="KF156" s="1"/>
      <c r="KG156" s="1"/>
      <c r="KH156" s="1"/>
      <c r="KI156" s="1"/>
      <c r="KJ156" s="1"/>
      <c r="KK156" s="1"/>
      <c r="KL156" s="1"/>
      <c r="KM156" s="1"/>
      <c r="KN156" s="1"/>
      <c r="KO156" s="1"/>
      <c r="KP156" s="1"/>
      <c r="KQ156" s="1"/>
      <c r="KR156" s="1"/>
      <c r="KS156" s="1"/>
      <c r="KT156" s="1"/>
      <c r="KU156" s="1"/>
      <c r="KV156" s="1"/>
      <c r="KW156" s="1"/>
      <c r="KX156" s="1"/>
      <c r="KY156" s="1"/>
      <c r="KZ156" s="1"/>
      <c r="LA156" s="1"/>
      <c r="LB156" s="1"/>
      <c r="LC156" s="1"/>
      <c r="LD156" s="1"/>
      <c r="LE156" s="1"/>
      <c r="LF156" s="1"/>
      <c r="LG156" s="1"/>
      <c r="LH156" s="1"/>
      <c r="LI156" s="1"/>
      <c r="LJ156" s="1"/>
      <c r="LK156" s="1"/>
      <c r="LL156" s="1"/>
      <c r="LM156" s="1"/>
      <c r="LN156" s="1"/>
      <c r="LO156" s="1"/>
      <c r="LP156" s="1"/>
      <c r="LQ156" s="1"/>
      <c r="LR156" s="1"/>
      <c r="LS156" s="1"/>
      <c r="LT156" s="1"/>
      <c r="LU156" s="1"/>
      <c r="LV156" s="1"/>
      <c r="LW156" s="1"/>
      <c r="LX156" s="1"/>
      <c r="LY156" s="1"/>
      <c r="LZ156" s="1"/>
      <c r="MA156" s="1"/>
      <c r="MB156" s="1"/>
      <c r="MC156" s="1"/>
      <c r="MD156" s="1"/>
      <c r="ME156" s="1"/>
      <c r="MF156" s="1"/>
      <c r="MG156" s="1"/>
      <c r="MH156" s="1"/>
      <c r="MI156" s="1"/>
      <c r="MJ156" s="1"/>
      <c r="MK156" s="1"/>
      <c r="ML156" s="1"/>
      <c r="MM156" s="1"/>
      <c r="MN156" s="1"/>
      <c r="MO156" s="1"/>
      <c r="MP156" s="1"/>
      <c r="MQ156" s="1"/>
      <c r="MR156" s="1"/>
      <c r="MS156" s="1"/>
      <c r="MT156" s="1"/>
      <c r="MU156" s="1"/>
      <c r="MV156" s="1"/>
      <c r="MW156" s="1"/>
      <c r="MX156" s="1"/>
      <c r="MY156" s="1"/>
      <c r="MZ156" s="1"/>
      <c r="NA156" s="1"/>
      <c r="NB156" s="1"/>
      <c r="NC156" s="1"/>
      <c r="ND156" s="1"/>
      <c r="NE156" s="1"/>
      <c r="NF156" s="1"/>
      <c r="NG156" s="1"/>
      <c r="NH156" s="1"/>
      <c r="NI156" s="1"/>
      <c r="NJ156" s="1"/>
      <c r="NK156" s="1"/>
      <c r="NL156" s="1"/>
      <c r="NM156" s="1"/>
      <c r="NN156" s="1"/>
      <c r="NO156" s="1"/>
      <c r="NP156" s="1"/>
      <c r="NQ156" s="1"/>
      <c r="NR156" s="1"/>
      <c r="NS156" s="1"/>
      <c r="NT156" s="1"/>
      <c r="NU156" s="1"/>
      <c r="NV156" s="1"/>
      <c r="NW156" s="1"/>
      <c r="NX156" s="1"/>
      <c r="NY156" s="1"/>
      <c r="NZ156" s="1"/>
      <c r="OA156" s="1"/>
      <c r="OB156" s="1"/>
      <c r="OC156" s="1"/>
      <c r="OD156" s="1"/>
      <c r="OE156" s="1"/>
      <c r="OF156" s="1"/>
      <c r="OG156" s="1"/>
      <c r="OH156" s="1"/>
      <c r="OI156" s="1"/>
      <c r="OJ156" s="1"/>
      <c r="OK156" s="1"/>
      <c r="OL156" s="1"/>
      <c r="OM156" s="1"/>
      <c r="ON156" s="1"/>
      <c r="OO156" s="1"/>
      <c r="OP156" s="1"/>
      <c r="OQ156" s="1"/>
      <c r="OR156" s="1"/>
      <c r="OS156" s="1"/>
      <c r="OT156" s="1"/>
      <c r="OU156" s="1"/>
      <c r="OV156" s="1"/>
      <c r="OW156" s="1"/>
      <c r="OX156" s="1"/>
      <c r="OY156" s="1"/>
      <c r="OZ156" s="1"/>
      <c r="PA156" s="1"/>
      <c r="PB156" s="1"/>
      <c r="PC156" s="1"/>
      <c r="PD156" s="1"/>
      <c r="PE156" s="1"/>
      <c r="PF156" s="1"/>
      <c r="PG156" s="1"/>
      <c r="PH156" s="1"/>
      <c r="PI156" s="1"/>
      <c r="PJ156" s="1"/>
      <c r="PK156" s="1"/>
      <c r="PL156" s="1"/>
      <c r="PM156" s="1"/>
      <c r="PN156" s="1"/>
      <c r="PO156" s="1"/>
      <c r="PP156" s="1"/>
      <c r="PQ156" s="1"/>
      <c r="PR156" s="1"/>
      <c r="PS156" s="1"/>
      <c r="PT156" s="1"/>
      <c r="PU156" s="1"/>
      <c r="PV156" s="1"/>
      <c r="PW156" s="1"/>
      <c r="PX156" s="1"/>
      <c r="PY156" s="1"/>
      <c r="PZ156" s="1"/>
      <c r="QA156" s="1"/>
      <c r="QB156" s="1"/>
      <c r="QC156" s="1"/>
      <c r="QD156" s="1"/>
      <c r="QE156" s="1"/>
      <c r="QF156" s="1"/>
      <c r="QG156" s="1"/>
      <c r="QH156" s="1"/>
      <c r="QI156" s="1"/>
      <c r="QJ156" s="1"/>
      <c r="QK156" s="1"/>
      <c r="QL156" s="1"/>
      <c r="QM156" s="1"/>
      <c r="QN156" s="1"/>
      <c r="QO156" s="1"/>
      <c r="QP156" s="1"/>
      <c r="QQ156" s="1"/>
      <c r="QR156" s="1"/>
      <c r="QS156" s="1"/>
      <c r="QT156" s="1"/>
      <c r="QU156" s="1"/>
      <c r="QV156" s="1"/>
      <c r="QW156" s="1"/>
      <c r="QX156" s="1"/>
      <c r="QY156" s="1"/>
      <c r="QZ156" s="1"/>
      <c r="RA156" s="1"/>
      <c r="RB156" s="1"/>
      <c r="RC156" s="1"/>
      <c r="RD156" s="1"/>
      <c r="RE156" s="1"/>
      <c r="RF156" s="1"/>
      <c r="RG156" s="1"/>
      <c r="RH156" s="1"/>
      <c r="RI156" s="1"/>
      <c r="RJ156" s="1"/>
      <c r="RK156" s="1"/>
      <c r="RL156" s="1"/>
      <c r="RM156" s="1"/>
      <c r="RN156" s="1"/>
      <c r="RO156" s="1"/>
      <c r="RP156" s="1"/>
      <c r="RQ156" s="1"/>
      <c r="RR156" s="1"/>
      <c r="RS156" s="1"/>
      <c r="RT156" s="1"/>
      <c r="RU156" s="1"/>
      <c r="RV156" s="1"/>
      <c r="RW156" s="1"/>
      <c r="RX156" s="1"/>
      <c r="RY156" s="1"/>
      <c r="RZ156" s="1"/>
      <c r="SA156" s="1"/>
      <c r="SB156" s="1"/>
      <c r="SC156" s="1"/>
      <c r="SD156" s="1"/>
      <c r="SE156" s="1"/>
      <c r="SF156" s="1"/>
      <c r="SG156" s="1"/>
      <c r="SH156" s="1"/>
      <c r="SI156" s="1"/>
      <c r="SJ156" s="1"/>
      <c r="SK156" s="1"/>
      <c r="SL156" s="1"/>
      <c r="SM156" s="1"/>
      <c r="SN156" s="1"/>
      <c r="SO156" s="1"/>
      <c r="SP156" s="1"/>
      <c r="SQ156" s="1"/>
      <c r="SR156" s="1"/>
      <c r="SS156" s="1"/>
      <c r="ST156" s="1"/>
      <c r="SU156" s="1"/>
      <c r="SV156" s="1"/>
      <c r="SW156" s="1"/>
      <c r="SX156" s="1"/>
      <c r="SY156" s="1"/>
      <c r="SZ156" s="1"/>
      <c r="TA156" s="1"/>
      <c r="TB156" s="1"/>
      <c r="TC156" s="1"/>
      <c r="TD156" s="1"/>
      <c r="TE156" s="1"/>
      <c r="TF156" s="1"/>
      <c r="TG156" s="1"/>
      <c r="TH156" s="1"/>
      <c r="TI156" s="1"/>
      <c r="TJ156" s="1"/>
      <c r="TK156" s="1"/>
      <c r="TL156" s="1"/>
      <c r="TM156" s="1"/>
      <c r="TN156" s="1"/>
      <c r="TO156" s="1"/>
      <c r="TP156" s="1"/>
      <c r="TQ156" s="1"/>
      <c r="TR156" s="1"/>
      <c r="TS156" s="1"/>
      <c r="TT156" s="1"/>
      <c r="TU156" s="1"/>
      <c r="TV156" s="1"/>
      <c r="TW156" s="1"/>
      <c r="TX156" s="1"/>
      <c r="TY156" s="1"/>
      <c r="TZ156" s="1"/>
      <c r="UA156" s="1"/>
      <c r="UB156" s="1"/>
      <c r="UC156" s="1"/>
      <c r="UD156" s="1"/>
      <c r="UE156" s="1"/>
      <c r="UF156" s="1"/>
      <c r="UG156" s="1"/>
      <c r="UH156" s="1"/>
      <c r="UI156" s="1"/>
      <c r="UJ156" s="1"/>
      <c r="UK156" s="1"/>
      <c r="UL156" s="1"/>
      <c r="UM156" s="1"/>
      <c r="UN156" s="1"/>
      <c r="UO156" s="1"/>
      <c r="UP156" s="1"/>
      <c r="UQ156" s="1"/>
      <c r="UR156" s="1"/>
      <c r="US156" s="1"/>
      <c r="UT156" s="1"/>
      <c r="UU156" s="1"/>
      <c r="UV156" s="1"/>
      <c r="UW156" s="1"/>
      <c r="UX156" s="1"/>
      <c r="UY156" s="1"/>
      <c r="UZ156" s="1"/>
      <c r="VA156" s="1"/>
      <c r="VB156" s="1"/>
      <c r="VC156" s="1"/>
      <c r="VD156" s="1"/>
      <c r="VE156" s="1"/>
      <c r="VF156" s="1"/>
      <c r="VG156" s="1"/>
      <c r="VH156" s="1"/>
      <c r="VI156" s="1"/>
      <c r="VJ156" s="1"/>
      <c r="VK156" s="1"/>
      <c r="VL156" s="1"/>
      <c r="VM156" s="1"/>
      <c r="VN156" s="1"/>
      <c r="VO156" s="1"/>
      <c r="VP156" s="1"/>
      <c r="VQ156" s="1"/>
      <c r="VR156" s="1"/>
      <c r="VS156" s="1"/>
      <c r="VT156" s="1"/>
      <c r="VU156" s="1"/>
      <c r="VV156" s="1"/>
      <c r="VW156" s="1"/>
      <c r="VX156" s="1"/>
      <c r="VY156" s="1"/>
      <c r="VZ156" s="1"/>
      <c r="WA156" s="1"/>
      <c r="WB156" s="1"/>
      <c r="WC156" s="1"/>
      <c r="WD156" s="1"/>
      <c r="WE156" s="1"/>
      <c r="WF156" s="1"/>
      <c r="WG156" s="1"/>
      <c r="WH156" s="1"/>
      <c r="WI156" s="1"/>
      <c r="WJ156" s="1"/>
      <c r="WK156" s="1"/>
      <c r="WL156" s="1"/>
      <c r="WM156" s="1"/>
      <c r="WN156" s="1"/>
      <c r="WO156" s="1"/>
      <c r="WP156" s="1"/>
      <c r="WQ156" s="1"/>
      <c r="WR156" s="1"/>
      <c r="WS156" s="1"/>
      <c r="WT156" s="1"/>
      <c r="WU156" s="1"/>
      <c r="WV156" s="1"/>
      <c r="WW156" s="1"/>
      <c r="WX156" s="1"/>
      <c r="WY156" s="1"/>
      <c r="WZ156" s="1"/>
      <c r="XA156" s="1"/>
      <c r="XB156" s="1"/>
      <c r="XC156" s="1"/>
      <c r="XD156" s="1"/>
      <c r="XE156" s="1"/>
      <c r="XF156" s="1"/>
      <c r="XG156" s="1"/>
      <c r="XH156" s="1"/>
      <c r="XI156" s="1"/>
      <c r="XJ156" s="1"/>
      <c r="XK156" s="1"/>
      <c r="XL156" s="1"/>
      <c r="XM156" s="1"/>
      <c r="XN156" s="1"/>
      <c r="XO156" s="1"/>
      <c r="XP156" s="1"/>
      <c r="XQ156" s="1"/>
      <c r="XR156" s="1"/>
      <c r="XS156" s="1"/>
      <c r="XT156" s="1"/>
      <c r="XU156" s="1"/>
      <c r="XV156" s="1"/>
      <c r="XW156" s="1"/>
      <c r="XX156" s="1"/>
      <c r="XY156" s="1"/>
      <c r="XZ156" s="1"/>
      <c r="YA156" s="1"/>
      <c r="YB156" s="1"/>
      <c r="YC156" s="1"/>
      <c r="YD156" s="1"/>
      <c r="YE156" s="1"/>
      <c r="YF156" s="1"/>
      <c r="YG156" s="1"/>
      <c r="YH156" s="1"/>
      <c r="YI156" s="1"/>
      <c r="YJ156" s="1"/>
      <c r="YK156" s="1"/>
      <c r="YL156" s="1"/>
      <c r="YM156" s="1"/>
      <c r="YN156" s="1"/>
      <c r="YO156" s="1"/>
      <c r="YP156" s="1"/>
      <c r="YQ156" s="1"/>
      <c r="YR156" s="1"/>
      <c r="YS156" s="1"/>
      <c r="YT156" s="1"/>
      <c r="YU156" s="1"/>
      <c r="YV156" s="1"/>
      <c r="YW156" s="1"/>
      <c r="YX156" s="1"/>
      <c r="YY156" s="1"/>
      <c r="YZ156" s="1"/>
      <c r="ZA156" s="1"/>
      <c r="ZB156" s="1"/>
      <c r="ZC156" s="1"/>
      <c r="ZD156" s="1"/>
      <c r="ZE156" s="1"/>
      <c r="ZF156" s="1"/>
      <c r="ZG156" s="1"/>
      <c r="ZH156" s="1"/>
      <c r="ZI156" s="1"/>
      <c r="ZJ156" s="1"/>
      <c r="ZK156" s="1"/>
      <c r="ZL156" s="1"/>
      <c r="ZM156" s="1"/>
      <c r="ZN156" s="1"/>
      <c r="ZO156" s="1"/>
      <c r="ZP156" s="1"/>
      <c r="ZQ156" s="1"/>
      <c r="ZR156" s="1"/>
      <c r="ZS156" s="1"/>
      <c r="ZT156" s="1"/>
      <c r="ZU156" s="1"/>
      <c r="ZV156" s="1"/>
      <c r="ZW156" s="1"/>
      <c r="ZX156" s="1"/>
      <c r="ZY156" s="1"/>
      <c r="ZZ156" s="1"/>
      <c r="AAA156" s="1"/>
      <c r="AAB156" s="1"/>
      <c r="AAC156" s="1"/>
      <c r="AAD156" s="1"/>
      <c r="AAE156" s="1"/>
      <c r="AAF156" s="1"/>
      <c r="AAG156" s="1"/>
      <c r="AAH156" s="1"/>
      <c r="AAI156" s="1"/>
      <c r="AAJ156" s="1"/>
      <c r="AAK156" s="1"/>
      <c r="AAL156" s="1"/>
      <c r="AAM156" s="1"/>
      <c r="AAN156" s="1"/>
      <c r="AAO156" s="1"/>
      <c r="AAP156" s="1"/>
      <c r="AAQ156" s="1"/>
      <c r="AAR156" s="1"/>
      <c r="AAS156" s="1"/>
      <c r="AAT156" s="1"/>
      <c r="AAU156" s="1"/>
      <c r="AAV156" s="1"/>
      <c r="AAW156" s="1"/>
      <c r="AAX156" s="1"/>
      <c r="AAY156" s="1"/>
      <c r="AAZ156" s="1"/>
      <c r="ABA156" s="1"/>
      <c r="ABB156" s="1"/>
      <c r="ABC156" s="1"/>
      <c r="ABD156" s="1"/>
      <c r="ABE156" s="1"/>
      <c r="ABF156" s="1"/>
      <c r="ABG156" s="1"/>
      <c r="ABH156" s="1"/>
      <c r="ABI156" s="1"/>
      <c r="ABJ156" s="1"/>
      <c r="ABK156" s="1"/>
      <c r="ABL156" s="1"/>
      <c r="ABM156" s="1"/>
      <c r="ABN156" s="1"/>
      <c r="ABO156" s="1"/>
      <c r="ABP156" s="1"/>
      <c r="ABQ156" s="1"/>
      <c r="ABR156" s="1"/>
      <c r="ABS156" s="1"/>
      <c r="ABT156" s="1"/>
      <c r="ABU156" s="1"/>
      <c r="ABV156" s="1"/>
      <c r="ABW156" s="1"/>
      <c r="ABX156" s="1"/>
      <c r="ABY156" s="1"/>
      <c r="ABZ156" s="1"/>
      <c r="ACA156" s="1"/>
      <c r="ACB156" s="1"/>
      <c r="ACC156" s="1"/>
      <c r="ACD156" s="1"/>
      <c r="ACE156" s="1"/>
      <c r="ACF156" s="1"/>
      <c r="ACG156" s="1"/>
      <c r="ACH156" s="1"/>
      <c r="ACI156" s="1"/>
      <c r="ACJ156" s="1"/>
      <c r="ACK156" s="1"/>
      <c r="ACL156" s="1"/>
      <c r="ACM156" s="1"/>
      <c r="ACN156" s="1"/>
      <c r="ACO156" s="1"/>
      <c r="ACP156" s="1"/>
      <c r="ACQ156" s="1"/>
      <c r="ACR156" s="1"/>
      <c r="ACS156" s="1"/>
      <c r="ACT156" s="1"/>
      <c r="ACU156" s="1"/>
      <c r="ACV156" s="1"/>
      <c r="ACW156" s="1"/>
      <c r="ACX156" s="1"/>
      <c r="ACY156" s="1"/>
      <c r="ACZ156" s="1"/>
      <c r="ADA156" s="1"/>
      <c r="ADB156" s="1"/>
      <c r="ADC156" s="1"/>
      <c r="ADD156" s="1"/>
      <c r="ADE156" s="1"/>
      <c r="ADF156" s="1"/>
      <c r="ADG156" s="1"/>
      <c r="ADH156" s="1"/>
      <c r="ADI156" s="1"/>
      <c r="ADJ156" s="1"/>
      <c r="ADK156" s="1"/>
      <c r="ADL156" s="1"/>
      <c r="ADM156" s="1"/>
      <c r="ADN156" s="1"/>
      <c r="ADO156" s="1"/>
      <c r="ADP156" s="1"/>
      <c r="ADQ156" s="1"/>
      <c r="ADR156" s="1"/>
      <c r="ADS156" s="1"/>
      <c r="ADT156" s="1"/>
      <c r="ADU156" s="1"/>
      <c r="ADV156" s="1"/>
      <c r="ADW156" s="1"/>
      <c r="ADX156" s="1"/>
      <c r="ADY156" s="1"/>
      <c r="ADZ156" s="1"/>
      <c r="AEA156" s="1"/>
      <c r="AEB156" s="1"/>
      <c r="AEC156" s="1"/>
      <c r="AED156" s="1"/>
      <c r="AEE156" s="1"/>
      <c r="AEF156" s="1"/>
      <c r="AEG156" s="1"/>
      <c r="AEH156" s="1"/>
      <c r="AEI156" s="1"/>
      <c r="AEJ156" s="1"/>
      <c r="AEK156" s="1"/>
      <c r="AEL156" s="1"/>
      <c r="AEM156" s="1"/>
      <c r="AEN156" s="1"/>
      <c r="AEO156" s="1"/>
      <c r="AEP156" s="1"/>
      <c r="AEQ156" s="1"/>
      <c r="AER156" s="1"/>
      <c r="AES156" s="1"/>
      <c r="AET156" s="1"/>
      <c r="AEU156" s="1"/>
      <c r="AEV156" s="1"/>
      <c r="AEW156" s="1"/>
      <c r="AEX156" s="1"/>
      <c r="AEY156" s="1"/>
      <c r="AEZ156" s="1"/>
      <c r="AFA156" s="1"/>
      <c r="AFB156" s="1"/>
      <c r="AFC156" s="1"/>
      <c r="AFD156" s="1"/>
      <c r="AFE156" s="1"/>
      <c r="AFF156" s="1"/>
      <c r="AFG156" s="1"/>
      <c r="AFH156" s="1"/>
      <c r="AFI156" s="1"/>
      <c r="AFJ156" s="1"/>
      <c r="AFK156" s="1"/>
      <c r="AFL156" s="1"/>
      <c r="AFM156" s="1"/>
      <c r="AFN156" s="1"/>
      <c r="AFO156" s="1"/>
      <c r="AFP156" s="1"/>
      <c r="AFQ156" s="1"/>
      <c r="AFR156" s="1"/>
      <c r="AFS156" s="1"/>
      <c r="AFT156" s="1"/>
      <c r="AFU156" s="1"/>
      <c r="AFV156" s="1"/>
      <c r="AFW156" s="1"/>
      <c r="AFX156" s="1"/>
      <c r="AFY156" s="1"/>
      <c r="AFZ156" s="1"/>
      <c r="AGA156" s="1"/>
      <c r="AGB156" s="1"/>
      <c r="AGC156" s="1"/>
      <c r="AGD156" s="1"/>
      <c r="AGE156" s="1"/>
      <c r="AGF156" s="1"/>
      <c r="AGG156" s="1"/>
      <c r="AGH156" s="1"/>
      <c r="AGI156" s="1"/>
      <c r="AGJ156" s="1"/>
      <c r="AGK156" s="1"/>
      <c r="AGL156" s="1"/>
      <c r="AGM156" s="1"/>
      <c r="AGN156" s="1"/>
      <c r="AGO156" s="1"/>
      <c r="AGP156" s="1"/>
      <c r="AGQ156" s="1"/>
      <c r="AGR156" s="1"/>
      <c r="AGS156" s="1"/>
      <c r="AGT156" s="1"/>
      <c r="AGU156" s="1"/>
      <c r="AGV156" s="1"/>
      <c r="AGW156" s="1"/>
      <c r="AGX156" s="1"/>
      <c r="AGY156" s="1"/>
      <c r="AGZ156" s="1"/>
      <c r="AHA156" s="1"/>
      <c r="AHB156" s="1"/>
      <c r="AHC156" s="1"/>
      <c r="AHD156" s="1"/>
      <c r="AHE156" s="1"/>
      <c r="AHF156" s="1"/>
      <c r="AHG156" s="1"/>
      <c r="AHH156" s="1"/>
      <c r="AHI156" s="1"/>
      <c r="AHJ156" s="1"/>
      <c r="AHK156" s="1"/>
      <c r="AHL156" s="1"/>
      <c r="AHM156" s="1"/>
      <c r="AHN156" s="1"/>
      <c r="AHO156" s="1"/>
      <c r="AHP156" s="1"/>
      <c r="AHQ156" s="1"/>
      <c r="AHR156" s="1"/>
      <c r="AHS156" s="1"/>
      <c r="AHT156" s="1"/>
      <c r="AHU156" s="1"/>
      <c r="AHV156" s="1"/>
      <c r="AHW156" s="1"/>
      <c r="AHX156" s="1"/>
      <c r="AHY156" s="1"/>
      <c r="AHZ156" s="1"/>
      <c r="AIA156" s="1"/>
      <c r="AIB156" s="1"/>
      <c r="AIC156" s="1"/>
      <c r="AID156" s="1"/>
      <c r="AIE156" s="1"/>
      <c r="AIF156" s="1"/>
      <c r="AIG156" s="1"/>
      <c r="AIH156" s="1"/>
      <c r="AII156" s="1"/>
      <c r="AIJ156" s="1"/>
      <c r="AIK156" s="1"/>
      <c r="AIL156" s="1"/>
      <c r="AIM156" s="1"/>
      <c r="AIN156" s="1"/>
      <c r="AIO156" s="1"/>
      <c r="AIP156" s="1"/>
      <c r="AIQ156" s="1"/>
      <c r="AIR156" s="1"/>
      <c r="AIS156" s="1"/>
      <c r="AIT156" s="1"/>
      <c r="AIU156" s="1"/>
      <c r="AIV156" s="1"/>
      <c r="AIW156" s="1"/>
      <c r="AIX156" s="1"/>
      <c r="AIY156" s="1"/>
      <c r="AIZ156" s="1"/>
      <c r="AJA156" s="1"/>
      <c r="AJB156" s="1"/>
      <c r="AJC156" s="1"/>
      <c r="AJD156" s="1"/>
      <c r="AJE156" s="1"/>
      <c r="AJF156" s="1"/>
      <c r="AJG156" s="1"/>
      <c r="AJH156" s="1"/>
      <c r="AJI156" s="1"/>
      <c r="AJJ156" s="1"/>
      <c r="AJK156" s="1"/>
      <c r="AJL156" s="1"/>
      <c r="AJM156" s="1"/>
      <c r="AJN156" s="1"/>
      <c r="AJO156" s="1"/>
      <c r="AJP156" s="1"/>
      <c r="AJQ156" s="1"/>
      <c r="AJR156" s="1"/>
      <c r="AJS156" s="1"/>
      <c r="AJT156" s="1"/>
      <c r="AJU156" s="1"/>
      <c r="AJV156" s="1"/>
      <c r="AJW156" s="1"/>
      <c r="AJX156" s="1"/>
      <c r="AJY156" s="1"/>
      <c r="AJZ156" s="1"/>
      <c r="AKA156" s="1"/>
      <c r="AKB156" s="1"/>
      <c r="AKC156" s="1"/>
      <c r="AKD156" s="1"/>
      <c r="AKE156" s="1"/>
      <c r="AKF156" s="1"/>
      <c r="AKG156" s="1"/>
      <c r="AKH156" s="1"/>
      <c r="AKI156" s="1"/>
      <c r="AKJ156" s="1"/>
      <c r="AKK156" s="1"/>
      <c r="AKL156" s="1"/>
      <c r="AKM156" s="1"/>
      <c r="AKN156" s="1"/>
      <c r="AKO156" s="1"/>
      <c r="AKP156" s="1"/>
      <c r="AKQ156" s="1"/>
      <c r="AKR156" s="1"/>
      <c r="AKS156" s="1"/>
      <c r="AKT156" s="1"/>
      <c r="AKU156" s="1"/>
      <c r="AKV156" s="1"/>
      <c r="AKW156" s="1"/>
      <c r="AKX156" s="1"/>
      <c r="AKY156" s="1"/>
      <c r="AKZ156" s="1"/>
      <c r="ALA156" s="1"/>
      <c r="ALB156" s="1"/>
      <c r="ALC156" s="1"/>
      <c r="ALD156" s="1"/>
      <c r="ALE156" s="1"/>
      <c r="ALF156" s="1"/>
      <c r="ALG156" s="1"/>
      <c r="ALH156" s="1"/>
      <c r="ALI156" s="1"/>
      <c r="ALJ156" s="1"/>
      <c r="ALK156" s="1"/>
      <c r="ALL156" s="1"/>
      <c r="ALM156" s="1"/>
      <c r="ALN156" s="1"/>
      <c r="ALO156" s="1"/>
      <c r="ALP156" s="1"/>
      <c r="ALQ156" s="1"/>
      <c r="ALR156" s="1"/>
      <c r="ALS156" s="1"/>
      <c r="ALT156" s="1"/>
      <c r="ALU156" s="1"/>
      <c r="ALV156" s="1"/>
      <c r="ALW156" s="1"/>
      <c r="ALX156" s="1"/>
      <c r="ALY156" s="1"/>
      <c r="ALZ156" s="1"/>
      <c r="AMA156" s="1"/>
      <c r="AMB156" s="1"/>
      <c r="AMC156" s="1"/>
      <c r="AMD156" s="1"/>
      <c r="AME156" s="1"/>
      <c r="AMF156" s="1"/>
      <c r="AMG156" s="1"/>
      <c r="AMH156" s="1"/>
      <c r="AMI156" s="1"/>
      <c r="AMJ156" s="1"/>
    </row>
    <row r="157" customFormat="false" ht="10.5" hidden="false" customHeight="true" outlineLevel="0" collapsed="false">
      <c r="A157" s="162"/>
      <c r="B157" s="162"/>
      <c r="C157" s="162"/>
      <c r="D157" s="162"/>
      <c r="E157" s="162"/>
      <c r="F157" s="162"/>
      <c r="G157" s="162"/>
      <c r="H157" s="162"/>
      <c r="I157" s="162"/>
      <c r="J157" s="162"/>
      <c r="K157" s="162"/>
      <c r="L157" s="162"/>
      <c r="M157" s="162"/>
      <c r="N157" s="19"/>
      <c r="O157" s="19"/>
      <c r="P157" s="19"/>
      <c r="Q157" s="19"/>
      <c r="R157" s="19"/>
      <c r="S157" s="185"/>
      <c r="T157" s="185"/>
      <c r="U157" s="185"/>
      <c r="V157" s="185"/>
      <c r="W157" s="185"/>
      <c r="X157" s="217"/>
      <c r="Y157" s="217"/>
      <c r="Z157" s="217"/>
      <c r="AA157" s="217"/>
      <c r="AB157" s="217"/>
      <c r="AC157" s="19"/>
      <c r="AD157" s="19"/>
      <c r="AE157" s="19"/>
      <c r="AF157" s="19"/>
      <c r="AG157" s="19"/>
      <c r="AH157" s="140" t="n">
        <f aca="false">S157*X157*AC157</f>
        <v>0</v>
      </c>
      <c r="AI157" s="140"/>
      <c r="AJ157" s="140"/>
      <c r="AK157" s="140"/>
      <c r="AL157" s="140"/>
      <c r="AM157" s="140"/>
      <c r="AN157" s="140"/>
      <c r="AO157" s="140"/>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c r="IX157" s="1"/>
      <c r="IY157" s="1"/>
      <c r="IZ157" s="1"/>
      <c r="JA157" s="1"/>
      <c r="JB157" s="1"/>
      <c r="JC157" s="1"/>
      <c r="JD157" s="1"/>
      <c r="JE157" s="1"/>
      <c r="JF157" s="1"/>
      <c r="JG157" s="1"/>
      <c r="JH157" s="1"/>
      <c r="JI157" s="1"/>
      <c r="JJ157" s="1"/>
      <c r="JK157" s="1"/>
      <c r="JL157" s="1"/>
      <c r="JM157" s="1"/>
      <c r="JN157" s="1"/>
      <c r="JO157" s="1"/>
      <c r="JP157" s="1"/>
      <c r="JQ157" s="1"/>
      <c r="JR157" s="1"/>
      <c r="JS157" s="1"/>
      <c r="JT157" s="1"/>
      <c r="JU157" s="1"/>
      <c r="JV157" s="1"/>
      <c r="JW157" s="1"/>
      <c r="JX157" s="1"/>
      <c r="JY157" s="1"/>
      <c r="JZ157" s="1"/>
      <c r="KA157" s="1"/>
      <c r="KB157" s="1"/>
      <c r="KC157" s="1"/>
      <c r="KD157" s="1"/>
      <c r="KE157" s="1"/>
      <c r="KF157" s="1"/>
      <c r="KG157" s="1"/>
      <c r="KH157" s="1"/>
      <c r="KI157" s="1"/>
      <c r="KJ157" s="1"/>
      <c r="KK157" s="1"/>
      <c r="KL157" s="1"/>
      <c r="KM157" s="1"/>
      <c r="KN157" s="1"/>
      <c r="KO157" s="1"/>
      <c r="KP157" s="1"/>
      <c r="KQ157" s="1"/>
      <c r="KR157" s="1"/>
      <c r="KS157" s="1"/>
      <c r="KT157" s="1"/>
      <c r="KU157" s="1"/>
      <c r="KV157" s="1"/>
      <c r="KW157" s="1"/>
      <c r="KX157" s="1"/>
      <c r="KY157" s="1"/>
      <c r="KZ157" s="1"/>
      <c r="LA157" s="1"/>
      <c r="LB157" s="1"/>
      <c r="LC157" s="1"/>
      <c r="LD157" s="1"/>
      <c r="LE157" s="1"/>
      <c r="LF157" s="1"/>
      <c r="LG157" s="1"/>
      <c r="LH157" s="1"/>
      <c r="LI157" s="1"/>
      <c r="LJ157" s="1"/>
      <c r="LK157" s="1"/>
      <c r="LL157" s="1"/>
      <c r="LM157" s="1"/>
      <c r="LN157" s="1"/>
      <c r="LO157" s="1"/>
      <c r="LP157" s="1"/>
      <c r="LQ157" s="1"/>
      <c r="LR157" s="1"/>
      <c r="LS157" s="1"/>
      <c r="LT157" s="1"/>
      <c r="LU157" s="1"/>
      <c r="LV157" s="1"/>
      <c r="LW157" s="1"/>
      <c r="LX157" s="1"/>
      <c r="LY157" s="1"/>
      <c r="LZ157" s="1"/>
      <c r="MA157" s="1"/>
      <c r="MB157" s="1"/>
      <c r="MC157" s="1"/>
      <c r="MD157" s="1"/>
      <c r="ME157" s="1"/>
      <c r="MF157" s="1"/>
      <c r="MG157" s="1"/>
      <c r="MH157" s="1"/>
      <c r="MI157" s="1"/>
      <c r="MJ157" s="1"/>
      <c r="MK157" s="1"/>
      <c r="ML157" s="1"/>
      <c r="MM157" s="1"/>
      <c r="MN157" s="1"/>
      <c r="MO157" s="1"/>
      <c r="MP157" s="1"/>
      <c r="MQ157" s="1"/>
      <c r="MR157" s="1"/>
      <c r="MS157" s="1"/>
      <c r="MT157" s="1"/>
      <c r="MU157" s="1"/>
      <c r="MV157" s="1"/>
      <c r="MW157" s="1"/>
      <c r="MX157" s="1"/>
      <c r="MY157" s="1"/>
      <c r="MZ157" s="1"/>
      <c r="NA157" s="1"/>
      <c r="NB157" s="1"/>
      <c r="NC157" s="1"/>
      <c r="ND157" s="1"/>
      <c r="NE157" s="1"/>
      <c r="NF157" s="1"/>
      <c r="NG157" s="1"/>
      <c r="NH157" s="1"/>
      <c r="NI157" s="1"/>
      <c r="NJ157" s="1"/>
      <c r="NK157" s="1"/>
      <c r="NL157" s="1"/>
      <c r="NM157" s="1"/>
      <c r="NN157" s="1"/>
      <c r="NO157" s="1"/>
      <c r="NP157" s="1"/>
      <c r="NQ157" s="1"/>
      <c r="NR157" s="1"/>
      <c r="NS157" s="1"/>
      <c r="NT157" s="1"/>
      <c r="NU157" s="1"/>
      <c r="NV157" s="1"/>
      <c r="NW157" s="1"/>
      <c r="NX157" s="1"/>
      <c r="NY157" s="1"/>
      <c r="NZ157" s="1"/>
      <c r="OA157" s="1"/>
      <c r="OB157" s="1"/>
      <c r="OC157" s="1"/>
      <c r="OD157" s="1"/>
      <c r="OE157" s="1"/>
      <c r="OF157" s="1"/>
      <c r="OG157" s="1"/>
      <c r="OH157" s="1"/>
      <c r="OI157" s="1"/>
      <c r="OJ157" s="1"/>
      <c r="OK157" s="1"/>
      <c r="OL157" s="1"/>
      <c r="OM157" s="1"/>
      <c r="ON157" s="1"/>
      <c r="OO157" s="1"/>
      <c r="OP157" s="1"/>
      <c r="OQ157" s="1"/>
      <c r="OR157" s="1"/>
      <c r="OS157" s="1"/>
      <c r="OT157" s="1"/>
      <c r="OU157" s="1"/>
      <c r="OV157" s="1"/>
      <c r="OW157" s="1"/>
      <c r="OX157" s="1"/>
      <c r="OY157" s="1"/>
      <c r="OZ157" s="1"/>
      <c r="PA157" s="1"/>
      <c r="PB157" s="1"/>
      <c r="PC157" s="1"/>
      <c r="PD157" s="1"/>
      <c r="PE157" s="1"/>
      <c r="PF157" s="1"/>
      <c r="PG157" s="1"/>
      <c r="PH157" s="1"/>
      <c r="PI157" s="1"/>
      <c r="PJ157" s="1"/>
      <c r="PK157" s="1"/>
      <c r="PL157" s="1"/>
      <c r="PM157" s="1"/>
      <c r="PN157" s="1"/>
      <c r="PO157" s="1"/>
      <c r="PP157" s="1"/>
      <c r="PQ157" s="1"/>
      <c r="PR157" s="1"/>
      <c r="PS157" s="1"/>
      <c r="PT157" s="1"/>
      <c r="PU157" s="1"/>
      <c r="PV157" s="1"/>
      <c r="PW157" s="1"/>
      <c r="PX157" s="1"/>
      <c r="PY157" s="1"/>
      <c r="PZ157" s="1"/>
      <c r="QA157" s="1"/>
      <c r="QB157" s="1"/>
      <c r="QC157" s="1"/>
      <c r="QD157" s="1"/>
      <c r="QE157" s="1"/>
      <c r="QF157" s="1"/>
      <c r="QG157" s="1"/>
      <c r="QH157" s="1"/>
      <c r="QI157" s="1"/>
      <c r="QJ157" s="1"/>
      <c r="QK157" s="1"/>
      <c r="QL157" s="1"/>
      <c r="QM157" s="1"/>
      <c r="QN157" s="1"/>
      <c r="QO157" s="1"/>
      <c r="QP157" s="1"/>
      <c r="QQ157" s="1"/>
      <c r="QR157" s="1"/>
      <c r="QS157" s="1"/>
      <c r="QT157" s="1"/>
      <c r="QU157" s="1"/>
      <c r="QV157" s="1"/>
      <c r="QW157" s="1"/>
      <c r="QX157" s="1"/>
      <c r="QY157" s="1"/>
      <c r="QZ157" s="1"/>
      <c r="RA157" s="1"/>
      <c r="RB157" s="1"/>
      <c r="RC157" s="1"/>
      <c r="RD157" s="1"/>
      <c r="RE157" s="1"/>
      <c r="RF157" s="1"/>
      <c r="RG157" s="1"/>
      <c r="RH157" s="1"/>
      <c r="RI157" s="1"/>
      <c r="RJ157" s="1"/>
      <c r="RK157" s="1"/>
      <c r="RL157" s="1"/>
      <c r="RM157" s="1"/>
      <c r="RN157" s="1"/>
      <c r="RO157" s="1"/>
      <c r="RP157" s="1"/>
      <c r="RQ157" s="1"/>
      <c r="RR157" s="1"/>
      <c r="RS157" s="1"/>
      <c r="RT157" s="1"/>
      <c r="RU157" s="1"/>
      <c r="RV157" s="1"/>
      <c r="RW157" s="1"/>
      <c r="RX157" s="1"/>
      <c r="RY157" s="1"/>
      <c r="RZ157" s="1"/>
      <c r="SA157" s="1"/>
      <c r="SB157" s="1"/>
      <c r="SC157" s="1"/>
      <c r="SD157" s="1"/>
      <c r="SE157" s="1"/>
      <c r="SF157" s="1"/>
      <c r="SG157" s="1"/>
      <c r="SH157" s="1"/>
      <c r="SI157" s="1"/>
      <c r="SJ157" s="1"/>
      <c r="SK157" s="1"/>
      <c r="SL157" s="1"/>
      <c r="SM157" s="1"/>
      <c r="SN157" s="1"/>
      <c r="SO157" s="1"/>
      <c r="SP157" s="1"/>
      <c r="SQ157" s="1"/>
      <c r="SR157" s="1"/>
      <c r="SS157" s="1"/>
      <c r="ST157" s="1"/>
      <c r="SU157" s="1"/>
      <c r="SV157" s="1"/>
      <c r="SW157" s="1"/>
      <c r="SX157" s="1"/>
      <c r="SY157" s="1"/>
      <c r="SZ157" s="1"/>
      <c r="TA157" s="1"/>
      <c r="TB157" s="1"/>
      <c r="TC157" s="1"/>
      <c r="TD157" s="1"/>
      <c r="TE157" s="1"/>
      <c r="TF157" s="1"/>
      <c r="TG157" s="1"/>
      <c r="TH157" s="1"/>
      <c r="TI157" s="1"/>
      <c r="TJ157" s="1"/>
      <c r="TK157" s="1"/>
      <c r="TL157" s="1"/>
      <c r="TM157" s="1"/>
      <c r="TN157" s="1"/>
      <c r="TO157" s="1"/>
      <c r="TP157" s="1"/>
      <c r="TQ157" s="1"/>
      <c r="TR157" s="1"/>
      <c r="TS157" s="1"/>
      <c r="TT157" s="1"/>
      <c r="TU157" s="1"/>
      <c r="TV157" s="1"/>
      <c r="TW157" s="1"/>
      <c r="TX157" s="1"/>
      <c r="TY157" s="1"/>
      <c r="TZ157" s="1"/>
      <c r="UA157" s="1"/>
      <c r="UB157" s="1"/>
      <c r="UC157" s="1"/>
      <c r="UD157" s="1"/>
      <c r="UE157" s="1"/>
      <c r="UF157" s="1"/>
      <c r="UG157" s="1"/>
      <c r="UH157" s="1"/>
      <c r="UI157" s="1"/>
      <c r="UJ157" s="1"/>
      <c r="UK157" s="1"/>
      <c r="UL157" s="1"/>
      <c r="UM157" s="1"/>
      <c r="UN157" s="1"/>
      <c r="UO157" s="1"/>
      <c r="UP157" s="1"/>
      <c r="UQ157" s="1"/>
      <c r="UR157" s="1"/>
      <c r="US157" s="1"/>
      <c r="UT157" s="1"/>
      <c r="UU157" s="1"/>
      <c r="UV157" s="1"/>
      <c r="UW157" s="1"/>
      <c r="UX157" s="1"/>
      <c r="UY157" s="1"/>
      <c r="UZ157" s="1"/>
      <c r="VA157" s="1"/>
      <c r="VB157" s="1"/>
      <c r="VC157" s="1"/>
      <c r="VD157" s="1"/>
      <c r="VE157" s="1"/>
      <c r="VF157" s="1"/>
      <c r="VG157" s="1"/>
      <c r="VH157" s="1"/>
      <c r="VI157" s="1"/>
      <c r="VJ157" s="1"/>
      <c r="VK157" s="1"/>
      <c r="VL157" s="1"/>
      <c r="VM157" s="1"/>
      <c r="VN157" s="1"/>
      <c r="VO157" s="1"/>
      <c r="VP157" s="1"/>
      <c r="VQ157" s="1"/>
      <c r="VR157" s="1"/>
      <c r="VS157" s="1"/>
      <c r="VT157" s="1"/>
      <c r="VU157" s="1"/>
      <c r="VV157" s="1"/>
      <c r="VW157" s="1"/>
      <c r="VX157" s="1"/>
      <c r="VY157" s="1"/>
      <c r="VZ157" s="1"/>
      <c r="WA157" s="1"/>
      <c r="WB157" s="1"/>
      <c r="WC157" s="1"/>
      <c r="WD157" s="1"/>
      <c r="WE157" s="1"/>
      <c r="WF157" s="1"/>
      <c r="WG157" s="1"/>
      <c r="WH157" s="1"/>
      <c r="WI157" s="1"/>
      <c r="WJ157" s="1"/>
      <c r="WK157" s="1"/>
      <c r="WL157" s="1"/>
      <c r="WM157" s="1"/>
      <c r="WN157" s="1"/>
      <c r="WO157" s="1"/>
      <c r="WP157" s="1"/>
      <c r="WQ157" s="1"/>
      <c r="WR157" s="1"/>
      <c r="WS157" s="1"/>
      <c r="WT157" s="1"/>
      <c r="WU157" s="1"/>
      <c r="WV157" s="1"/>
      <c r="WW157" s="1"/>
      <c r="WX157" s="1"/>
      <c r="WY157" s="1"/>
      <c r="WZ157" s="1"/>
      <c r="XA157" s="1"/>
      <c r="XB157" s="1"/>
      <c r="XC157" s="1"/>
      <c r="XD157" s="1"/>
      <c r="XE157" s="1"/>
      <c r="XF157" s="1"/>
      <c r="XG157" s="1"/>
      <c r="XH157" s="1"/>
      <c r="XI157" s="1"/>
      <c r="XJ157" s="1"/>
      <c r="XK157" s="1"/>
      <c r="XL157" s="1"/>
      <c r="XM157" s="1"/>
      <c r="XN157" s="1"/>
      <c r="XO157" s="1"/>
      <c r="XP157" s="1"/>
      <c r="XQ157" s="1"/>
      <c r="XR157" s="1"/>
      <c r="XS157" s="1"/>
      <c r="XT157" s="1"/>
      <c r="XU157" s="1"/>
      <c r="XV157" s="1"/>
      <c r="XW157" s="1"/>
      <c r="XX157" s="1"/>
      <c r="XY157" s="1"/>
      <c r="XZ157" s="1"/>
      <c r="YA157" s="1"/>
      <c r="YB157" s="1"/>
      <c r="YC157" s="1"/>
      <c r="YD157" s="1"/>
      <c r="YE157" s="1"/>
      <c r="YF157" s="1"/>
      <c r="YG157" s="1"/>
      <c r="YH157" s="1"/>
      <c r="YI157" s="1"/>
      <c r="YJ157" s="1"/>
      <c r="YK157" s="1"/>
      <c r="YL157" s="1"/>
      <c r="YM157" s="1"/>
      <c r="YN157" s="1"/>
      <c r="YO157" s="1"/>
      <c r="YP157" s="1"/>
      <c r="YQ157" s="1"/>
      <c r="YR157" s="1"/>
      <c r="YS157" s="1"/>
      <c r="YT157" s="1"/>
      <c r="YU157" s="1"/>
      <c r="YV157" s="1"/>
      <c r="YW157" s="1"/>
      <c r="YX157" s="1"/>
      <c r="YY157" s="1"/>
      <c r="YZ157" s="1"/>
      <c r="ZA157" s="1"/>
      <c r="ZB157" s="1"/>
      <c r="ZC157" s="1"/>
      <c r="ZD157" s="1"/>
      <c r="ZE157" s="1"/>
      <c r="ZF157" s="1"/>
      <c r="ZG157" s="1"/>
      <c r="ZH157" s="1"/>
      <c r="ZI157" s="1"/>
      <c r="ZJ157" s="1"/>
      <c r="ZK157" s="1"/>
      <c r="ZL157" s="1"/>
      <c r="ZM157" s="1"/>
      <c r="ZN157" s="1"/>
      <c r="ZO157" s="1"/>
      <c r="ZP157" s="1"/>
      <c r="ZQ157" s="1"/>
      <c r="ZR157" s="1"/>
      <c r="ZS157" s="1"/>
      <c r="ZT157" s="1"/>
      <c r="ZU157" s="1"/>
      <c r="ZV157" s="1"/>
      <c r="ZW157" s="1"/>
      <c r="ZX157" s="1"/>
      <c r="ZY157" s="1"/>
      <c r="ZZ157" s="1"/>
      <c r="AAA157" s="1"/>
      <c r="AAB157" s="1"/>
      <c r="AAC157" s="1"/>
      <c r="AAD157" s="1"/>
      <c r="AAE157" s="1"/>
      <c r="AAF157" s="1"/>
      <c r="AAG157" s="1"/>
      <c r="AAH157" s="1"/>
      <c r="AAI157" s="1"/>
      <c r="AAJ157" s="1"/>
      <c r="AAK157" s="1"/>
      <c r="AAL157" s="1"/>
      <c r="AAM157" s="1"/>
      <c r="AAN157" s="1"/>
      <c r="AAO157" s="1"/>
      <c r="AAP157" s="1"/>
      <c r="AAQ157" s="1"/>
      <c r="AAR157" s="1"/>
      <c r="AAS157" s="1"/>
      <c r="AAT157" s="1"/>
      <c r="AAU157" s="1"/>
      <c r="AAV157" s="1"/>
      <c r="AAW157" s="1"/>
      <c r="AAX157" s="1"/>
      <c r="AAY157" s="1"/>
      <c r="AAZ157" s="1"/>
      <c r="ABA157" s="1"/>
      <c r="ABB157" s="1"/>
      <c r="ABC157" s="1"/>
      <c r="ABD157" s="1"/>
      <c r="ABE157" s="1"/>
      <c r="ABF157" s="1"/>
      <c r="ABG157" s="1"/>
      <c r="ABH157" s="1"/>
      <c r="ABI157" s="1"/>
      <c r="ABJ157" s="1"/>
      <c r="ABK157" s="1"/>
      <c r="ABL157" s="1"/>
      <c r="ABM157" s="1"/>
      <c r="ABN157" s="1"/>
      <c r="ABO157" s="1"/>
      <c r="ABP157" s="1"/>
      <c r="ABQ157" s="1"/>
      <c r="ABR157" s="1"/>
      <c r="ABS157" s="1"/>
      <c r="ABT157" s="1"/>
      <c r="ABU157" s="1"/>
      <c r="ABV157" s="1"/>
      <c r="ABW157" s="1"/>
      <c r="ABX157" s="1"/>
      <c r="ABY157" s="1"/>
      <c r="ABZ157" s="1"/>
      <c r="ACA157" s="1"/>
      <c r="ACB157" s="1"/>
      <c r="ACC157" s="1"/>
      <c r="ACD157" s="1"/>
      <c r="ACE157" s="1"/>
      <c r="ACF157" s="1"/>
      <c r="ACG157" s="1"/>
      <c r="ACH157" s="1"/>
      <c r="ACI157" s="1"/>
      <c r="ACJ157" s="1"/>
      <c r="ACK157" s="1"/>
      <c r="ACL157" s="1"/>
      <c r="ACM157" s="1"/>
      <c r="ACN157" s="1"/>
      <c r="ACO157" s="1"/>
      <c r="ACP157" s="1"/>
      <c r="ACQ157" s="1"/>
      <c r="ACR157" s="1"/>
      <c r="ACS157" s="1"/>
      <c r="ACT157" s="1"/>
      <c r="ACU157" s="1"/>
      <c r="ACV157" s="1"/>
      <c r="ACW157" s="1"/>
      <c r="ACX157" s="1"/>
      <c r="ACY157" s="1"/>
      <c r="ACZ157" s="1"/>
      <c r="ADA157" s="1"/>
      <c r="ADB157" s="1"/>
      <c r="ADC157" s="1"/>
      <c r="ADD157" s="1"/>
      <c r="ADE157" s="1"/>
      <c r="ADF157" s="1"/>
      <c r="ADG157" s="1"/>
      <c r="ADH157" s="1"/>
      <c r="ADI157" s="1"/>
      <c r="ADJ157" s="1"/>
      <c r="ADK157" s="1"/>
      <c r="ADL157" s="1"/>
      <c r="ADM157" s="1"/>
      <c r="ADN157" s="1"/>
      <c r="ADO157" s="1"/>
      <c r="ADP157" s="1"/>
      <c r="ADQ157" s="1"/>
      <c r="ADR157" s="1"/>
      <c r="ADS157" s="1"/>
      <c r="ADT157" s="1"/>
      <c r="ADU157" s="1"/>
      <c r="ADV157" s="1"/>
      <c r="ADW157" s="1"/>
      <c r="ADX157" s="1"/>
      <c r="ADY157" s="1"/>
      <c r="ADZ157" s="1"/>
      <c r="AEA157" s="1"/>
      <c r="AEB157" s="1"/>
      <c r="AEC157" s="1"/>
      <c r="AED157" s="1"/>
      <c r="AEE157" s="1"/>
      <c r="AEF157" s="1"/>
      <c r="AEG157" s="1"/>
      <c r="AEH157" s="1"/>
      <c r="AEI157" s="1"/>
      <c r="AEJ157" s="1"/>
      <c r="AEK157" s="1"/>
      <c r="AEL157" s="1"/>
      <c r="AEM157" s="1"/>
      <c r="AEN157" s="1"/>
      <c r="AEO157" s="1"/>
      <c r="AEP157" s="1"/>
      <c r="AEQ157" s="1"/>
      <c r="AER157" s="1"/>
      <c r="AES157" s="1"/>
      <c r="AET157" s="1"/>
      <c r="AEU157" s="1"/>
      <c r="AEV157" s="1"/>
      <c r="AEW157" s="1"/>
      <c r="AEX157" s="1"/>
      <c r="AEY157" s="1"/>
      <c r="AEZ157" s="1"/>
      <c r="AFA157" s="1"/>
      <c r="AFB157" s="1"/>
      <c r="AFC157" s="1"/>
      <c r="AFD157" s="1"/>
      <c r="AFE157" s="1"/>
      <c r="AFF157" s="1"/>
      <c r="AFG157" s="1"/>
      <c r="AFH157" s="1"/>
      <c r="AFI157" s="1"/>
      <c r="AFJ157" s="1"/>
      <c r="AFK157" s="1"/>
      <c r="AFL157" s="1"/>
      <c r="AFM157" s="1"/>
      <c r="AFN157" s="1"/>
      <c r="AFO157" s="1"/>
      <c r="AFP157" s="1"/>
      <c r="AFQ157" s="1"/>
      <c r="AFR157" s="1"/>
      <c r="AFS157" s="1"/>
      <c r="AFT157" s="1"/>
      <c r="AFU157" s="1"/>
      <c r="AFV157" s="1"/>
      <c r="AFW157" s="1"/>
      <c r="AFX157" s="1"/>
      <c r="AFY157" s="1"/>
      <c r="AFZ157" s="1"/>
      <c r="AGA157" s="1"/>
      <c r="AGB157" s="1"/>
      <c r="AGC157" s="1"/>
      <c r="AGD157" s="1"/>
      <c r="AGE157" s="1"/>
      <c r="AGF157" s="1"/>
      <c r="AGG157" s="1"/>
      <c r="AGH157" s="1"/>
      <c r="AGI157" s="1"/>
      <c r="AGJ157" s="1"/>
      <c r="AGK157" s="1"/>
      <c r="AGL157" s="1"/>
      <c r="AGM157" s="1"/>
      <c r="AGN157" s="1"/>
      <c r="AGO157" s="1"/>
      <c r="AGP157" s="1"/>
      <c r="AGQ157" s="1"/>
      <c r="AGR157" s="1"/>
      <c r="AGS157" s="1"/>
      <c r="AGT157" s="1"/>
      <c r="AGU157" s="1"/>
      <c r="AGV157" s="1"/>
      <c r="AGW157" s="1"/>
      <c r="AGX157" s="1"/>
      <c r="AGY157" s="1"/>
      <c r="AGZ157" s="1"/>
      <c r="AHA157" s="1"/>
      <c r="AHB157" s="1"/>
      <c r="AHC157" s="1"/>
      <c r="AHD157" s="1"/>
      <c r="AHE157" s="1"/>
      <c r="AHF157" s="1"/>
      <c r="AHG157" s="1"/>
      <c r="AHH157" s="1"/>
      <c r="AHI157" s="1"/>
      <c r="AHJ157" s="1"/>
      <c r="AHK157" s="1"/>
      <c r="AHL157" s="1"/>
      <c r="AHM157" s="1"/>
      <c r="AHN157" s="1"/>
      <c r="AHO157" s="1"/>
      <c r="AHP157" s="1"/>
      <c r="AHQ157" s="1"/>
      <c r="AHR157" s="1"/>
      <c r="AHS157" s="1"/>
      <c r="AHT157" s="1"/>
      <c r="AHU157" s="1"/>
      <c r="AHV157" s="1"/>
      <c r="AHW157" s="1"/>
      <c r="AHX157" s="1"/>
      <c r="AHY157" s="1"/>
      <c r="AHZ157" s="1"/>
      <c r="AIA157" s="1"/>
      <c r="AIB157" s="1"/>
      <c r="AIC157" s="1"/>
      <c r="AID157" s="1"/>
      <c r="AIE157" s="1"/>
      <c r="AIF157" s="1"/>
      <c r="AIG157" s="1"/>
      <c r="AIH157" s="1"/>
      <c r="AII157" s="1"/>
      <c r="AIJ157" s="1"/>
      <c r="AIK157" s="1"/>
      <c r="AIL157" s="1"/>
      <c r="AIM157" s="1"/>
      <c r="AIN157" s="1"/>
      <c r="AIO157" s="1"/>
      <c r="AIP157" s="1"/>
      <c r="AIQ157" s="1"/>
      <c r="AIR157" s="1"/>
      <c r="AIS157" s="1"/>
      <c r="AIT157" s="1"/>
      <c r="AIU157" s="1"/>
      <c r="AIV157" s="1"/>
      <c r="AIW157" s="1"/>
      <c r="AIX157" s="1"/>
      <c r="AIY157" s="1"/>
      <c r="AIZ157" s="1"/>
      <c r="AJA157" s="1"/>
      <c r="AJB157" s="1"/>
      <c r="AJC157" s="1"/>
      <c r="AJD157" s="1"/>
      <c r="AJE157" s="1"/>
      <c r="AJF157" s="1"/>
      <c r="AJG157" s="1"/>
      <c r="AJH157" s="1"/>
      <c r="AJI157" s="1"/>
      <c r="AJJ157" s="1"/>
      <c r="AJK157" s="1"/>
      <c r="AJL157" s="1"/>
      <c r="AJM157" s="1"/>
      <c r="AJN157" s="1"/>
      <c r="AJO157" s="1"/>
      <c r="AJP157" s="1"/>
      <c r="AJQ157" s="1"/>
      <c r="AJR157" s="1"/>
      <c r="AJS157" s="1"/>
      <c r="AJT157" s="1"/>
      <c r="AJU157" s="1"/>
      <c r="AJV157" s="1"/>
      <c r="AJW157" s="1"/>
      <c r="AJX157" s="1"/>
      <c r="AJY157" s="1"/>
      <c r="AJZ157" s="1"/>
      <c r="AKA157" s="1"/>
      <c r="AKB157" s="1"/>
      <c r="AKC157" s="1"/>
      <c r="AKD157" s="1"/>
      <c r="AKE157" s="1"/>
      <c r="AKF157" s="1"/>
      <c r="AKG157" s="1"/>
      <c r="AKH157" s="1"/>
      <c r="AKI157" s="1"/>
      <c r="AKJ157" s="1"/>
      <c r="AKK157" s="1"/>
      <c r="AKL157" s="1"/>
      <c r="AKM157" s="1"/>
      <c r="AKN157" s="1"/>
      <c r="AKO157" s="1"/>
      <c r="AKP157" s="1"/>
      <c r="AKQ157" s="1"/>
      <c r="AKR157" s="1"/>
      <c r="AKS157" s="1"/>
      <c r="AKT157" s="1"/>
      <c r="AKU157" s="1"/>
      <c r="AKV157" s="1"/>
      <c r="AKW157" s="1"/>
      <c r="AKX157" s="1"/>
      <c r="AKY157" s="1"/>
      <c r="AKZ157" s="1"/>
      <c r="ALA157" s="1"/>
      <c r="ALB157" s="1"/>
      <c r="ALC157" s="1"/>
      <c r="ALD157" s="1"/>
      <c r="ALE157" s="1"/>
      <c r="ALF157" s="1"/>
      <c r="ALG157" s="1"/>
      <c r="ALH157" s="1"/>
      <c r="ALI157" s="1"/>
      <c r="ALJ157" s="1"/>
      <c r="ALK157" s="1"/>
      <c r="ALL157" s="1"/>
      <c r="ALM157" s="1"/>
      <c r="ALN157" s="1"/>
      <c r="ALO157" s="1"/>
      <c r="ALP157" s="1"/>
      <c r="ALQ157" s="1"/>
      <c r="ALR157" s="1"/>
      <c r="ALS157" s="1"/>
      <c r="ALT157" s="1"/>
      <c r="ALU157" s="1"/>
      <c r="ALV157" s="1"/>
      <c r="ALW157" s="1"/>
      <c r="ALX157" s="1"/>
      <c r="ALY157" s="1"/>
      <c r="ALZ157" s="1"/>
      <c r="AMA157" s="1"/>
      <c r="AMB157" s="1"/>
      <c r="AMC157" s="1"/>
      <c r="AMD157" s="1"/>
      <c r="AME157" s="1"/>
      <c r="AMF157" s="1"/>
      <c r="AMG157" s="1"/>
      <c r="AMH157" s="1"/>
      <c r="AMI157" s="1"/>
      <c r="AMJ157" s="1"/>
    </row>
    <row r="158" customFormat="false" ht="10.5" hidden="false" customHeight="true" outlineLevel="0" collapsed="false">
      <c r="A158" s="169"/>
      <c r="B158" s="169"/>
      <c r="C158" s="169"/>
      <c r="D158" s="169"/>
      <c r="E158" s="169"/>
      <c r="F158" s="169"/>
      <c r="G158" s="169"/>
      <c r="H158" s="169"/>
      <c r="I158" s="169"/>
      <c r="J158" s="169"/>
      <c r="K158" s="169"/>
      <c r="L158" s="169"/>
      <c r="M158" s="169"/>
      <c r="N158" s="19"/>
      <c r="O158" s="19"/>
      <c r="P158" s="19"/>
      <c r="Q158" s="19"/>
      <c r="R158" s="19"/>
      <c r="S158" s="185"/>
      <c r="T158" s="185"/>
      <c r="U158" s="185"/>
      <c r="V158" s="185"/>
      <c r="W158" s="185"/>
      <c r="X158" s="218"/>
      <c r="Y158" s="218"/>
      <c r="Z158" s="218"/>
      <c r="AA158" s="218"/>
      <c r="AB158" s="218"/>
      <c r="AC158" s="67"/>
      <c r="AD158" s="67"/>
      <c r="AE158" s="67"/>
      <c r="AF158" s="67"/>
      <c r="AG158" s="67"/>
      <c r="AH158" s="140" t="n">
        <f aca="false">S158*X158*AC158</f>
        <v>0</v>
      </c>
      <c r="AI158" s="140"/>
      <c r="AJ158" s="140"/>
      <c r="AK158" s="140"/>
      <c r="AL158" s="140"/>
      <c r="AM158" s="140"/>
      <c r="AN158" s="140"/>
      <c r="AO158" s="140"/>
      <c r="BE158" s="1"/>
      <c r="BF158" s="1"/>
      <c r="BG158" s="1"/>
      <c r="BH158" s="1"/>
      <c r="BI158" s="1"/>
      <c r="BJ158" s="1"/>
      <c r="BK158" s="1"/>
      <c r="BL158" s="1"/>
      <c r="BM158" s="1"/>
      <c r="BN158" s="1"/>
      <c r="BO158" s="1"/>
      <c r="BP158" s="1"/>
      <c r="BQ158" s="1"/>
      <c r="BR158" s="1"/>
      <c r="BS158" s="1"/>
      <c r="BT158" s="1"/>
      <c r="BU158" s="1"/>
      <c r="BV158" s="1"/>
      <c r="BW158" s="1"/>
      <c r="BX158" s="1"/>
      <c r="BY158" s="1"/>
      <c r="BZ158" s="1"/>
      <c r="CA158" s="1"/>
      <c r="CB158" s="1"/>
      <c r="CC158" s="1"/>
      <c r="CD158" s="1"/>
      <c r="CE158" s="1"/>
      <c r="CF158" s="1"/>
      <c r="CG158" s="1"/>
      <c r="CH158" s="1"/>
      <c r="CI158" s="1"/>
      <c r="CJ158" s="1"/>
      <c r="CK158" s="1"/>
      <c r="CL158" s="1"/>
      <c r="CM158" s="1"/>
      <c r="CN158" s="1"/>
      <c r="CO158" s="1"/>
      <c r="CP158" s="1"/>
      <c r="CQ158" s="1"/>
      <c r="CR158" s="1"/>
      <c r="CS158" s="1"/>
      <c r="CT158" s="1"/>
      <c r="CU158" s="1"/>
      <c r="CV158" s="1"/>
      <c r="CW158" s="1"/>
      <c r="CX158" s="1"/>
      <c r="CY158" s="1"/>
      <c r="CZ158" s="1"/>
      <c r="DA158" s="1"/>
      <c r="DB158" s="1"/>
      <c r="DC158" s="1"/>
      <c r="DD158" s="1"/>
      <c r="DE158" s="1"/>
      <c r="DF158" s="1"/>
      <c r="DG158" s="1"/>
      <c r="DH158" s="1"/>
      <c r="DI158" s="1"/>
      <c r="DJ158" s="1"/>
      <c r="DK158" s="1"/>
      <c r="DL158" s="1"/>
      <c r="DM158" s="1"/>
      <c r="DN158" s="1"/>
      <c r="DO158" s="1"/>
      <c r="DP158" s="1"/>
      <c r="DQ158" s="1"/>
      <c r="DR158" s="1"/>
      <c r="DS158" s="1"/>
      <c r="DT158" s="1"/>
      <c r="DU158" s="1"/>
      <c r="DV158" s="1"/>
      <c r="DW158" s="1"/>
      <c r="DX158" s="1"/>
      <c r="DY158" s="1"/>
      <c r="DZ158" s="1"/>
      <c r="EA158" s="1"/>
      <c r="EB158" s="1"/>
      <c r="EC158" s="1"/>
      <c r="ED158" s="1"/>
      <c r="EE158" s="1"/>
      <c r="EF158" s="1"/>
      <c r="EG158" s="1"/>
      <c r="EH158" s="1"/>
      <c r="EI158" s="1"/>
      <c r="EJ158" s="1"/>
      <c r="EK158" s="1"/>
      <c r="EL158" s="1"/>
      <c r="EM158" s="1"/>
      <c r="EN158" s="1"/>
      <c r="EO158" s="1"/>
      <c r="EP158" s="1"/>
      <c r="EQ158" s="1"/>
      <c r="ER158" s="1"/>
      <c r="ES158" s="1"/>
      <c r="ET158" s="1"/>
      <c r="EU158" s="1"/>
      <c r="EV158" s="1"/>
      <c r="EW158" s="1"/>
      <c r="EX158" s="1"/>
      <c r="EY158" s="1"/>
      <c r="EZ158" s="1"/>
      <c r="FA158" s="1"/>
      <c r="FB158" s="1"/>
      <c r="FC158" s="1"/>
      <c r="FD158" s="1"/>
      <c r="FE158" s="1"/>
      <c r="FF158" s="1"/>
      <c r="FG158" s="1"/>
      <c r="FH158" s="1"/>
      <c r="FI158" s="1"/>
      <c r="FJ158" s="1"/>
      <c r="FK158" s="1"/>
      <c r="FL158" s="1"/>
      <c r="FM158" s="1"/>
      <c r="FN158" s="1"/>
      <c r="FO158" s="1"/>
      <c r="FP158" s="1"/>
      <c r="FQ158" s="1"/>
      <c r="FR158" s="1"/>
      <c r="FS158" s="1"/>
      <c r="FT158" s="1"/>
      <c r="FU158" s="1"/>
      <c r="FV158" s="1"/>
      <c r="FW158" s="1"/>
      <c r="FX158" s="1"/>
      <c r="FY158" s="1"/>
      <c r="FZ158" s="1"/>
      <c r="GA158" s="1"/>
      <c r="GB158" s="1"/>
      <c r="GC158" s="1"/>
      <c r="GD158" s="1"/>
      <c r="GE158" s="1"/>
      <c r="GF158" s="1"/>
      <c r="GG158" s="1"/>
      <c r="GH158" s="1"/>
      <c r="GI158" s="1"/>
      <c r="GJ158" s="1"/>
      <c r="GK158" s="1"/>
      <c r="GL158" s="1"/>
      <c r="GM158" s="1"/>
      <c r="GN158" s="1"/>
      <c r="GO158" s="1"/>
      <c r="GP158" s="1"/>
      <c r="GQ158" s="1"/>
      <c r="GR158" s="1"/>
      <c r="GS158" s="1"/>
      <c r="GT158" s="1"/>
      <c r="GU158" s="1"/>
      <c r="GV158" s="1"/>
      <c r="GW158" s="1"/>
      <c r="GX158" s="1"/>
      <c r="GY158" s="1"/>
      <c r="GZ158" s="1"/>
      <c r="HA158" s="1"/>
      <c r="HB158" s="1"/>
      <c r="HC158" s="1"/>
      <c r="HD158" s="1"/>
      <c r="HE158" s="1"/>
      <c r="HF158" s="1"/>
      <c r="HG158" s="1"/>
      <c r="HH158" s="1"/>
      <c r="HI158" s="1"/>
      <c r="HJ158" s="1"/>
      <c r="HK158" s="1"/>
      <c r="HL158" s="1"/>
      <c r="HM158" s="1"/>
      <c r="HN158" s="1"/>
      <c r="HO158" s="1"/>
      <c r="HP158" s="1"/>
      <c r="HQ158" s="1"/>
      <c r="HR158" s="1"/>
      <c r="HS158" s="1"/>
      <c r="HT158" s="1"/>
      <c r="HU158" s="1"/>
      <c r="HV158" s="1"/>
      <c r="HW158" s="1"/>
      <c r="HX158" s="1"/>
      <c r="HY158" s="1"/>
      <c r="HZ158" s="1"/>
      <c r="IA158" s="1"/>
      <c r="IB158" s="1"/>
      <c r="IC158" s="1"/>
      <c r="ID158" s="1"/>
      <c r="IE158" s="1"/>
      <c r="IF158" s="1"/>
      <c r="IG158" s="1"/>
      <c r="IH158" s="1"/>
      <c r="II158" s="1"/>
      <c r="IJ158" s="1"/>
      <c r="IK158" s="1"/>
      <c r="IL158" s="1"/>
      <c r="IM158" s="1"/>
      <c r="IN158" s="1"/>
      <c r="IO158" s="1"/>
      <c r="IP158" s="1"/>
      <c r="IQ158" s="1"/>
      <c r="IR158" s="1"/>
      <c r="IS158" s="1"/>
      <c r="IT158" s="1"/>
      <c r="IU158" s="1"/>
      <c r="IV158" s="1"/>
      <c r="IW158" s="1"/>
      <c r="IX158" s="1"/>
      <c r="IY158" s="1"/>
      <c r="IZ158" s="1"/>
      <c r="JA158" s="1"/>
      <c r="JB158" s="1"/>
      <c r="JC158" s="1"/>
      <c r="JD158" s="1"/>
      <c r="JE158" s="1"/>
      <c r="JF158" s="1"/>
      <c r="JG158" s="1"/>
      <c r="JH158" s="1"/>
      <c r="JI158" s="1"/>
      <c r="JJ158" s="1"/>
      <c r="JK158" s="1"/>
      <c r="JL158" s="1"/>
      <c r="JM158" s="1"/>
      <c r="JN158" s="1"/>
      <c r="JO158" s="1"/>
      <c r="JP158" s="1"/>
      <c r="JQ158" s="1"/>
      <c r="JR158" s="1"/>
      <c r="JS158" s="1"/>
      <c r="JT158" s="1"/>
      <c r="JU158" s="1"/>
      <c r="JV158" s="1"/>
      <c r="JW158" s="1"/>
      <c r="JX158" s="1"/>
      <c r="JY158" s="1"/>
      <c r="JZ158" s="1"/>
      <c r="KA158" s="1"/>
      <c r="KB158" s="1"/>
      <c r="KC158" s="1"/>
      <c r="KD158" s="1"/>
      <c r="KE158" s="1"/>
      <c r="KF158" s="1"/>
      <c r="KG158" s="1"/>
      <c r="KH158" s="1"/>
      <c r="KI158" s="1"/>
      <c r="KJ158" s="1"/>
      <c r="KK158" s="1"/>
      <c r="KL158" s="1"/>
      <c r="KM158" s="1"/>
      <c r="KN158" s="1"/>
      <c r="KO158" s="1"/>
      <c r="KP158" s="1"/>
      <c r="KQ158" s="1"/>
      <c r="KR158" s="1"/>
      <c r="KS158" s="1"/>
      <c r="KT158" s="1"/>
      <c r="KU158" s="1"/>
      <c r="KV158" s="1"/>
      <c r="KW158" s="1"/>
      <c r="KX158" s="1"/>
      <c r="KY158" s="1"/>
      <c r="KZ158" s="1"/>
      <c r="LA158" s="1"/>
      <c r="LB158" s="1"/>
      <c r="LC158" s="1"/>
      <c r="LD158" s="1"/>
      <c r="LE158" s="1"/>
      <c r="LF158" s="1"/>
      <c r="LG158" s="1"/>
      <c r="LH158" s="1"/>
      <c r="LI158" s="1"/>
      <c r="LJ158" s="1"/>
      <c r="LK158" s="1"/>
      <c r="LL158" s="1"/>
      <c r="LM158" s="1"/>
      <c r="LN158" s="1"/>
      <c r="LO158" s="1"/>
      <c r="LP158" s="1"/>
      <c r="LQ158" s="1"/>
      <c r="LR158" s="1"/>
      <c r="LS158" s="1"/>
      <c r="LT158" s="1"/>
      <c r="LU158" s="1"/>
      <c r="LV158" s="1"/>
      <c r="LW158" s="1"/>
      <c r="LX158" s="1"/>
      <c r="LY158" s="1"/>
      <c r="LZ158" s="1"/>
      <c r="MA158" s="1"/>
      <c r="MB158" s="1"/>
      <c r="MC158" s="1"/>
      <c r="MD158" s="1"/>
      <c r="ME158" s="1"/>
      <c r="MF158" s="1"/>
      <c r="MG158" s="1"/>
      <c r="MH158" s="1"/>
      <c r="MI158" s="1"/>
      <c r="MJ158" s="1"/>
      <c r="MK158" s="1"/>
      <c r="ML158" s="1"/>
      <c r="MM158" s="1"/>
      <c r="MN158" s="1"/>
      <c r="MO158" s="1"/>
      <c r="MP158" s="1"/>
      <c r="MQ158" s="1"/>
      <c r="MR158" s="1"/>
      <c r="MS158" s="1"/>
      <c r="MT158" s="1"/>
      <c r="MU158" s="1"/>
      <c r="MV158" s="1"/>
      <c r="MW158" s="1"/>
      <c r="MX158" s="1"/>
      <c r="MY158" s="1"/>
      <c r="MZ158" s="1"/>
      <c r="NA158" s="1"/>
      <c r="NB158" s="1"/>
      <c r="NC158" s="1"/>
      <c r="ND158" s="1"/>
      <c r="NE158" s="1"/>
      <c r="NF158" s="1"/>
      <c r="NG158" s="1"/>
      <c r="NH158" s="1"/>
      <c r="NI158" s="1"/>
      <c r="NJ158" s="1"/>
      <c r="NK158" s="1"/>
      <c r="NL158" s="1"/>
      <c r="NM158" s="1"/>
      <c r="NN158" s="1"/>
      <c r="NO158" s="1"/>
      <c r="NP158" s="1"/>
      <c r="NQ158" s="1"/>
      <c r="NR158" s="1"/>
      <c r="NS158" s="1"/>
      <c r="NT158" s="1"/>
      <c r="NU158" s="1"/>
      <c r="NV158" s="1"/>
      <c r="NW158" s="1"/>
      <c r="NX158" s="1"/>
      <c r="NY158" s="1"/>
      <c r="NZ158" s="1"/>
      <c r="OA158" s="1"/>
      <c r="OB158" s="1"/>
      <c r="OC158" s="1"/>
      <c r="OD158" s="1"/>
      <c r="OE158" s="1"/>
      <c r="OF158" s="1"/>
      <c r="OG158" s="1"/>
      <c r="OH158" s="1"/>
      <c r="OI158" s="1"/>
      <c r="OJ158" s="1"/>
      <c r="OK158" s="1"/>
      <c r="OL158" s="1"/>
      <c r="OM158" s="1"/>
      <c r="ON158" s="1"/>
      <c r="OO158" s="1"/>
      <c r="OP158" s="1"/>
      <c r="OQ158" s="1"/>
      <c r="OR158" s="1"/>
      <c r="OS158" s="1"/>
      <c r="OT158" s="1"/>
      <c r="OU158" s="1"/>
      <c r="OV158" s="1"/>
      <c r="OW158" s="1"/>
      <c r="OX158" s="1"/>
      <c r="OY158" s="1"/>
      <c r="OZ158" s="1"/>
      <c r="PA158" s="1"/>
      <c r="PB158" s="1"/>
      <c r="PC158" s="1"/>
      <c r="PD158" s="1"/>
      <c r="PE158" s="1"/>
      <c r="PF158" s="1"/>
      <c r="PG158" s="1"/>
      <c r="PH158" s="1"/>
      <c r="PI158" s="1"/>
      <c r="PJ158" s="1"/>
      <c r="PK158" s="1"/>
      <c r="PL158" s="1"/>
      <c r="PM158" s="1"/>
      <c r="PN158" s="1"/>
      <c r="PO158" s="1"/>
      <c r="PP158" s="1"/>
      <c r="PQ158" s="1"/>
      <c r="PR158" s="1"/>
      <c r="PS158" s="1"/>
      <c r="PT158" s="1"/>
      <c r="PU158" s="1"/>
      <c r="PV158" s="1"/>
      <c r="PW158" s="1"/>
      <c r="PX158" s="1"/>
      <c r="PY158" s="1"/>
      <c r="PZ158" s="1"/>
      <c r="QA158" s="1"/>
      <c r="QB158" s="1"/>
      <c r="QC158" s="1"/>
      <c r="QD158" s="1"/>
      <c r="QE158" s="1"/>
      <c r="QF158" s="1"/>
      <c r="QG158" s="1"/>
      <c r="QH158" s="1"/>
      <c r="QI158" s="1"/>
      <c r="QJ158" s="1"/>
      <c r="QK158" s="1"/>
      <c r="QL158" s="1"/>
      <c r="QM158" s="1"/>
      <c r="QN158" s="1"/>
      <c r="QO158" s="1"/>
      <c r="QP158" s="1"/>
      <c r="QQ158" s="1"/>
      <c r="QR158" s="1"/>
      <c r="QS158" s="1"/>
      <c r="QT158" s="1"/>
      <c r="QU158" s="1"/>
      <c r="QV158" s="1"/>
      <c r="QW158" s="1"/>
      <c r="QX158" s="1"/>
      <c r="QY158" s="1"/>
      <c r="QZ158" s="1"/>
      <c r="RA158" s="1"/>
      <c r="RB158" s="1"/>
      <c r="RC158" s="1"/>
      <c r="RD158" s="1"/>
      <c r="RE158" s="1"/>
      <c r="RF158" s="1"/>
      <c r="RG158" s="1"/>
      <c r="RH158" s="1"/>
      <c r="RI158" s="1"/>
      <c r="RJ158" s="1"/>
      <c r="RK158" s="1"/>
      <c r="RL158" s="1"/>
      <c r="RM158" s="1"/>
      <c r="RN158" s="1"/>
      <c r="RO158" s="1"/>
      <c r="RP158" s="1"/>
      <c r="RQ158" s="1"/>
      <c r="RR158" s="1"/>
      <c r="RS158" s="1"/>
      <c r="RT158" s="1"/>
      <c r="RU158" s="1"/>
      <c r="RV158" s="1"/>
      <c r="RW158" s="1"/>
      <c r="RX158" s="1"/>
      <c r="RY158" s="1"/>
      <c r="RZ158" s="1"/>
      <c r="SA158" s="1"/>
      <c r="SB158" s="1"/>
      <c r="SC158" s="1"/>
      <c r="SD158" s="1"/>
      <c r="SE158" s="1"/>
      <c r="SF158" s="1"/>
      <c r="SG158" s="1"/>
      <c r="SH158" s="1"/>
      <c r="SI158" s="1"/>
      <c r="SJ158" s="1"/>
      <c r="SK158" s="1"/>
      <c r="SL158" s="1"/>
      <c r="SM158" s="1"/>
      <c r="SN158" s="1"/>
      <c r="SO158" s="1"/>
      <c r="SP158" s="1"/>
      <c r="SQ158" s="1"/>
      <c r="SR158" s="1"/>
      <c r="SS158" s="1"/>
      <c r="ST158" s="1"/>
      <c r="SU158" s="1"/>
      <c r="SV158" s="1"/>
      <c r="SW158" s="1"/>
      <c r="SX158" s="1"/>
      <c r="SY158" s="1"/>
      <c r="SZ158" s="1"/>
      <c r="TA158" s="1"/>
      <c r="TB158" s="1"/>
      <c r="TC158" s="1"/>
      <c r="TD158" s="1"/>
      <c r="TE158" s="1"/>
      <c r="TF158" s="1"/>
      <c r="TG158" s="1"/>
      <c r="TH158" s="1"/>
      <c r="TI158" s="1"/>
      <c r="TJ158" s="1"/>
      <c r="TK158" s="1"/>
      <c r="TL158" s="1"/>
      <c r="TM158" s="1"/>
      <c r="TN158" s="1"/>
      <c r="TO158" s="1"/>
      <c r="TP158" s="1"/>
      <c r="TQ158" s="1"/>
      <c r="TR158" s="1"/>
      <c r="TS158" s="1"/>
      <c r="TT158" s="1"/>
      <c r="TU158" s="1"/>
      <c r="TV158" s="1"/>
      <c r="TW158" s="1"/>
      <c r="TX158" s="1"/>
      <c r="TY158" s="1"/>
      <c r="TZ158" s="1"/>
      <c r="UA158" s="1"/>
      <c r="UB158" s="1"/>
      <c r="UC158" s="1"/>
      <c r="UD158" s="1"/>
      <c r="UE158" s="1"/>
      <c r="UF158" s="1"/>
      <c r="UG158" s="1"/>
      <c r="UH158" s="1"/>
      <c r="UI158" s="1"/>
      <c r="UJ158" s="1"/>
      <c r="UK158" s="1"/>
      <c r="UL158" s="1"/>
      <c r="UM158" s="1"/>
      <c r="UN158" s="1"/>
      <c r="UO158" s="1"/>
      <c r="UP158" s="1"/>
      <c r="UQ158" s="1"/>
      <c r="UR158" s="1"/>
      <c r="US158" s="1"/>
      <c r="UT158" s="1"/>
      <c r="UU158" s="1"/>
      <c r="UV158" s="1"/>
      <c r="UW158" s="1"/>
      <c r="UX158" s="1"/>
      <c r="UY158" s="1"/>
      <c r="UZ158" s="1"/>
      <c r="VA158" s="1"/>
      <c r="VB158" s="1"/>
      <c r="VC158" s="1"/>
      <c r="VD158" s="1"/>
      <c r="VE158" s="1"/>
      <c r="VF158" s="1"/>
      <c r="VG158" s="1"/>
      <c r="VH158" s="1"/>
      <c r="VI158" s="1"/>
      <c r="VJ158" s="1"/>
      <c r="VK158" s="1"/>
      <c r="VL158" s="1"/>
      <c r="VM158" s="1"/>
      <c r="VN158" s="1"/>
      <c r="VO158" s="1"/>
      <c r="VP158" s="1"/>
      <c r="VQ158" s="1"/>
      <c r="VR158" s="1"/>
      <c r="VS158" s="1"/>
      <c r="VT158" s="1"/>
      <c r="VU158" s="1"/>
      <c r="VV158" s="1"/>
      <c r="VW158" s="1"/>
      <c r="VX158" s="1"/>
      <c r="VY158" s="1"/>
      <c r="VZ158" s="1"/>
      <c r="WA158" s="1"/>
      <c r="WB158" s="1"/>
      <c r="WC158" s="1"/>
      <c r="WD158" s="1"/>
      <c r="WE158" s="1"/>
      <c r="WF158" s="1"/>
      <c r="WG158" s="1"/>
      <c r="WH158" s="1"/>
      <c r="WI158" s="1"/>
      <c r="WJ158" s="1"/>
      <c r="WK158" s="1"/>
      <c r="WL158" s="1"/>
      <c r="WM158" s="1"/>
      <c r="WN158" s="1"/>
      <c r="WO158" s="1"/>
      <c r="WP158" s="1"/>
      <c r="WQ158" s="1"/>
      <c r="WR158" s="1"/>
      <c r="WS158" s="1"/>
      <c r="WT158" s="1"/>
      <c r="WU158" s="1"/>
      <c r="WV158" s="1"/>
      <c r="WW158" s="1"/>
      <c r="WX158" s="1"/>
      <c r="WY158" s="1"/>
      <c r="WZ158" s="1"/>
      <c r="XA158" s="1"/>
      <c r="XB158" s="1"/>
      <c r="XC158" s="1"/>
      <c r="XD158" s="1"/>
      <c r="XE158" s="1"/>
      <c r="XF158" s="1"/>
      <c r="XG158" s="1"/>
      <c r="XH158" s="1"/>
      <c r="XI158" s="1"/>
      <c r="XJ158" s="1"/>
      <c r="XK158" s="1"/>
      <c r="XL158" s="1"/>
      <c r="XM158" s="1"/>
      <c r="XN158" s="1"/>
      <c r="XO158" s="1"/>
      <c r="XP158" s="1"/>
      <c r="XQ158" s="1"/>
      <c r="XR158" s="1"/>
      <c r="XS158" s="1"/>
      <c r="XT158" s="1"/>
      <c r="XU158" s="1"/>
      <c r="XV158" s="1"/>
      <c r="XW158" s="1"/>
      <c r="XX158" s="1"/>
      <c r="XY158" s="1"/>
      <c r="XZ158" s="1"/>
      <c r="YA158" s="1"/>
      <c r="YB158" s="1"/>
      <c r="YC158" s="1"/>
      <c r="YD158" s="1"/>
      <c r="YE158" s="1"/>
      <c r="YF158" s="1"/>
      <c r="YG158" s="1"/>
      <c r="YH158" s="1"/>
      <c r="YI158" s="1"/>
      <c r="YJ158" s="1"/>
      <c r="YK158" s="1"/>
      <c r="YL158" s="1"/>
      <c r="YM158" s="1"/>
      <c r="YN158" s="1"/>
      <c r="YO158" s="1"/>
      <c r="YP158" s="1"/>
      <c r="YQ158" s="1"/>
      <c r="YR158" s="1"/>
      <c r="YS158" s="1"/>
      <c r="YT158" s="1"/>
      <c r="YU158" s="1"/>
      <c r="YV158" s="1"/>
      <c r="YW158" s="1"/>
      <c r="YX158" s="1"/>
      <c r="YY158" s="1"/>
      <c r="YZ158" s="1"/>
      <c r="ZA158" s="1"/>
      <c r="ZB158" s="1"/>
      <c r="ZC158" s="1"/>
      <c r="ZD158" s="1"/>
      <c r="ZE158" s="1"/>
      <c r="ZF158" s="1"/>
      <c r="ZG158" s="1"/>
      <c r="ZH158" s="1"/>
      <c r="ZI158" s="1"/>
      <c r="ZJ158" s="1"/>
      <c r="ZK158" s="1"/>
      <c r="ZL158" s="1"/>
      <c r="ZM158" s="1"/>
      <c r="ZN158" s="1"/>
      <c r="ZO158" s="1"/>
      <c r="ZP158" s="1"/>
      <c r="ZQ158" s="1"/>
      <c r="ZR158" s="1"/>
      <c r="ZS158" s="1"/>
      <c r="ZT158" s="1"/>
      <c r="ZU158" s="1"/>
      <c r="ZV158" s="1"/>
      <c r="ZW158" s="1"/>
      <c r="ZX158" s="1"/>
      <c r="ZY158" s="1"/>
      <c r="ZZ158" s="1"/>
      <c r="AAA158" s="1"/>
      <c r="AAB158" s="1"/>
      <c r="AAC158" s="1"/>
      <c r="AAD158" s="1"/>
      <c r="AAE158" s="1"/>
      <c r="AAF158" s="1"/>
      <c r="AAG158" s="1"/>
      <c r="AAH158" s="1"/>
      <c r="AAI158" s="1"/>
      <c r="AAJ158" s="1"/>
      <c r="AAK158" s="1"/>
      <c r="AAL158" s="1"/>
      <c r="AAM158" s="1"/>
      <c r="AAN158" s="1"/>
      <c r="AAO158" s="1"/>
      <c r="AAP158" s="1"/>
      <c r="AAQ158" s="1"/>
      <c r="AAR158" s="1"/>
      <c r="AAS158" s="1"/>
      <c r="AAT158" s="1"/>
      <c r="AAU158" s="1"/>
      <c r="AAV158" s="1"/>
      <c r="AAW158" s="1"/>
      <c r="AAX158" s="1"/>
      <c r="AAY158" s="1"/>
      <c r="AAZ158" s="1"/>
      <c r="ABA158" s="1"/>
      <c r="ABB158" s="1"/>
      <c r="ABC158" s="1"/>
      <c r="ABD158" s="1"/>
      <c r="ABE158" s="1"/>
      <c r="ABF158" s="1"/>
      <c r="ABG158" s="1"/>
      <c r="ABH158" s="1"/>
      <c r="ABI158" s="1"/>
      <c r="ABJ158" s="1"/>
      <c r="ABK158" s="1"/>
      <c r="ABL158" s="1"/>
      <c r="ABM158" s="1"/>
      <c r="ABN158" s="1"/>
      <c r="ABO158" s="1"/>
      <c r="ABP158" s="1"/>
      <c r="ABQ158" s="1"/>
      <c r="ABR158" s="1"/>
      <c r="ABS158" s="1"/>
      <c r="ABT158" s="1"/>
      <c r="ABU158" s="1"/>
      <c r="ABV158" s="1"/>
      <c r="ABW158" s="1"/>
      <c r="ABX158" s="1"/>
      <c r="ABY158" s="1"/>
      <c r="ABZ158" s="1"/>
      <c r="ACA158" s="1"/>
      <c r="ACB158" s="1"/>
      <c r="ACC158" s="1"/>
      <c r="ACD158" s="1"/>
      <c r="ACE158" s="1"/>
      <c r="ACF158" s="1"/>
      <c r="ACG158" s="1"/>
      <c r="ACH158" s="1"/>
      <c r="ACI158" s="1"/>
      <c r="ACJ158" s="1"/>
      <c r="ACK158" s="1"/>
      <c r="ACL158" s="1"/>
      <c r="ACM158" s="1"/>
      <c r="ACN158" s="1"/>
      <c r="ACO158" s="1"/>
      <c r="ACP158" s="1"/>
      <c r="ACQ158" s="1"/>
      <c r="ACR158" s="1"/>
      <c r="ACS158" s="1"/>
      <c r="ACT158" s="1"/>
      <c r="ACU158" s="1"/>
      <c r="ACV158" s="1"/>
      <c r="ACW158" s="1"/>
      <c r="ACX158" s="1"/>
      <c r="ACY158" s="1"/>
      <c r="ACZ158" s="1"/>
      <c r="ADA158" s="1"/>
      <c r="ADB158" s="1"/>
      <c r="ADC158" s="1"/>
      <c r="ADD158" s="1"/>
      <c r="ADE158" s="1"/>
      <c r="ADF158" s="1"/>
      <c r="ADG158" s="1"/>
      <c r="ADH158" s="1"/>
      <c r="ADI158" s="1"/>
      <c r="ADJ158" s="1"/>
      <c r="ADK158" s="1"/>
      <c r="ADL158" s="1"/>
      <c r="ADM158" s="1"/>
      <c r="ADN158" s="1"/>
      <c r="ADO158" s="1"/>
      <c r="ADP158" s="1"/>
      <c r="ADQ158" s="1"/>
      <c r="ADR158" s="1"/>
      <c r="ADS158" s="1"/>
      <c r="ADT158" s="1"/>
      <c r="ADU158" s="1"/>
      <c r="ADV158" s="1"/>
      <c r="ADW158" s="1"/>
      <c r="ADX158" s="1"/>
      <c r="ADY158" s="1"/>
      <c r="ADZ158" s="1"/>
      <c r="AEA158" s="1"/>
      <c r="AEB158" s="1"/>
      <c r="AEC158" s="1"/>
      <c r="AED158" s="1"/>
      <c r="AEE158" s="1"/>
      <c r="AEF158" s="1"/>
      <c r="AEG158" s="1"/>
      <c r="AEH158" s="1"/>
      <c r="AEI158" s="1"/>
      <c r="AEJ158" s="1"/>
      <c r="AEK158" s="1"/>
      <c r="AEL158" s="1"/>
      <c r="AEM158" s="1"/>
      <c r="AEN158" s="1"/>
      <c r="AEO158" s="1"/>
      <c r="AEP158" s="1"/>
      <c r="AEQ158" s="1"/>
      <c r="AER158" s="1"/>
      <c r="AES158" s="1"/>
      <c r="AET158" s="1"/>
      <c r="AEU158" s="1"/>
      <c r="AEV158" s="1"/>
      <c r="AEW158" s="1"/>
      <c r="AEX158" s="1"/>
      <c r="AEY158" s="1"/>
      <c r="AEZ158" s="1"/>
      <c r="AFA158" s="1"/>
      <c r="AFB158" s="1"/>
      <c r="AFC158" s="1"/>
      <c r="AFD158" s="1"/>
      <c r="AFE158" s="1"/>
      <c r="AFF158" s="1"/>
      <c r="AFG158" s="1"/>
      <c r="AFH158" s="1"/>
      <c r="AFI158" s="1"/>
      <c r="AFJ158" s="1"/>
      <c r="AFK158" s="1"/>
      <c r="AFL158" s="1"/>
      <c r="AFM158" s="1"/>
      <c r="AFN158" s="1"/>
      <c r="AFO158" s="1"/>
      <c r="AFP158" s="1"/>
      <c r="AFQ158" s="1"/>
      <c r="AFR158" s="1"/>
      <c r="AFS158" s="1"/>
      <c r="AFT158" s="1"/>
      <c r="AFU158" s="1"/>
      <c r="AFV158" s="1"/>
      <c r="AFW158" s="1"/>
      <c r="AFX158" s="1"/>
      <c r="AFY158" s="1"/>
      <c r="AFZ158" s="1"/>
      <c r="AGA158" s="1"/>
      <c r="AGB158" s="1"/>
      <c r="AGC158" s="1"/>
      <c r="AGD158" s="1"/>
      <c r="AGE158" s="1"/>
      <c r="AGF158" s="1"/>
      <c r="AGG158" s="1"/>
      <c r="AGH158" s="1"/>
      <c r="AGI158" s="1"/>
      <c r="AGJ158" s="1"/>
      <c r="AGK158" s="1"/>
      <c r="AGL158" s="1"/>
      <c r="AGM158" s="1"/>
      <c r="AGN158" s="1"/>
      <c r="AGO158" s="1"/>
      <c r="AGP158" s="1"/>
      <c r="AGQ158" s="1"/>
      <c r="AGR158" s="1"/>
      <c r="AGS158" s="1"/>
      <c r="AGT158" s="1"/>
      <c r="AGU158" s="1"/>
      <c r="AGV158" s="1"/>
      <c r="AGW158" s="1"/>
      <c r="AGX158" s="1"/>
      <c r="AGY158" s="1"/>
      <c r="AGZ158" s="1"/>
      <c r="AHA158" s="1"/>
      <c r="AHB158" s="1"/>
      <c r="AHC158" s="1"/>
      <c r="AHD158" s="1"/>
      <c r="AHE158" s="1"/>
      <c r="AHF158" s="1"/>
      <c r="AHG158" s="1"/>
      <c r="AHH158" s="1"/>
      <c r="AHI158" s="1"/>
      <c r="AHJ158" s="1"/>
      <c r="AHK158" s="1"/>
      <c r="AHL158" s="1"/>
      <c r="AHM158" s="1"/>
      <c r="AHN158" s="1"/>
      <c r="AHO158" s="1"/>
      <c r="AHP158" s="1"/>
      <c r="AHQ158" s="1"/>
      <c r="AHR158" s="1"/>
      <c r="AHS158" s="1"/>
      <c r="AHT158" s="1"/>
      <c r="AHU158" s="1"/>
      <c r="AHV158" s="1"/>
      <c r="AHW158" s="1"/>
      <c r="AHX158" s="1"/>
      <c r="AHY158" s="1"/>
      <c r="AHZ158" s="1"/>
      <c r="AIA158" s="1"/>
      <c r="AIB158" s="1"/>
      <c r="AIC158" s="1"/>
      <c r="AID158" s="1"/>
      <c r="AIE158" s="1"/>
      <c r="AIF158" s="1"/>
      <c r="AIG158" s="1"/>
      <c r="AIH158" s="1"/>
      <c r="AII158" s="1"/>
      <c r="AIJ158" s="1"/>
      <c r="AIK158" s="1"/>
      <c r="AIL158" s="1"/>
      <c r="AIM158" s="1"/>
      <c r="AIN158" s="1"/>
      <c r="AIO158" s="1"/>
      <c r="AIP158" s="1"/>
      <c r="AIQ158" s="1"/>
      <c r="AIR158" s="1"/>
      <c r="AIS158" s="1"/>
      <c r="AIT158" s="1"/>
      <c r="AIU158" s="1"/>
      <c r="AIV158" s="1"/>
      <c r="AIW158" s="1"/>
      <c r="AIX158" s="1"/>
      <c r="AIY158" s="1"/>
      <c r="AIZ158" s="1"/>
      <c r="AJA158" s="1"/>
      <c r="AJB158" s="1"/>
      <c r="AJC158" s="1"/>
      <c r="AJD158" s="1"/>
      <c r="AJE158" s="1"/>
      <c r="AJF158" s="1"/>
      <c r="AJG158" s="1"/>
      <c r="AJH158" s="1"/>
      <c r="AJI158" s="1"/>
      <c r="AJJ158" s="1"/>
      <c r="AJK158" s="1"/>
      <c r="AJL158" s="1"/>
      <c r="AJM158" s="1"/>
      <c r="AJN158" s="1"/>
      <c r="AJO158" s="1"/>
      <c r="AJP158" s="1"/>
      <c r="AJQ158" s="1"/>
      <c r="AJR158" s="1"/>
      <c r="AJS158" s="1"/>
      <c r="AJT158" s="1"/>
      <c r="AJU158" s="1"/>
      <c r="AJV158" s="1"/>
      <c r="AJW158" s="1"/>
      <c r="AJX158" s="1"/>
      <c r="AJY158" s="1"/>
      <c r="AJZ158" s="1"/>
      <c r="AKA158" s="1"/>
      <c r="AKB158" s="1"/>
      <c r="AKC158" s="1"/>
      <c r="AKD158" s="1"/>
      <c r="AKE158" s="1"/>
      <c r="AKF158" s="1"/>
      <c r="AKG158" s="1"/>
      <c r="AKH158" s="1"/>
      <c r="AKI158" s="1"/>
      <c r="AKJ158" s="1"/>
      <c r="AKK158" s="1"/>
      <c r="AKL158" s="1"/>
      <c r="AKM158" s="1"/>
      <c r="AKN158" s="1"/>
      <c r="AKO158" s="1"/>
      <c r="AKP158" s="1"/>
      <c r="AKQ158" s="1"/>
      <c r="AKR158" s="1"/>
      <c r="AKS158" s="1"/>
      <c r="AKT158" s="1"/>
      <c r="AKU158" s="1"/>
      <c r="AKV158" s="1"/>
      <c r="AKW158" s="1"/>
      <c r="AKX158" s="1"/>
      <c r="AKY158" s="1"/>
      <c r="AKZ158" s="1"/>
      <c r="ALA158" s="1"/>
      <c r="ALB158" s="1"/>
      <c r="ALC158" s="1"/>
      <c r="ALD158" s="1"/>
      <c r="ALE158" s="1"/>
      <c r="ALF158" s="1"/>
      <c r="ALG158" s="1"/>
      <c r="ALH158" s="1"/>
      <c r="ALI158" s="1"/>
      <c r="ALJ158" s="1"/>
      <c r="ALK158" s="1"/>
      <c r="ALL158" s="1"/>
      <c r="ALM158" s="1"/>
      <c r="ALN158" s="1"/>
      <c r="ALO158" s="1"/>
      <c r="ALP158" s="1"/>
      <c r="ALQ158" s="1"/>
      <c r="ALR158" s="1"/>
      <c r="ALS158" s="1"/>
      <c r="ALT158" s="1"/>
      <c r="ALU158" s="1"/>
      <c r="ALV158" s="1"/>
      <c r="ALW158" s="1"/>
      <c r="ALX158" s="1"/>
      <c r="ALY158" s="1"/>
      <c r="ALZ158" s="1"/>
      <c r="AMA158" s="1"/>
      <c r="AMB158" s="1"/>
      <c r="AMC158" s="1"/>
      <c r="AMD158" s="1"/>
      <c r="AME158" s="1"/>
      <c r="AMF158" s="1"/>
      <c r="AMG158" s="1"/>
      <c r="AMH158" s="1"/>
      <c r="AMI158" s="1"/>
      <c r="AMJ158" s="1"/>
    </row>
    <row r="159" customFormat="false" ht="2.25" hidden="false" customHeight="true" outlineLevel="0" collapsed="false">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c r="IY159" s="1"/>
      <c r="IZ159" s="1"/>
      <c r="JA159" s="1"/>
      <c r="JB159" s="1"/>
      <c r="JC159" s="1"/>
      <c r="JD159" s="1"/>
      <c r="JE159" s="1"/>
      <c r="JF159" s="1"/>
      <c r="JG159" s="1"/>
      <c r="JH159" s="1"/>
      <c r="JI159" s="1"/>
      <c r="JJ159" s="1"/>
      <c r="JK159" s="1"/>
      <c r="JL159" s="1"/>
      <c r="JM159" s="1"/>
      <c r="JN159" s="1"/>
      <c r="JO159" s="1"/>
      <c r="JP159" s="1"/>
      <c r="JQ159" s="1"/>
      <c r="JR159" s="1"/>
      <c r="JS159" s="1"/>
      <c r="JT159" s="1"/>
      <c r="JU159" s="1"/>
      <c r="JV159" s="1"/>
      <c r="JW159" s="1"/>
      <c r="JX159" s="1"/>
      <c r="JY159" s="1"/>
      <c r="JZ159" s="1"/>
      <c r="KA159" s="1"/>
      <c r="KB159" s="1"/>
      <c r="KC159" s="1"/>
      <c r="KD159" s="1"/>
      <c r="KE159" s="1"/>
      <c r="KF159" s="1"/>
      <c r="KG159" s="1"/>
      <c r="KH159" s="1"/>
      <c r="KI159" s="1"/>
      <c r="KJ159" s="1"/>
      <c r="KK159" s="1"/>
      <c r="KL159" s="1"/>
      <c r="KM159" s="1"/>
      <c r="KN159" s="1"/>
      <c r="KO159" s="1"/>
      <c r="KP159" s="1"/>
      <c r="KQ159" s="1"/>
      <c r="KR159" s="1"/>
      <c r="KS159" s="1"/>
      <c r="KT159" s="1"/>
      <c r="KU159" s="1"/>
      <c r="KV159" s="1"/>
      <c r="KW159" s="1"/>
      <c r="KX159" s="1"/>
      <c r="KY159" s="1"/>
      <c r="KZ159" s="1"/>
      <c r="LA159" s="1"/>
      <c r="LB159" s="1"/>
      <c r="LC159" s="1"/>
      <c r="LD159" s="1"/>
      <c r="LE159" s="1"/>
      <c r="LF159" s="1"/>
      <c r="LG159" s="1"/>
      <c r="LH159" s="1"/>
      <c r="LI159" s="1"/>
      <c r="LJ159" s="1"/>
      <c r="LK159" s="1"/>
      <c r="LL159" s="1"/>
      <c r="LM159" s="1"/>
      <c r="LN159" s="1"/>
      <c r="LO159" s="1"/>
      <c r="LP159" s="1"/>
      <c r="LQ159" s="1"/>
      <c r="LR159" s="1"/>
      <c r="LS159" s="1"/>
      <c r="LT159" s="1"/>
      <c r="LU159" s="1"/>
      <c r="LV159" s="1"/>
      <c r="LW159" s="1"/>
      <c r="LX159" s="1"/>
      <c r="LY159" s="1"/>
      <c r="LZ159" s="1"/>
      <c r="MA159" s="1"/>
      <c r="MB159" s="1"/>
      <c r="MC159" s="1"/>
      <c r="MD159" s="1"/>
      <c r="ME159" s="1"/>
      <c r="MF159" s="1"/>
      <c r="MG159" s="1"/>
      <c r="MH159" s="1"/>
      <c r="MI159" s="1"/>
      <c r="MJ159" s="1"/>
      <c r="MK159" s="1"/>
      <c r="ML159" s="1"/>
      <c r="MM159" s="1"/>
      <c r="MN159" s="1"/>
      <c r="MO159" s="1"/>
      <c r="MP159" s="1"/>
      <c r="MQ159" s="1"/>
      <c r="MR159" s="1"/>
      <c r="MS159" s="1"/>
      <c r="MT159" s="1"/>
      <c r="MU159" s="1"/>
      <c r="MV159" s="1"/>
      <c r="MW159" s="1"/>
      <c r="MX159" s="1"/>
      <c r="MY159" s="1"/>
      <c r="MZ159" s="1"/>
      <c r="NA159" s="1"/>
      <c r="NB159" s="1"/>
      <c r="NC159" s="1"/>
      <c r="ND159" s="1"/>
      <c r="NE159" s="1"/>
      <c r="NF159" s="1"/>
      <c r="NG159" s="1"/>
      <c r="NH159" s="1"/>
      <c r="NI159" s="1"/>
      <c r="NJ159" s="1"/>
      <c r="NK159" s="1"/>
      <c r="NL159" s="1"/>
      <c r="NM159" s="1"/>
      <c r="NN159" s="1"/>
      <c r="NO159" s="1"/>
      <c r="NP159" s="1"/>
      <c r="NQ159" s="1"/>
      <c r="NR159" s="1"/>
      <c r="NS159" s="1"/>
      <c r="NT159" s="1"/>
      <c r="NU159" s="1"/>
      <c r="NV159" s="1"/>
      <c r="NW159" s="1"/>
      <c r="NX159" s="1"/>
      <c r="NY159" s="1"/>
      <c r="NZ159" s="1"/>
      <c r="OA159" s="1"/>
      <c r="OB159" s="1"/>
      <c r="OC159" s="1"/>
      <c r="OD159" s="1"/>
      <c r="OE159" s="1"/>
      <c r="OF159" s="1"/>
      <c r="OG159" s="1"/>
      <c r="OH159" s="1"/>
      <c r="OI159" s="1"/>
      <c r="OJ159" s="1"/>
      <c r="OK159" s="1"/>
      <c r="OL159" s="1"/>
      <c r="OM159" s="1"/>
      <c r="ON159" s="1"/>
      <c r="OO159" s="1"/>
      <c r="OP159" s="1"/>
      <c r="OQ159" s="1"/>
      <c r="OR159" s="1"/>
      <c r="OS159" s="1"/>
      <c r="OT159" s="1"/>
      <c r="OU159" s="1"/>
      <c r="OV159" s="1"/>
      <c r="OW159" s="1"/>
      <c r="OX159" s="1"/>
      <c r="OY159" s="1"/>
      <c r="OZ159" s="1"/>
      <c r="PA159" s="1"/>
      <c r="PB159" s="1"/>
      <c r="PC159" s="1"/>
      <c r="PD159" s="1"/>
      <c r="PE159" s="1"/>
      <c r="PF159" s="1"/>
      <c r="PG159" s="1"/>
      <c r="PH159" s="1"/>
      <c r="PI159" s="1"/>
      <c r="PJ159" s="1"/>
      <c r="PK159" s="1"/>
      <c r="PL159" s="1"/>
      <c r="PM159" s="1"/>
      <c r="PN159" s="1"/>
      <c r="PO159" s="1"/>
      <c r="PP159" s="1"/>
      <c r="PQ159" s="1"/>
      <c r="PR159" s="1"/>
      <c r="PS159" s="1"/>
      <c r="PT159" s="1"/>
      <c r="PU159" s="1"/>
      <c r="PV159" s="1"/>
      <c r="PW159" s="1"/>
      <c r="PX159" s="1"/>
      <c r="PY159" s="1"/>
      <c r="PZ159" s="1"/>
      <c r="QA159" s="1"/>
      <c r="QB159" s="1"/>
      <c r="QC159" s="1"/>
      <c r="QD159" s="1"/>
      <c r="QE159" s="1"/>
      <c r="QF159" s="1"/>
      <c r="QG159" s="1"/>
      <c r="QH159" s="1"/>
      <c r="QI159" s="1"/>
      <c r="QJ159" s="1"/>
      <c r="QK159" s="1"/>
      <c r="QL159" s="1"/>
      <c r="QM159" s="1"/>
      <c r="QN159" s="1"/>
      <c r="QO159" s="1"/>
      <c r="QP159" s="1"/>
      <c r="QQ159" s="1"/>
      <c r="QR159" s="1"/>
      <c r="QS159" s="1"/>
      <c r="QT159" s="1"/>
      <c r="QU159" s="1"/>
      <c r="QV159" s="1"/>
      <c r="QW159" s="1"/>
      <c r="QX159" s="1"/>
      <c r="QY159" s="1"/>
      <c r="QZ159" s="1"/>
      <c r="RA159" s="1"/>
      <c r="RB159" s="1"/>
      <c r="RC159" s="1"/>
      <c r="RD159" s="1"/>
      <c r="RE159" s="1"/>
      <c r="RF159" s="1"/>
      <c r="RG159" s="1"/>
      <c r="RH159" s="1"/>
      <c r="RI159" s="1"/>
      <c r="RJ159" s="1"/>
      <c r="RK159" s="1"/>
      <c r="RL159" s="1"/>
      <c r="RM159" s="1"/>
      <c r="RN159" s="1"/>
      <c r="RO159" s="1"/>
      <c r="RP159" s="1"/>
      <c r="RQ159" s="1"/>
      <c r="RR159" s="1"/>
      <c r="RS159" s="1"/>
      <c r="RT159" s="1"/>
      <c r="RU159" s="1"/>
      <c r="RV159" s="1"/>
      <c r="RW159" s="1"/>
      <c r="RX159" s="1"/>
      <c r="RY159" s="1"/>
      <c r="RZ159" s="1"/>
      <c r="SA159" s="1"/>
      <c r="SB159" s="1"/>
      <c r="SC159" s="1"/>
      <c r="SD159" s="1"/>
      <c r="SE159" s="1"/>
      <c r="SF159" s="1"/>
      <c r="SG159" s="1"/>
      <c r="SH159" s="1"/>
      <c r="SI159" s="1"/>
      <c r="SJ159" s="1"/>
      <c r="SK159" s="1"/>
      <c r="SL159" s="1"/>
      <c r="SM159" s="1"/>
      <c r="SN159" s="1"/>
      <c r="SO159" s="1"/>
      <c r="SP159" s="1"/>
      <c r="SQ159" s="1"/>
      <c r="SR159" s="1"/>
      <c r="SS159" s="1"/>
      <c r="ST159" s="1"/>
      <c r="SU159" s="1"/>
      <c r="SV159" s="1"/>
      <c r="SW159" s="1"/>
      <c r="SX159" s="1"/>
      <c r="SY159" s="1"/>
      <c r="SZ159" s="1"/>
      <c r="TA159" s="1"/>
      <c r="TB159" s="1"/>
      <c r="TC159" s="1"/>
      <c r="TD159" s="1"/>
      <c r="TE159" s="1"/>
      <c r="TF159" s="1"/>
      <c r="TG159" s="1"/>
      <c r="TH159" s="1"/>
      <c r="TI159" s="1"/>
      <c r="TJ159" s="1"/>
      <c r="TK159" s="1"/>
      <c r="TL159" s="1"/>
      <c r="TM159" s="1"/>
      <c r="TN159" s="1"/>
      <c r="TO159" s="1"/>
      <c r="TP159" s="1"/>
      <c r="TQ159" s="1"/>
      <c r="TR159" s="1"/>
      <c r="TS159" s="1"/>
      <c r="TT159" s="1"/>
      <c r="TU159" s="1"/>
      <c r="TV159" s="1"/>
      <c r="TW159" s="1"/>
      <c r="TX159" s="1"/>
      <c r="TY159" s="1"/>
      <c r="TZ159" s="1"/>
      <c r="UA159" s="1"/>
      <c r="UB159" s="1"/>
      <c r="UC159" s="1"/>
      <c r="UD159" s="1"/>
      <c r="UE159" s="1"/>
      <c r="UF159" s="1"/>
      <c r="UG159" s="1"/>
      <c r="UH159" s="1"/>
      <c r="UI159" s="1"/>
      <c r="UJ159" s="1"/>
      <c r="UK159" s="1"/>
      <c r="UL159" s="1"/>
      <c r="UM159" s="1"/>
      <c r="UN159" s="1"/>
      <c r="UO159" s="1"/>
      <c r="UP159" s="1"/>
      <c r="UQ159" s="1"/>
      <c r="UR159" s="1"/>
      <c r="US159" s="1"/>
      <c r="UT159" s="1"/>
      <c r="UU159" s="1"/>
      <c r="UV159" s="1"/>
      <c r="UW159" s="1"/>
      <c r="UX159" s="1"/>
      <c r="UY159" s="1"/>
      <c r="UZ159" s="1"/>
      <c r="VA159" s="1"/>
      <c r="VB159" s="1"/>
      <c r="VC159" s="1"/>
      <c r="VD159" s="1"/>
      <c r="VE159" s="1"/>
      <c r="VF159" s="1"/>
      <c r="VG159" s="1"/>
      <c r="VH159" s="1"/>
      <c r="VI159" s="1"/>
      <c r="VJ159" s="1"/>
      <c r="VK159" s="1"/>
      <c r="VL159" s="1"/>
      <c r="VM159" s="1"/>
      <c r="VN159" s="1"/>
      <c r="VO159" s="1"/>
      <c r="VP159" s="1"/>
      <c r="VQ159" s="1"/>
      <c r="VR159" s="1"/>
      <c r="VS159" s="1"/>
      <c r="VT159" s="1"/>
      <c r="VU159" s="1"/>
      <c r="VV159" s="1"/>
      <c r="VW159" s="1"/>
      <c r="VX159" s="1"/>
      <c r="VY159" s="1"/>
      <c r="VZ159" s="1"/>
      <c r="WA159" s="1"/>
      <c r="WB159" s="1"/>
      <c r="WC159" s="1"/>
      <c r="WD159" s="1"/>
      <c r="WE159" s="1"/>
      <c r="WF159" s="1"/>
      <c r="WG159" s="1"/>
      <c r="WH159" s="1"/>
      <c r="WI159" s="1"/>
      <c r="WJ159" s="1"/>
      <c r="WK159" s="1"/>
      <c r="WL159" s="1"/>
      <c r="WM159" s="1"/>
      <c r="WN159" s="1"/>
      <c r="WO159" s="1"/>
      <c r="WP159" s="1"/>
      <c r="WQ159" s="1"/>
      <c r="WR159" s="1"/>
      <c r="WS159" s="1"/>
      <c r="WT159" s="1"/>
      <c r="WU159" s="1"/>
      <c r="WV159" s="1"/>
      <c r="WW159" s="1"/>
      <c r="WX159" s="1"/>
      <c r="WY159" s="1"/>
      <c r="WZ159" s="1"/>
      <c r="XA159" s="1"/>
      <c r="XB159" s="1"/>
      <c r="XC159" s="1"/>
      <c r="XD159" s="1"/>
      <c r="XE159" s="1"/>
      <c r="XF159" s="1"/>
      <c r="XG159" s="1"/>
      <c r="XH159" s="1"/>
      <c r="XI159" s="1"/>
      <c r="XJ159" s="1"/>
      <c r="XK159" s="1"/>
      <c r="XL159" s="1"/>
      <c r="XM159" s="1"/>
      <c r="XN159" s="1"/>
      <c r="XO159" s="1"/>
      <c r="XP159" s="1"/>
      <c r="XQ159" s="1"/>
      <c r="XR159" s="1"/>
      <c r="XS159" s="1"/>
      <c r="XT159" s="1"/>
      <c r="XU159" s="1"/>
      <c r="XV159" s="1"/>
      <c r="XW159" s="1"/>
      <c r="XX159" s="1"/>
      <c r="XY159" s="1"/>
      <c r="XZ159" s="1"/>
      <c r="YA159" s="1"/>
      <c r="YB159" s="1"/>
      <c r="YC159" s="1"/>
      <c r="YD159" s="1"/>
      <c r="YE159" s="1"/>
      <c r="YF159" s="1"/>
      <c r="YG159" s="1"/>
      <c r="YH159" s="1"/>
      <c r="YI159" s="1"/>
      <c r="YJ159" s="1"/>
      <c r="YK159" s="1"/>
      <c r="YL159" s="1"/>
      <c r="YM159" s="1"/>
      <c r="YN159" s="1"/>
      <c r="YO159" s="1"/>
      <c r="YP159" s="1"/>
      <c r="YQ159" s="1"/>
      <c r="YR159" s="1"/>
      <c r="YS159" s="1"/>
      <c r="YT159" s="1"/>
      <c r="YU159" s="1"/>
      <c r="YV159" s="1"/>
      <c r="YW159" s="1"/>
      <c r="YX159" s="1"/>
      <c r="YY159" s="1"/>
      <c r="YZ159" s="1"/>
      <c r="ZA159" s="1"/>
      <c r="ZB159" s="1"/>
      <c r="ZC159" s="1"/>
      <c r="ZD159" s="1"/>
      <c r="ZE159" s="1"/>
      <c r="ZF159" s="1"/>
      <c r="ZG159" s="1"/>
      <c r="ZH159" s="1"/>
      <c r="ZI159" s="1"/>
      <c r="ZJ159" s="1"/>
      <c r="ZK159" s="1"/>
      <c r="ZL159" s="1"/>
      <c r="ZM159" s="1"/>
      <c r="ZN159" s="1"/>
      <c r="ZO159" s="1"/>
      <c r="ZP159" s="1"/>
      <c r="ZQ159" s="1"/>
      <c r="ZR159" s="1"/>
      <c r="ZS159" s="1"/>
      <c r="ZT159" s="1"/>
      <c r="ZU159" s="1"/>
      <c r="ZV159" s="1"/>
      <c r="ZW159" s="1"/>
      <c r="ZX159" s="1"/>
      <c r="ZY159" s="1"/>
      <c r="ZZ159" s="1"/>
      <c r="AAA159" s="1"/>
      <c r="AAB159" s="1"/>
      <c r="AAC159" s="1"/>
      <c r="AAD159" s="1"/>
      <c r="AAE159" s="1"/>
      <c r="AAF159" s="1"/>
      <c r="AAG159" s="1"/>
      <c r="AAH159" s="1"/>
      <c r="AAI159" s="1"/>
      <c r="AAJ159" s="1"/>
      <c r="AAK159" s="1"/>
      <c r="AAL159" s="1"/>
      <c r="AAM159" s="1"/>
      <c r="AAN159" s="1"/>
      <c r="AAO159" s="1"/>
      <c r="AAP159" s="1"/>
      <c r="AAQ159" s="1"/>
      <c r="AAR159" s="1"/>
      <c r="AAS159" s="1"/>
      <c r="AAT159" s="1"/>
      <c r="AAU159" s="1"/>
      <c r="AAV159" s="1"/>
      <c r="AAW159" s="1"/>
      <c r="AAX159" s="1"/>
      <c r="AAY159" s="1"/>
      <c r="AAZ159" s="1"/>
      <c r="ABA159" s="1"/>
      <c r="ABB159" s="1"/>
      <c r="ABC159" s="1"/>
      <c r="ABD159" s="1"/>
      <c r="ABE159" s="1"/>
      <c r="ABF159" s="1"/>
      <c r="ABG159" s="1"/>
      <c r="ABH159" s="1"/>
      <c r="ABI159" s="1"/>
      <c r="ABJ159" s="1"/>
      <c r="ABK159" s="1"/>
      <c r="ABL159" s="1"/>
      <c r="ABM159" s="1"/>
      <c r="ABN159" s="1"/>
      <c r="ABO159" s="1"/>
      <c r="ABP159" s="1"/>
      <c r="ABQ159" s="1"/>
      <c r="ABR159" s="1"/>
      <c r="ABS159" s="1"/>
      <c r="ABT159" s="1"/>
      <c r="ABU159" s="1"/>
      <c r="ABV159" s="1"/>
      <c r="ABW159" s="1"/>
      <c r="ABX159" s="1"/>
      <c r="ABY159" s="1"/>
      <c r="ABZ159" s="1"/>
      <c r="ACA159" s="1"/>
      <c r="ACB159" s="1"/>
      <c r="ACC159" s="1"/>
      <c r="ACD159" s="1"/>
      <c r="ACE159" s="1"/>
      <c r="ACF159" s="1"/>
      <c r="ACG159" s="1"/>
      <c r="ACH159" s="1"/>
      <c r="ACI159" s="1"/>
      <c r="ACJ159" s="1"/>
      <c r="ACK159" s="1"/>
      <c r="ACL159" s="1"/>
      <c r="ACM159" s="1"/>
      <c r="ACN159" s="1"/>
      <c r="ACO159" s="1"/>
      <c r="ACP159" s="1"/>
      <c r="ACQ159" s="1"/>
      <c r="ACR159" s="1"/>
      <c r="ACS159" s="1"/>
      <c r="ACT159" s="1"/>
      <c r="ACU159" s="1"/>
      <c r="ACV159" s="1"/>
      <c r="ACW159" s="1"/>
      <c r="ACX159" s="1"/>
      <c r="ACY159" s="1"/>
      <c r="ACZ159" s="1"/>
      <c r="ADA159" s="1"/>
      <c r="ADB159" s="1"/>
      <c r="ADC159" s="1"/>
      <c r="ADD159" s="1"/>
      <c r="ADE159" s="1"/>
      <c r="ADF159" s="1"/>
      <c r="ADG159" s="1"/>
      <c r="ADH159" s="1"/>
      <c r="ADI159" s="1"/>
      <c r="ADJ159" s="1"/>
      <c r="ADK159" s="1"/>
      <c r="ADL159" s="1"/>
      <c r="ADM159" s="1"/>
      <c r="ADN159" s="1"/>
      <c r="ADO159" s="1"/>
      <c r="ADP159" s="1"/>
      <c r="ADQ159" s="1"/>
      <c r="ADR159" s="1"/>
      <c r="ADS159" s="1"/>
      <c r="ADT159" s="1"/>
      <c r="ADU159" s="1"/>
      <c r="ADV159" s="1"/>
      <c r="ADW159" s="1"/>
      <c r="ADX159" s="1"/>
      <c r="ADY159" s="1"/>
      <c r="ADZ159" s="1"/>
      <c r="AEA159" s="1"/>
      <c r="AEB159" s="1"/>
      <c r="AEC159" s="1"/>
      <c r="AED159" s="1"/>
      <c r="AEE159" s="1"/>
      <c r="AEF159" s="1"/>
      <c r="AEG159" s="1"/>
      <c r="AEH159" s="1"/>
      <c r="AEI159" s="1"/>
      <c r="AEJ159" s="1"/>
      <c r="AEK159" s="1"/>
      <c r="AEL159" s="1"/>
      <c r="AEM159" s="1"/>
      <c r="AEN159" s="1"/>
      <c r="AEO159" s="1"/>
      <c r="AEP159" s="1"/>
      <c r="AEQ159" s="1"/>
      <c r="AER159" s="1"/>
      <c r="AES159" s="1"/>
      <c r="AET159" s="1"/>
      <c r="AEU159" s="1"/>
      <c r="AEV159" s="1"/>
      <c r="AEW159" s="1"/>
      <c r="AEX159" s="1"/>
      <c r="AEY159" s="1"/>
      <c r="AEZ159" s="1"/>
      <c r="AFA159" s="1"/>
      <c r="AFB159" s="1"/>
      <c r="AFC159" s="1"/>
      <c r="AFD159" s="1"/>
      <c r="AFE159" s="1"/>
      <c r="AFF159" s="1"/>
      <c r="AFG159" s="1"/>
      <c r="AFH159" s="1"/>
      <c r="AFI159" s="1"/>
      <c r="AFJ159" s="1"/>
      <c r="AFK159" s="1"/>
      <c r="AFL159" s="1"/>
      <c r="AFM159" s="1"/>
      <c r="AFN159" s="1"/>
      <c r="AFO159" s="1"/>
      <c r="AFP159" s="1"/>
      <c r="AFQ159" s="1"/>
      <c r="AFR159" s="1"/>
      <c r="AFS159" s="1"/>
      <c r="AFT159" s="1"/>
      <c r="AFU159" s="1"/>
      <c r="AFV159" s="1"/>
      <c r="AFW159" s="1"/>
      <c r="AFX159" s="1"/>
      <c r="AFY159" s="1"/>
      <c r="AFZ159" s="1"/>
      <c r="AGA159" s="1"/>
      <c r="AGB159" s="1"/>
      <c r="AGC159" s="1"/>
      <c r="AGD159" s="1"/>
      <c r="AGE159" s="1"/>
      <c r="AGF159" s="1"/>
      <c r="AGG159" s="1"/>
      <c r="AGH159" s="1"/>
      <c r="AGI159" s="1"/>
      <c r="AGJ159" s="1"/>
      <c r="AGK159" s="1"/>
      <c r="AGL159" s="1"/>
      <c r="AGM159" s="1"/>
      <c r="AGN159" s="1"/>
      <c r="AGO159" s="1"/>
      <c r="AGP159" s="1"/>
      <c r="AGQ159" s="1"/>
      <c r="AGR159" s="1"/>
      <c r="AGS159" s="1"/>
      <c r="AGT159" s="1"/>
      <c r="AGU159" s="1"/>
      <c r="AGV159" s="1"/>
      <c r="AGW159" s="1"/>
      <c r="AGX159" s="1"/>
      <c r="AGY159" s="1"/>
      <c r="AGZ159" s="1"/>
      <c r="AHA159" s="1"/>
      <c r="AHB159" s="1"/>
      <c r="AHC159" s="1"/>
      <c r="AHD159" s="1"/>
      <c r="AHE159" s="1"/>
      <c r="AHF159" s="1"/>
      <c r="AHG159" s="1"/>
      <c r="AHH159" s="1"/>
      <c r="AHI159" s="1"/>
      <c r="AHJ159" s="1"/>
      <c r="AHK159" s="1"/>
      <c r="AHL159" s="1"/>
      <c r="AHM159" s="1"/>
      <c r="AHN159" s="1"/>
      <c r="AHO159" s="1"/>
      <c r="AHP159" s="1"/>
      <c r="AHQ159" s="1"/>
      <c r="AHR159" s="1"/>
      <c r="AHS159" s="1"/>
      <c r="AHT159" s="1"/>
      <c r="AHU159" s="1"/>
      <c r="AHV159" s="1"/>
      <c r="AHW159" s="1"/>
      <c r="AHX159" s="1"/>
      <c r="AHY159" s="1"/>
      <c r="AHZ159" s="1"/>
      <c r="AIA159" s="1"/>
      <c r="AIB159" s="1"/>
      <c r="AIC159" s="1"/>
      <c r="AID159" s="1"/>
      <c r="AIE159" s="1"/>
      <c r="AIF159" s="1"/>
      <c r="AIG159" s="1"/>
      <c r="AIH159" s="1"/>
      <c r="AII159" s="1"/>
      <c r="AIJ159" s="1"/>
      <c r="AIK159" s="1"/>
      <c r="AIL159" s="1"/>
      <c r="AIM159" s="1"/>
      <c r="AIN159" s="1"/>
      <c r="AIO159" s="1"/>
      <c r="AIP159" s="1"/>
      <c r="AIQ159" s="1"/>
      <c r="AIR159" s="1"/>
      <c r="AIS159" s="1"/>
      <c r="AIT159" s="1"/>
      <c r="AIU159" s="1"/>
      <c r="AIV159" s="1"/>
      <c r="AIW159" s="1"/>
      <c r="AIX159" s="1"/>
      <c r="AIY159" s="1"/>
      <c r="AIZ159" s="1"/>
      <c r="AJA159" s="1"/>
      <c r="AJB159" s="1"/>
      <c r="AJC159" s="1"/>
      <c r="AJD159" s="1"/>
      <c r="AJE159" s="1"/>
      <c r="AJF159" s="1"/>
      <c r="AJG159" s="1"/>
      <c r="AJH159" s="1"/>
      <c r="AJI159" s="1"/>
      <c r="AJJ159" s="1"/>
      <c r="AJK159" s="1"/>
      <c r="AJL159" s="1"/>
      <c r="AJM159" s="1"/>
      <c r="AJN159" s="1"/>
      <c r="AJO159" s="1"/>
      <c r="AJP159" s="1"/>
      <c r="AJQ159" s="1"/>
      <c r="AJR159" s="1"/>
      <c r="AJS159" s="1"/>
      <c r="AJT159" s="1"/>
      <c r="AJU159" s="1"/>
      <c r="AJV159" s="1"/>
      <c r="AJW159" s="1"/>
      <c r="AJX159" s="1"/>
      <c r="AJY159" s="1"/>
      <c r="AJZ159" s="1"/>
      <c r="AKA159" s="1"/>
      <c r="AKB159" s="1"/>
      <c r="AKC159" s="1"/>
      <c r="AKD159" s="1"/>
      <c r="AKE159" s="1"/>
      <c r="AKF159" s="1"/>
      <c r="AKG159" s="1"/>
      <c r="AKH159" s="1"/>
      <c r="AKI159" s="1"/>
      <c r="AKJ159" s="1"/>
      <c r="AKK159" s="1"/>
      <c r="AKL159" s="1"/>
      <c r="AKM159" s="1"/>
      <c r="AKN159" s="1"/>
      <c r="AKO159" s="1"/>
      <c r="AKP159" s="1"/>
      <c r="AKQ159" s="1"/>
      <c r="AKR159" s="1"/>
      <c r="AKS159" s="1"/>
      <c r="AKT159" s="1"/>
      <c r="AKU159" s="1"/>
      <c r="AKV159" s="1"/>
      <c r="AKW159" s="1"/>
      <c r="AKX159" s="1"/>
      <c r="AKY159" s="1"/>
      <c r="AKZ159" s="1"/>
      <c r="ALA159" s="1"/>
      <c r="ALB159" s="1"/>
      <c r="ALC159" s="1"/>
      <c r="ALD159" s="1"/>
      <c r="ALE159" s="1"/>
      <c r="ALF159" s="1"/>
      <c r="ALG159" s="1"/>
      <c r="ALH159" s="1"/>
      <c r="ALI159" s="1"/>
      <c r="ALJ159" s="1"/>
      <c r="ALK159" s="1"/>
      <c r="ALL159" s="1"/>
      <c r="ALM159" s="1"/>
      <c r="ALN159" s="1"/>
      <c r="ALO159" s="1"/>
      <c r="ALP159" s="1"/>
      <c r="ALQ159" s="1"/>
      <c r="ALR159" s="1"/>
      <c r="ALS159" s="1"/>
      <c r="ALT159" s="1"/>
      <c r="ALU159" s="1"/>
      <c r="ALV159" s="1"/>
      <c r="ALW159" s="1"/>
      <c r="ALX159" s="1"/>
      <c r="ALY159" s="1"/>
      <c r="ALZ159" s="1"/>
      <c r="AMA159" s="1"/>
      <c r="AMB159" s="1"/>
      <c r="AMC159" s="1"/>
      <c r="AMD159" s="1"/>
      <c r="AME159" s="1"/>
      <c r="AMF159" s="1"/>
      <c r="AMG159" s="1"/>
      <c r="AMH159" s="1"/>
      <c r="AMI159" s="1"/>
      <c r="AMJ159" s="1"/>
    </row>
    <row r="160" customFormat="false" ht="10.5" hidden="false" customHeight="true" outlineLevel="0" collapsed="false">
      <c r="A160" s="134" t="s">
        <v>287</v>
      </c>
      <c r="B160" s="134"/>
      <c r="C160" s="134"/>
      <c r="D160" s="134"/>
      <c r="E160" s="134"/>
      <c r="F160" s="134"/>
      <c r="G160" s="219" t="s">
        <v>288</v>
      </c>
      <c r="H160" s="219"/>
      <c r="I160" s="219"/>
      <c r="J160" s="219"/>
      <c r="K160" s="219" t="s">
        <v>289</v>
      </c>
      <c r="L160" s="219"/>
      <c r="M160" s="219"/>
      <c r="N160" s="219"/>
      <c r="O160" s="219" t="s">
        <v>290</v>
      </c>
      <c r="P160" s="219"/>
      <c r="Q160" s="219"/>
      <c r="R160" s="219"/>
      <c r="S160" s="219" t="s">
        <v>291</v>
      </c>
      <c r="T160" s="219"/>
      <c r="U160" s="219"/>
      <c r="V160" s="219"/>
      <c r="W160" s="219" t="s">
        <v>292</v>
      </c>
      <c r="X160" s="219"/>
      <c r="Y160" s="219"/>
      <c r="Z160" s="219"/>
      <c r="AA160" s="219" t="s">
        <v>293</v>
      </c>
      <c r="AB160" s="219"/>
      <c r="AC160" s="219"/>
      <c r="AD160" s="219"/>
      <c r="AE160" s="219" t="s">
        <v>294</v>
      </c>
      <c r="AF160" s="219"/>
      <c r="AG160" s="219"/>
      <c r="AH160" s="219"/>
      <c r="AI160" s="220" t="s">
        <v>295</v>
      </c>
      <c r="AJ160" s="220"/>
      <c r="AK160" s="220"/>
      <c r="AL160" s="220"/>
      <c r="AM160" s="220"/>
      <c r="AN160" s="220"/>
      <c r="AO160" s="220"/>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c r="EB160" s="1"/>
      <c r="EC160" s="1"/>
      <c r="ED160" s="1"/>
      <c r="EE160" s="1"/>
      <c r="EF160" s="1"/>
      <c r="EG160" s="1"/>
      <c r="EH160" s="1"/>
      <c r="EI160" s="1"/>
      <c r="EJ160" s="1"/>
      <c r="EK160" s="1"/>
      <c r="EL160" s="1"/>
      <c r="EM160" s="1"/>
      <c r="EN160" s="1"/>
      <c r="EO160" s="1"/>
      <c r="EP160" s="1"/>
      <c r="EQ160" s="1"/>
      <c r="ER160" s="1"/>
      <c r="ES160" s="1"/>
      <c r="ET160" s="1"/>
      <c r="EU160" s="1"/>
      <c r="EV160" s="1"/>
      <c r="EW160" s="1"/>
      <c r="EX160" s="1"/>
      <c r="EY160" s="1"/>
      <c r="EZ160" s="1"/>
      <c r="FA160" s="1"/>
      <c r="FB160" s="1"/>
      <c r="FC160" s="1"/>
      <c r="FD160" s="1"/>
      <c r="FE160" s="1"/>
      <c r="FF160" s="1"/>
      <c r="FG160" s="1"/>
      <c r="FH160" s="1"/>
      <c r="FI160" s="1"/>
      <c r="FJ160" s="1"/>
      <c r="FK160" s="1"/>
      <c r="FL160" s="1"/>
      <c r="FM160" s="1"/>
      <c r="FN160" s="1"/>
      <c r="FO160" s="1"/>
      <c r="FP160" s="1"/>
      <c r="FQ160" s="1"/>
      <c r="FR160" s="1"/>
      <c r="FS160" s="1"/>
      <c r="FT160" s="1"/>
      <c r="FU160" s="1"/>
      <c r="FV160" s="1"/>
      <c r="FW160" s="1"/>
      <c r="FX160" s="1"/>
      <c r="FY160" s="1"/>
      <c r="FZ160" s="1"/>
      <c r="GA160" s="1"/>
      <c r="GB160" s="1"/>
      <c r="GC160" s="1"/>
      <c r="GD160" s="1"/>
      <c r="GE160" s="1"/>
      <c r="GF160" s="1"/>
      <c r="GG160" s="1"/>
      <c r="GH160" s="1"/>
      <c r="GI160" s="1"/>
      <c r="GJ160" s="1"/>
      <c r="GK160" s="1"/>
      <c r="GL160" s="1"/>
      <c r="GM160" s="1"/>
      <c r="GN160" s="1"/>
      <c r="GO160" s="1"/>
      <c r="GP160" s="1"/>
      <c r="GQ160" s="1"/>
      <c r="GR160" s="1"/>
      <c r="GS160" s="1"/>
      <c r="GT160" s="1"/>
      <c r="GU160" s="1"/>
      <c r="GV160" s="1"/>
      <c r="GW160" s="1"/>
      <c r="GX160" s="1"/>
      <c r="GY160" s="1"/>
      <c r="GZ160" s="1"/>
      <c r="HA160" s="1"/>
      <c r="HB160" s="1"/>
      <c r="HC160" s="1"/>
      <c r="HD160" s="1"/>
      <c r="HE160" s="1"/>
      <c r="HF160" s="1"/>
      <c r="HG160" s="1"/>
      <c r="HH160" s="1"/>
      <c r="HI160" s="1"/>
      <c r="HJ160" s="1"/>
      <c r="HK160" s="1"/>
      <c r="HL160" s="1"/>
      <c r="HM160" s="1"/>
      <c r="HN160" s="1"/>
      <c r="HO160" s="1"/>
      <c r="HP160" s="1"/>
      <c r="HQ160" s="1"/>
      <c r="HR160" s="1"/>
      <c r="HS160" s="1"/>
      <c r="HT160" s="1"/>
      <c r="HU160" s="1"/>
      <c r="HV160" s="1"/>
      <c r="HW160" s="1"/>
      <c r="HX160" s="1"/>
      <c r="HY160" s="1"/>
      <c r="HZ160" s="1"/>
      <c r="IA160" s="1"/>
      <c r="IB160" s="1"/>
      <c r="IC160" s="1"/>
      <c r="ID160" s="1"/>
      <c r="IE160" s="1"/>
      <c r="IF160" s="1"/>
      <c r="IG160" s="1"/>
      <c r="IH160" s="1"/>
      <c r="II160" s="1"/>
      <c r="IJ160" s="1"/>
      <c r="IK160" s="1"/>
      <c r="IL160" s="1"/>
      <c r="IM160" s="1"/>
      <c r="IN160" s="1"/>
      <c r="IO160" s="1"/>
      <c r="IP160" s="1"/>
      <c r="IQ160" s="1"/>
      <c r="IR160" s="1"/>
      <c r="IS160" s="1"/>
      <c r="IT160" s="1"/>
      <c r="IU160" s="1"/>
      <c r="IV160" s="1"/>
      <c r="IW160" s="1"/>
      <c r="IX160" s="1"/>
      <c r="IY160" s="1"/>
      <c r="IZ160" s="1"/>
      <c r="JA160" s="1"/>
      <c r="JB160" s="1"/>
      <c r="JC160" s="1"/>
      <c r="JD160" s="1"/>
      <c r="JE160" s="1"/>
      <c r="JF160" s="1"/>
      <c r="JG160" s="1"/>
      <c r="JH160" s="1"/>
      <c r="JI160" s="1"/>
      <c r="JJ160" s="1"/>
      <c r="JK160" s="1"/>
      <c r="JL160" s="1"/>
      <c r="JM160" s="1"/>
      <c r="JN160" s="1"/>
      <c r="JO160" s="1"/>
      <c r="JP160" s="1"/>
      <c r="JQ160" s="1"/>
      <c r="JR160" s="1"/>
      <c r="JS160" s="1"/>
      <c r="JT160" s="1"/>
      <c r="JU160" s="1"/>
      <c r="JV160" s="1"/>
      <c r="JW160" s="1"/>
      <c r="JX160" s="1"/>
      <c r="JY160" s="1"/>
      <c r="JZ160" s="1"/>
      <c r="KA160" s="1"/>
      <c r="KB160" s="1"/>
      <c r="KC160" s="1"/>
      <c r="KD160" s="1"/>
      <c r="KE160" s="1"/>
      <c r="KF160" s="1"/>
      <c r="KG160" s="1"/>
      <c r="KH160" s="1"/>
      <c r="KI160" s="1"/>
      <c r="KJ160" s="1"/>
      <c r="KK160" s="1"/>
      <c r="KL160" s="1"/>
      <c r="KM160" s="1"/>
      <c r="KN160" s="1"/>
      <c r="KO160" s="1"/>
      <c r="KP160" s="1"/>
      <c r="KQ160" s="1"/>
      <c r="KR160" s="1"/>
      <c r="KS160" s="1"/>
      <c r="KT160" s="1"/>
      <c r="KU160" s="1"/>
      <c r="KV160" s="1"/>
      <c r="KW160" s="1"/>
      <c r="KX160" s="1"/>
      <c r="KY160" s="1"/>
      <c r="KZ160" s="1"/>
      <c r="LA160" s="1"/>
      <c r="LB160" s="1"/>
      <c r="LC160" s="1"/>
      <c r="LD160" s="1"/>
      <c r="LE160" s="1"/>
      <c r="LF160" s="1"/>
      <c r="LG160" s="1"/>
      <c r="LH160" s="1"/>
      <c r="LI160" s="1"/>
      <c r="LJ160" s="1"/>
      <c r="LK160" s="1"/>
      <c r="LL160" s="1"/>
      <c r="LM160" s="1"/>
      <c r="LN160" s="1"/>
      <c r="LO160" s="1"/>
      <c r="LP160" s="1"/>
      <c r="LQ160" s="1"/>
      <c r="LR160" s="1"/>
      <c r="LS160" s="1"/>
      <c r="LT160" s="1"/>
      <c r="LU160" s="1"/>
      <c r="LV160" s="1"/>
      <c r="LW160" s="1"/>
      <c r="LX160" s="1"/>
      <c r="LY160" s="1"/>
      <c r="LZ160" s="1"/>
      <c r="MA160" s="1"/>
      <c r="MB160" s="1"/>
      <c r="MC160" s="1"/>
      <c r="MD160" s="1"/>
      <c r="ME160" s="1"/>
      <c r="MF160" s="1"/>
      <c r="MG160" s="1"/>
      <c r="MH160" s="1"/>
      <c r="MI160" s="1"/>
      <c r="MJ160" s="1"/>
      <c r="MK160" s="1"/>
      <c r="ML160" s="1"/>
      <c r="MM160" s="1"/>
      <c r="MN160" s="1"/>
      <c r="MO160" s="1"/>
      <c r="MP160" s="1"/>
      <c r="MQ160" s="1"/>
      <c r="MR160" s="1"/>
      <c r="MS160" s="1"/>
      <c r="MT160" s="1"/>
      <c r="MU160" s="1"/>
      <c r="MV160" s="1"/>
      <c r="MW160" s="1"/>
      <c r="MX160" s="1"/>
      <c r="MY160" s="1"/>
      <c r="MZ160" s="1"/>
      <c r="NA160" s="1"/>
      <c r="NB160" s="1"/>
      <c r="NC160" s="1"/>
      <c r="ND160" s="1"/>
      <c r="NE160" s="1"/>
      <c r="NF160" s="1"/>
      <c r="NG160" s="1"/>
      <c r="NH160" s="1"/>
      <c r="NI160" s="1"/>
      <c r="NJ160" s="1"/>
      <c r="NK160" s="1"/>
      <c r="NL160" s="1"/>
      <c r="NM160" s="1"/>
      <c r="NN160" s="1"/>
      <c r="NO160" s="1"/>
      <c r="NP160" s="1"/>
      <c r="NQ160" s="1"/>
      <c r="NR160" s="1"/>
      <c r="NS160" s="1"/>
      <c r="NT160" s="1"/>
      <c r="NU160" s="1"/>
      <c r="NV160" s="1"/>
      <c r="NW160" s="1"/>
      <c r="NX160" s="1"/>
      <c r="NY160" s="1"/>
      <c r="NZ160" s="1"/>
      <c r="OA160" s="1"/>
      <c r="OB160" s="1"/>
      <c r="OC160" s="1"/>
      <c r="OD160" s="1"/>
      <c r="OE160" s="1"/>
      <c r="OF160" s="1"/>
      <c r="OG160" s="1"/>
      <c r="OH160" s="1"/>
      <c r="OI160" s="1"/>
      <c r="OJ160" s="1"/>
      <c r="OK160" s="1"/>
      <c r="OL160" s="1"/>
      <c r="OM160" s="1"/>
      <c r="ON160" s="1"/>
      <c r="OO160" s="1"/>
      <c r="OP160" s="1"/>
      <c r="OQ160" s="1"/>
      <c r="OR160" s="1"/>
      <c r="OS160" s="1"/>
      <c r="OT160" s="1"/>
      <c r="OU160" s="1"/>
      <c r="OV160" s="1"/>
      <c r="OW160" s="1"/>
      <c r="OX160" s="1"/>
      <c r="OY160" s="1"/>
      <c r="OZ160" s="1"/>
      <c r="PA160" s="1"/>
      <c r="PB160" s="1"/>
      <c r="PC160" s="1"/>
      <c r="PD160" s="1"/>
      <c r="PE160" s="1"/>
      <c r="PF160" s="1"/>
      <c r="PG160" s="1"/>
      <c r="PH160" s="1"/>
      <c r="PI160" s="1"/>
      <c r="PJ160" s="1"/>
      <c r="PK160" s="1"/>
      <c r="PL160" s="1"/>
      <c r="PM160" s="1"/>
      <c r="PN160" s="1"/>
      <c r="PO160" s="1"/>
      <c r="PP160" s="1"/>
      <c r="PQ160" s="1"/>
      <c r="PR160" s="1"/>
      <c r="PS160" s="1"/>
      <c r="PT160" s="1"/>
      <c r="PU160" s="1"/>
      <c r="PV160" s="1"/>
      <c r="PW160" s="1"/>
      <c r="PX160" s="1"/>
      <c r="PY160" s="1"/>
      <c r="PZ160" s="1"/>
      <c r="QA160" s="1"/>
      <c r="QB160" s="1"/>
      <c r="QC160" s="1"/>
      <c r="QD160" s="1"/>
      <c r="QE160" s="1"/>
      <c r="QF160" s="1"/>
      <c r="QG160" s="1"/>
      <c r="QH160" s="1"/>
      <c r="QI160" s="1"/>
      <c r="QJ160" s="1"/>
      <c r="QK160" s="1"/>
      <c r="QL160" s="1"/>
      <c r="QM160" s="1"/>
      <c r="QN160" s="1"/>
      <c r="QO160" s="1"/>
      <c r="QP160" s="1"/>
      <c r="QQ160" s="1"/>
      <c r="QR160" s="1"/>
      <c r="QS160" s="1"/>
      <c r="QT160" s="1"/>
      <c r="QU160" s="1"/>
      <c r="QV160" s="1"/>
      <c r="QW160" s="1"/>
      <c r="QX160" s="1"/>
      <c r="QY160" s="1"/>
      <c r="QZ160" s="1"/>
      <c r="RA160" s="1"/>
      <c r="RB160" s="1"/>
      <c r="RC160" s="1"/>
      <c r="RD160" s="1"/>
      <c r="RE160" s="1"/>
      <c r="RF160" s="1"/>
      <c r="RG160" s="1"/>
      <c r="RH160" s="1"/>
      <c r="RI160" s="1"/>
      <c r="RJ160" s="1"/>
      <c r="RK160" s="1"/>
      <c r="RL160" s="1"/>
      <c r="RM160" s="1"/>
      <c r="RN160" s="1"/>
      <c r="RO160" s="1"/>
      <c r="RP160" s="1"/>
      <c r="RQ160" s="1"/>
      <c r="RR160" s="1"/>
      <c r="RS160" s="1"/>
      <c r="RT160" s="1"/>
      <c r="RU160" s="1"/>
      <c r="RV160" s="1"/>
      <c r="RW160" s="1"/>
      <c r="RX160" s="1"/>
      <c r="RY160" s="1"/>
      <c r="RZ160" s="1"/>
      <c r="SA160" s="1"/>
      <c r="SB160" s="1"/>
      <c r="SC160" s="1"/>
      <c r="SD160" s="1"/>
      <c r="SE160" s="1"/>
      <c r="SF160" s="1"/>
      <c r="SG160" s="1"/>
      <c r="SH160" s="1"/>
      <c r="SI160" s="1"/>
      <c r="SJ160" s="1"/>
      <c r="SK160" s="1"/>
      <c r="SL160" s="1"/>
      <c r="SM160" s="1"/>
      <c r="SN160" s="1"/>
      <c r="SO160" s="1"/>
      <c r="SP160" s="1"/>
      <c r="SQ160" s="1"/>
      <c r="SR160" s="1"/>
      <c r="SS160" s="1"/>
      <c r="ST160" s="1"/>
      <c r="SU160" s="1"/>
      <c r="SV160" s="1"/>
      <c r="SW160" s="1"/>
      <c r="SX160" s="1"/>
      <c r="SY160" s="1"/>
      <c r="SZ160" s="1"/>
      <c r="TA160" s="1"/>
      <c r="TB160" s="1"/>
      <c r="TC160" s="1"/>
      <c r="TD160" s="1"/>
      <c r="TE160" s="1"/>
      <c r="TF160" s="1"/>
      <c r="TG160" s="1"/>
      <c r="TH160" s="1"/>
      <c r="TI160" s="1"/>
      <c r="TJ160" s="1"/>
      <c r="TK160" s="1"/>
      <c r="TL160" s="1"/>
      <c r="TM160" s="1"/>
      <c r="TN160" s="1"/>
      <c r="TO160" s="1"/>
      <c r="TP160" s="1"/>
      <c r="TQ160" s="1"/>
      <c r="TR160" s="1"/>
      <c r="TS160" s="1"/>
      <c r="TT160" s="1"/>
      <c r="TU160" s="1"/>
      <c r="TV160" s="1"/>
      <c r="TW160" s="1"/>
      <c r="TX160" s="1"/>
      <c r="TY160" s="1"/>
      <c r="TZ160" s="1"/>
      <c r="UA160" s="1"/>
      <c r="UB160" s="1"/>
      <c r="UC160" s="1"/>
      <c r="UD160" s="1"/>
      <c r="UE160" s="1"/>
      <c r="UF160" s="1"/>
      <c r="UG160" s="1"/>
      <c r="UH160" s="1"/>
      <c r="UI160" s="1"/>
      <c r="UJ160" s="1"/>
      <c r="UK160" s="1"/>
      <c r="UL160" s="1"/>
      <c r="UM160" s="1"/>
      <c r="UN160" s="1"/>
      <c r="UO160" s="1"/>
      <c r="UP160" s="1"/>
      <c r="UQ160" s="1"/>
      <c r="UR160" s="1"/>
      <c r="US160" s="1"/>
      <c r="UT160" s="1"/>
      <c r="UU160" s="1"/>
      <c r="UV160" s="1"/>
      <c r="UW160" s="1"/>
      <c r="UX160" s="1"/>
      <c r="UY160" s="1"/>
      <c r="UZ160" s="1"/>
      <c r="VA160" s="1"/>
      <c r="VB160" s="1"/>
      <c r="VC160" s="1"/>
      <c r="VD160" s="1"/>
      <c r="VE160" s="1"/>
      <c r="VF160" s="1"/>
      <c r="VG160" s="1"/>
      <c r="VH160" s="1"/>
      <c r="VI160" s="1"/>
      <c r="VJ160" s="1"/>
      <c r="VK160" s="1"/>
      <c r="VL160" s="1"/>
      <c r="VM160" s="1"/>
      <c r="VN160" s="1"/>
      <c r="VO160" s="1"/>
      <c r="VP160" s="1"/>
      <c r="VQ160" s="1"/>
      <c r="VR160" s="1"/>
      <c r="VS160" s="1"/>
      <c r="VT160" s="1"/>
      <c r="VU160" s="1"/>
      <c r="VV160" s="1"/>
      <c r="VW160" s="1"/>
      <c r="VX160" s="1"/>
      <c r="VY160" s="1"/>
      <c r="VZ160" s="1"/>
      <c r="WA160" s="1"/>
      <c r="WB160" s="1"/>
      <c r="WC160" s="1"/>
      <c r="WD160" s="1"/>
      <c r="WE160" s="1"/>
      <c r="WF160" s="1"/>
      <c r="WG160" s="1"/>
      <c r="WH160" s="1"/>
      <c r="WI160" s="1"/>
      <c r="WJ160" s="1"/>
      <c r="WK160" s="1"/>
      <c r="WL160" s="1"/>
      <c r="WM160" s="1"/>
      <c r="WN160" s="1"/>
      <c r="WO160" s="1"/>
      <c r="WP160" s="1"/>
      <c r="WQ160" s="1"/>
      <c r="WR160" s="1"/>
      <c r="WS160" s="1"/>
      <c r="WT160" s="1"/>
      <c r="WU160" s="1"/>
      <c r="WV160" s="1"/>
      <c r="WW160" s="1"/>
      <c r="WX160" s="1"/>
      <c r="WY160" s="1"/>
      <c r="WZ160" s="1"/>
      <c r="XA160" s="1"/>
      <c r="XB160" s="1"/>
      <c r="XC160" s="1"/>
      <c r="XD160" s="1"/>
      <c r="XE160" s="1"/>
      <c r="XF160" s="1"/>
      <c r="XG160" s="1"/>
      <c r="XH160" s="1"/>
      <c r="XI160" s="1"/>
      <c r="XJ160" s="1"/>
      <c r="XK160" s="1"/>
      <c r="XL160" s="1"/>
      <c r="XM160" s="1"/>
      <c r="XN160" s="1"/>
      <c r="XO160" s="1"/>
      <c r="XP160" s="1"/>
      <c r="XQ160" s="1"/>
      <c r="XR160" s="1"/>
      <c r="XS160" s="1"/>
      <c r="XT160" s="1"/>
      <c r="XU160" s="1"/>
      <c r="XV160" s="1"/>
      <c r="XW160" s="1"/>
      <c r="XX160" s="1"/>
      <c r="XY160" s="1"/>
      <c r="XZ160" s="1"/>
      <c r="YA160" s="1"/>
      <c r="YB160" s="1"/>
      <c r="YC160" s="1"/>
      <c r="YD160" s="1"/>
      <c r="YE160" s="1"/>
      <c r="YF160" s="1"/>
      <c r="YG160" s="1"/>
      <c r="YH160" s="1"/>
      <c r="YI160" s="1"/>
      <c r="YJ160" s="1"/>
      <c r="YK160" s="1"/>
      <c r="YL160" s="1"/>
      <c r="YM160" s="1"/>
      <c r="YN160" s="1"/>
      <c r="YO160" s="1"/>
      <c r="YP160" s="1"/>
      <c r="YQ160" s="1"/>
      <c r="YR160" s="1"/>
      <c r="YS160" s="1"/>
      <c r="YT160" s="1"/>
      <c r="YU160" s="1"/>
      <c r="YV160" s="1"/>
      <c r="YW160" s="1"/>
      <c r="YX160" s="1"/>
      <c r="YY160" s="1"/>
      <c r="YZ160" s="1"/>
      <c r="ZA160" s="1"/>
      <c r="ZB160" s="1"/>
      <c r="ZC160" s="1"/>
      <c r="ZD160" s="1"/>
      <c r="ZE160" s="1"/>
      <c r="ZF160" s="1"/>
      <c r="ZG160" s="1"/>
      <c r="ZH160" s="1"/>
      <c r="ZI160" s="1"/>
      <c r="ZJ160" s="1"/>
      <c r="ZK160" s="1"/>
      <c r="ZL160" s="1"/>
      <c r="ZM160" s="1"/>
      <c r="ZN160" s="1"/>
      <c r="ZO160" s="1"/>
      <c r="ZP160" s="1"/>
      <c r="ZQ160" s="1"/>
      <c r="ZR160" s="1"/>
      <c r="ZS160" s="1"/>
      <c r="ZT160" s="1"/>
      <c r="ZU160" s="1"/>
      <c r="ZV160" s="1"/>
      <c r="ZW160" s="1"/>
      <c r="ZX160" s="1"/>
      <c r="ZY160" s="1"/>
      <c r="ZZ160" s="1"/>
      <c r="AAA160" s="1"/>
      <c r="AAB160" s="1"/>
      <c r="AAC160" s="1"/>
      <c r="AAD160" s="1"/>
      <c r="AAE160" s="1"/>
      <c r="AAF160" s="1"/>
      <c r="AAG160" s="1"/>
      <c r="AAH160" s="1"/>
      <c r="AAI160" s="1"/>
      <c r="AAJ160" s="1"/>
      <c r="AAK160" s="1"/>
      <c r="AAL160" s="1"/>
      <c r="AAM160" s="1"/>
      <c r="AAN160" s="1"/>
      <c r="AAO160" s="1"/>
      <c r="AAP160" s="1"/>
      <c r="AAQ160" s="1"/>
      <c r="AAR160" s="1"/>
      <c r="AAS160" s="1"/>
      <c r="AAT160" s="1"/>
      <c r="AAU160" s="1"/>
      <c r="AAV160" s="1"/>
      <c r="AAW160" s="1"/>
      <c r="AAX160" s="1"/>
      <c r="AAY160" s="1"/>
      <c r="AAZ160" s="1"/>
      <c r="ABA160" s="1"/>
      <c r="ABB160" s="1"/>
      <c r="ABC160" s="1"/>
      <c r="ABD160" s="1"/>
      <c r="ABE160" s="1"/>
      <c r="ABF160" s="1"/>
      <c r="ABG160" s="1"/>
      <c r="ABH160" s="1"/>
      <c r="ABI160" s="1"/>
      <c r="ABJ160" s="1"/>
      <c r="ABK160" s="1"/>
      <c r="ABL160" s="1"/>
      <c r="ABM160" s="1"/>
      <c r="ABN160" s="1"/>
      <c r="ABO160" s="1"/>
      <c r="ABP160" s="1"/>
      <c r="ABQ160" s="1"/>
      <c r="ABR160" s="1"/>
      <c r="ABS160" s="1"/>
      <c r="ABT160" s="1"/>
      <c r="ABU160" s="1"/>
      <c r="ABV160" s="1"/>
      <c r="ABW160" s="1"/>
      <c r="ABX160" s="1"/>
      <c r="ABY160" s="1"/>
      <c r="ABZ160" s="1"/>
      <c r="ACA160" s="1"/>
      <c r="ACB160" s="1"/>
      <c r="ACC160" s="1"/>
      <c r="ACD160" s="1"/>
      <c r="ACE160" s="1"/>
      <c r="ACF160" s="1"/>
      <c r="ACG160" s="1"/>
      <c r="ACH160" s="1"/>
      <c r="ACI160" s="1"/>
      <c r="ACJ160" s="1"/>
      <c r="ACK160" s="1"/>
      <c r="ACL160" s="1"/>
      <c r="ACM160" s="1"/>
      <c r="ACN160" s="1"/>
      <c r="ACO160" s="1"/>
      <c r="ACP160" s="1"/>
      <c r="ACQ160" s="1"/>
      <c r="ACR160" s="1"/>
      <c r="ACS160" s="1"/>
      <c r="ACT160" s="1"/>
      <c r="ACU160" s="1"/>
      <c r="ACV160" s="1"/>
      <c r="ACW160" s="1"/>
      <c r="ACX160" s="1"/>
      <c r="ACY160" s="1"/>
      <c r="ACZ160" s="1"/>
      <c r="ADA160" s="1"/>
      <c r="ADB160" s="1"/>
      <c r="ADC160" s="1"/>
      <c r="ADD160" s="1"/>
      <c r="ADE160" s="1"/>
      <c r="ADF160" s="1"/>
      <c r="ADG160" s="1"/>
      <c r="ADH160" s="1"/>
      <c r="ADI160" s="1"/>
      <c r="ADJ160" s="1"/>
      <c r="ADK160" s="1"/>
      <c r="ADL160" s="1"/>
      <c r="ADM160" s="1"/>
      <c r="ADN160" s="1"/>
      <c r="ADO160" s="1"/>
      <c r="ADP160" s="1"/>
      <c r="ADQ160" s="1"/>
      <c r="ADR160" s="1"/>
      <c r="ADS160" s="1"/>
      <c r="ADT160" s="1"/>
      <c r="ADU160" s="1"/>
      <c r="ADV160" s="1"/>
      <c r="ADW160" s="1"/>
      <c r="ADX160" s="1"/>
      <c r="ADY160" s="1"/>
      <c r="ADZ160" s="1"/>
      <c r="AEA160" s="1"/>
      <c r="AEB160" s="1"/>
      <c r="AEC160" s="1"/>
      <c r="AED160" s="1"/>
      <c r="AEE160" s="1"/>
      <c r="AEF160" s="1"/>
      <c r="AEG160" s="1"/>
      <c r="AEH160" s="1"/>
      <c r="AEI160" s="1"/>
      <c r="AEJ160" s="1"/>
      <c r="AEK160" s="1"/>
      <c r="AEL160" s="1"/>
      <c r="AEM160" s="1"/>
      <c r="AEN160" s="1"/>
      <c r="AEO160" s="1"/>
      <c r="AEP160" s="1"/>
      <c r="AEQ160" s="1"/>
      <c r="AER160" s="1"/>
      <c r="AES160" s="1"/>
      <c r="AET160" s="1"/>
      <c r="AEU160" s="1"/>
      <c r="AEV160" s="1"/>
      <c r="AEW160" s="1"/>
      <c r="AEX160" s="1"/>
      <c r="AEY160" s="1"/>
      <c r="AEZ160" s="1"/>
      <c r="AFA160" s="1"/>
      <c r="AFB160" s="1"/>
      <c r="AFC160" s="1"/>
      <c r="AFD160" s="1"/>
      <c r="AFE160" s="1"/>
      <c r="AFF160" s="1"/>
      <c r="AFG160" s="1"/>
      <c r="AFH160" s="1"/>
      <c r="AFI160" s="1"/>
      <c r="AFJ160" s="1"/>
      <c r="AFK160" s="1"/>
      <c r="AFL160" s="1"/>
      <c r="AFM160" s="1"/>
      <c r="AFN160" s="1"/>
      <c r="AFO160" s="1"/>
      <c r="AFP160" s="1"/>
      <c r="AFQ160" s="1"/>
      <c r="AFR160" s="1"/>
      <c r="AFS160" s="1"/>
      <c r="AFT160" s="1"/>
      <c r="AFU160" s="1"/>
      <c r="AFV160" s="1"/>
      <c r="AFW160" s="1"/>
      <c r="AFX160" s="1"/>
      <c r="AFY160" s="1"/>
      <c r="AFZ160" s="1"/>
      <c r="AGA160" s="1"/>
      <c r="AGB160" s="1"/>
      <c r="AGC160" s="1"/>
      <c r="AGD160" s="1"/>
      <c r="AGE160" s="1"/>
      <c r="AGF160" s="1"/>
      <c r="AGG160" s="1"/>
      <c r="AGH160" s="1"/>
      <c r="AGI160" s="1"/>
      <c r="AGJ160" s="1"/>
      <c r="AGK160" s="1"/>
      <c r="AGL160" s="1"/>
      <c r="AGM160" s="1"/>
      <c r="AGN160" s="1"/>
      <c r="AGO160" s="1"/>
      <c r="AGP160" s="1"/>
      <c r="AGQ160" s="1"/>
      <c r="AGR160" s="1"/>
      <c r="AGS160" s="1"/>
      <c r="AGT160" s="1"/>
      <c r="AGU160" s="1"/>
      <c r="AGV160" s="1"/>
      <c r="AGW160" s="1"/>
      <c r="AGX160" s="1"/>
      <c r="AGY160" s="1"/>
      <c r="AGZ160" s="1"/>
      <c r="AHA160" s="1"/>
      <c r="AHB160" s="1"/>
      <c r="AHC160" s="1"/>
      <c r="AHD160" s="1"/>
      <c r="AHE160" s="1"/>
      <c r="AHF160" s="1"/>
      <c r="AHG160" s="1"/>
      <c r="AHH160" s="1"/>
      <c r="AHI160" s="1"/>
      <c r="AHJ160" s="1"/>
      <c r="AHK160" s="1"/>
      <c r="AHL160" s="1"/>
      <c r="AHM160" s="1"/>
      <c r="AHN160" s="1"/>
      <c r="AHO160" s="1"/>
      <c r="AHP160" s="1"/>
      <c r="AHQ160" s="1"/>
      <c r="AHR160" s="1"/>
      <c r="AHS160" s="1"/>
      <c r="AHT160" s="1"/>
      <c r="AHU160" s="1"/>
      <c r="AHV160" s="1"/>
      <c r="AHW160" s="1"/>
      <c r="AHX160" s="1"/>
      <c r="AHY160" s="1"/>
      <c r="AHZ160" s="1"/>
      <c r="AIA160" s="1"/>
      <c r="AIB160" s="1"/>
      <c r="AIC160" s="1"/>
      <c r="AID160" s="1"/>
      <c r="AIE160" s="1"/>
      <c r="AIF160" s="1"/>
      <c r="AIG160" s="1"/>
      <c r="AIH160" s="1"/>
      <c r="AII160" s="1"/>
      <c r="AIJ160" s="1"/>
      <c r="AIK160" s="1"/>
      <c r="AIL160" s="1"/>
      <c r="AIM160" s="1"/>
      <c r="AIN160" s="1"/>
      <c r="AIO160" s="1"/>
      <c r="AIP160" s="1"/>
      <c r="AIQ160" s="1"/>
      <c r="AIR160" s="1"/>
      <c r="AIS160" s="1"/>
      <c r="AIT160" s="1"/>
      <c r="AIU160" s="1"/>
      <c r="AIV160" s="1"/>
      <c r="AIW160" s="1"/>
      <c r="AIX160" s="1"/>
      <c r="AIY160" s="1"/>
      <c r="AIZ160" s="1"/>
      <c r="AJA160" s="1"/>
      <c r="AJB160" s="1"/>
      <c r="AJC160" s="1"/>
      <c r="AJD160" s="1"/>
      <c r="AJE160" s="1"/>
      <c r="AJF160" s="1"/>
      <c r="AJG160" s="1"/>
      <c r="AJH160" s="1"/>
      <c r="AJI160" s="1"/>
      <c r="AJJ160" s="1"/>
      <c r="AJK160" s="1"/>
      <c r="AJL160" s="1"/>
      <c r="AJM160" s="1"/>
      <c r="AJN160" s="1"/>
      <c r="AJO160" s="1"/>
      <c r="AJP160" s="1"/>
      <c r="AJQ160" s="1"/>
      <c r="AJR160" s="1"/>
      <c r="AJS160" s="1"/>
      <c r="AJT160" s="1"/>
      <c r="AJU160" s="1"/>
      <c r="AJV160" s="1"/>
      <c r="AJW160" s="1"/>
      <c r="AJX160" s="1"/>
      <c r="AJY160" s="1"/>
      <c r="AJZ160" s="1"/>
      <c r="AKA160" s="1"/>
      <c r="AKB160" s="1"/>
      <c r="AKC160" s="1"/>
      <c r="AKD160" s="1"/>
      <c r="AKE160" s="1"/>
      <c r="AKF160" s="1"/>
      <c r="AKG160" s="1"/>
      <c r="AKH160" s="1"/>
      <c r="AKI160" s="1"/>
      <c r="AKJ160" s="1"/>
      <c r="AKK160" s="1"/>
      <c r="AKL160" s="1"/>
      <c r="AKM160" s="1"/>
      <c r="AKN160" s="1"/>
      <c r="AKO160" s="1"/>
      <c r="AKP160" s="1"/>
      <c r="AKQ160" s="1"/>
      <c r="AKR160" s="1"/>
      <c r="AKS160" s="1"/>
      <c r="AKT160" s="1"/>
      <c r="AKU160" s="1"/>
      <c r="AKV160" s="1"/>
      <c r="AKW160" s="1"/>
      <c r="AKX160" s="1"/>
      <c r="AKY160" s="1"/>
      <c r="AKZ160" s="1"/>
      <c r="ALA160" s="1"/>
      <c r="ALB160" s="1"/>
      <c r="ALC160" s="1"/>
      <c r="ALD160" s="1"/>
      <c r="ALE160" s="1"/>
      <c r="ALF160" s="1"/>
      <c r="ALG160" s="1"/>
      <c r="ALH160" s="1"/>
      <c r="ALI160" s="1"/>
      <c r="ALJ160" s="1"/>
      <c r="ALK160" s="1"/>
      <c r="ALL160" s="1"/>
      <c r="ALM160" s="1"/>
      <c r="ALN160" s="1"/>
      <c r="ALO160" s="1"/>
      <c r="ALP160" s="1"/>
      <c r="ALQ160" s="1"/>
      <c r="ALR160" s="1"/>
      <c r="ALS160" s="1"/>
      <c r="ALT160" s="1"/>
      <c r="ALU160" s="1"/>
      <c r="ALV160" s="1"/>
      <c r="ALW160" s="1"/>
      <c r="ALX160" s="1"/>
      <c r="ALY160" s="1"/>
      <c r="ALZ160" s="1"/>
      <c r="AMA160" s="1"/>
      <c r="AMB160" s="1"/>
      <c r="AMC160" s="1"/>
      <c r="AMD160" s="1"/>
      <c r="AME160" s="1"/>
      <c r="AMF160" s="1"/>
      <c r="AMG160" s="1"/>
      <c r="AMH160" s="1"/>
      <c r="AMI160" s="1"/>
      <c r="AMJ160" s="1"/>
    </row>
    <row r="161" customFormat="false" ht="10.5" hidden="false" customHeight="true" outlineLevel="0" collapsed="false">
      <c r="A161" s="221" t="n">
        <v>2500</v>
      </c>
      <c r="B161" s="221"/>
      <c r="C161" s="221"/>
      <c r="D161" s="221"/>
      <c r="E161" s="221"/>
      <c r="F161" s="221"/>
      <c r="G161" s="222" t="n">
        <v>600</v>
      </c>
      <c r="H161" s="222"/>
      <c r="I161" s="222"/>
      <c r="J161" s="222"/>
      <c r="K161" s="222" t="n">
        <v>500</v>
      </c>
      <c r="L161" s="222"/>
      <c r="M161" s="222"/>
      <c r="N161" s="222"/>
      <c r="O161" s="222" t="n">
        <v>600</v>
      </c>
      <c r="P161" s="222"/>
      <c r="Q161" s="222"/>
      <c r="R161" s="222"/>
      <c r="S161" s="222"/>
      <c r="T161" s="222"/>
      <c r="U161" s="222"/>
      <c r="V161" s="222"/>
      <c r="W161" s="222" t="n">
        <v>150</v>
      </c>
      <c r="X161" s="222"/>
      <c r="Y161" s="222"/>
      <c r="Z161" s="222"/>
      <c r="AA161" s="222" t="n">
        <v>100</v>
      </c>
      <c r="AB161" s="222"/>
      <c r="AC161" s="222"/>
      <c r="AD161" s="222"/>
      <c r="AE161" s="222" t="n">
        <v>100</v>
      </c>
      <c r="AF161" s="222"/>
      <c r="AG161" s="222"/>
      <c r="AH161" s="222"/>
      <c r="AI161" s="140" t="n">
        <f aca="false">SUM(A161:AH161)</f>
        <v>4550</v>
      </c>
      <c r="AJ161" s="140"/>
      <c r="AK161" s="140"/>
      <c r="AL161" s="140"/>
      <c r="AM161" s="140"/>
      <c r="AN161" s="140"/>
      <c r="AO161" s="140"/>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c r="CM161" s="1"/>
      <c r="CN161" s="1"/>
      <c r="CO161" s="1"/>
      <c r="CP161" s="1"/>
      <c r="CQ161" s="1"/>
      <c r="CR161" s="1"/>
      <c r="CS161" s="1"/>
      <c r="CT161" s="1"/>
      <c r="CU161" s="1"/>
      <c r="CV161" s="1"/>
      <c r="CW161" s="1"/>
      <c r="CX161" s="1"/>
      <c r="CY161" s="1"/>
      <c r="CZ161" s="1"/>
      <c r="DA161" s="1"/>
      <c r="DB161" s="1"/>
      <c r="DC161" s="1"/>
      <c r="DD161" s="1"/>
      <c r="DE161" s="1"/>
      <c r="DF161" s="1"/>
      <c r="DG161" s="1"/>
      <c r="DH161" s="1"/>
      <c r="DI161" s="1"/>
      <c r="DJ161" s="1"/>
      <c r="DK161" s="1"/>
      <c r="DL161" s="1"/>
      <c r="DM161" s="1"/>
      <c r="DN161" s="1"/>
      <c r="DO161" s="1"/>
      <c r="DP161" s="1"/>
      <c r="DQ161" s="1"/>
      <c r="DR161" s="1"/>
      <c r="DS161" s="1"/>
      <c r="DT161" s="1"/>
      <c r="DU161" s="1"/>
      <c r="DV161" s="1"/>
      <c r="DW161" s="1"/>
      <c r="DX161" s="1"/>
      <c r="DY161" s="1"/>
      <c r="DZ161" s="1"/>
      <c r="EA161" s="1"/>
      <c r="EB161" s="1"/>
      <c r="EC161" s="1"/>
      <c r="ED161" s="1"/>
      <c r="EE161" s="1"/>
      <c r="EF161" s="1"/>
      <c r="EG161" s="1"/>
      <c r="EH161" s="1"/>
      <c r="EI161" s="1"/>
      <c r="EJ161" s="1"/>
      <c r="EK161" s="1"/>
      <c r="EL161" s="1"/>
      <c r="EM161" s="1"/>
      <c r="EN161" s="1"/>
      <c r="EO161" s="1"/>
      <c r="EP161" s="1"/>
      <c r="EQ161" s="1"/>
      <c r="ER161" s="1"/>
      <c r="ES161" s="1"/>
      <c r="ET161" s="1"/>
      <c r="EU161" s="1"/>
      <c r="EV161" s="1"/>
      <c r="EW161" s="1"/>
      <c r="EX161" s="1"/>
      <c r="EY161" s="1"/>
      <c r="EZ161" s="1"/>
      <c r="FA161" s="1"/>
      <c r="FB161" s="1"/>
      <c r="FC161" s="1"/>
      <c r="FD161" s="1"/>
      <c r="FE161" s="1"/>
      <c r="FF161" s="1"/>
      <c r="FG161" s="1"/>
      <c r="FH161" s="1"/>
      <c r="FI161" s="1"/>
      <c r="FJ161" s="1"/>
      <c r="FK161" s="1"/>
      <c r="FL161" s="1"/>
      <c r="FM161" s="1"/>
      <c r="FN161" s="1"/>
      <c r="FO161" s="1"/>
      <c r="FP161" s="1"/>
      <c r="FQ161" s="1"/>
      <c r="FR161" s="1"/>
      <c r="FS161" s="1"/>
      <c r="FT161" s="1"/>
      <c r="FU161" s="1"/>
      <c r="FV161" s="1"/>
      <c r="FW161" s="1"/>
      <c r="FX161" s="1"/>
      <c r="FY161" s="1"/>
      <c r="FZ161" s="1"/>
      <c r="GA161" s="1"/>
      <c r="GB161" s="1"/>
      <c r="GC161" s="1"/>
      <c r="GD161" s="1"/>
      <c r="GE161" s="1"/>
      <c r="GF161" s="1"/>
      <c r="GG161" s="1"/>
      <c r="GH161" s="1"/>
      <c r="GI161" s="1"/>
      <c r="GJ161" s="1"/>
      <c r="GK161" s="1"/>
      <c r="GL161" s="1"/>
      <c r="GM161" s="1"/>
      <c r="GN161" s="1"/>
      <c r="GO161" s="1"/>
      <c r="GP161" s="1"/>
      <c r="GQ161" s="1"/>
      <c r="GR161" s="1"/>
      <c r="GS161" s="1"/>
      <c r="GT161" s="1"/>
      <c r="GU161" s="1"/>
      <c r="GV161" s="1"/>
      <c r="GW161" s="1"/>
      <c r="GX161" s="1"/>
      <c r="GY161" s="1"/>
      <c r="GZ161" s="1"/>
      <c r="HA161" s="1"/>
      <c r="HB161" s="1"/>
      <c r="HC161" s="1"/>
      <c r="HD161" s="1"/>
      <c r="HE161" s="1"/>
      <c r="HF161" s="1"/>
      <c r="HG161" s="1"/>
      <c r="HH161" s="1"/>
      <c r="HI161" s="1"/>
      <c r="HJ161" s="1"/>
      <c r="HK161" s="1"/>
      <c r="HL161" s="1"/>
      <c r="HM161" s="1"/>
      <c r="HN161" s="1"/>
      <c r="HO161" s="1"/>
      <c r="HP161" s="1"/>
      <c r="HQ161" s="1"/>
      <c r="HR161" s="1"/>
      <c r="HS161" s="1"/>
      <c r="HT161" s="1"/>
      <c r="HU161" s="1"/>
      <c r="HV161" s="1"/>
      <c r="HW161" s="1"/>
      <c r="HX161" s="1"/>
      <c r="HY161" s="1"/>
      <c r="HZ161" s="1"/>
      <c r="IA161" s="1"/>
      <c r="IB161" s="1"/>
      <c r="IC161" s="1"/>
      <c r="ID161" s="1"/>
      <c r="IE161" s="1"/>
      <c r="IF161" s="1"/>
      <c r="IG161" s="1"/>
      <c r="IH161" s="1"/>
      <c r="II161" s="1"/>
      <c r="IJ161" s="1"/>
      <c r="IK161" s="1"/>
      <c r="IL161" s="1"/>
      <c r="IM161" s="1"/>
      <c r="IN161" s="1"/>
      <c r="IO161" s="1"/>
      <c r="IP161" s="1"/>
      <c r="IQ161" s="1"/>
      <c r="IR161" s="1"/>
      <c r="IS161" s="1"/>
      <c r="IT161" s="1"/>
      <c r="IU161" s="1"/>
      <c r="IV161" s="1"/>
      <c r="IW161" s="1"/>
      <c r="IX161" s="1"/>
      <c r="IY161" s="1"/>
      <c r="IZ161" s="1"/>
      <c r="JA161" s="1"/>
      <c r="JB161" s="1"/>
      <c r="JC161" s="1"/>
      <c r="JD161" s="1"/>
      <c r="JE161" s="1"/>
      <c r="JF161" s="1"/>
      <c r="JG161" s="1"/>
      <c r="JH161" s="1"/>
      <c r="JI161" s="1"/>
      <c r="JJ161" s="1"/>
      <c r="JK161" s="1"/>
      <c r="JL161" s="1"/>
      <c r="JM161" s="1"/>
      <c r="JN161" s="1"/>
      <c r="JO161" s="1"/>
      <c r="JP161" s="1"/>
      <c r="JQ161" s="1"/>
      <c r="JR161" s="1"/>
      <c r="JS161" s="1"/>
      <c r="JT161" s="1"/>
      <c r="JU161" s="1"/>
      <c r="JV161" s="1"/>
      <c r="JW161" s="1"/>
      <c r="JX161" s="1"/>
      <c r="JY161" s="1"/>
      <c r="JZ161" s="1"/>
      <c r="KA161" s="1"/>
      <c r="KB161" s="1"/>
      <c r="KC161" s="1"/>
      <c r="KD161" s="1"/>
      <c r="KE161" s="1"/>
      <c r="KF161" s="1"/>
      <c r="KG161" s="1"/>
      <c r="KH161" s="1"/>
      <c r="KI161" s="1"/>
      <c r="KJ161" s="1"/>
      <c r="KK161" s="1"/>
      <c r="KL161" s="1"/>
      <c r="KM161" s="1"/>
      <c r="KN161" s="1"/>
      <c r="KO161" s="1"/>
      <c r="KP161" s="1"/>
      <c r="KQ161" s="1"/>
      <c r="KR161" s="1"/>
      <c r="KS161" s="1"/>
      <c r="KT161" s="1"/>
      <c r="KU161" s="1"/>
      <c r="KV161" s="1"/>
      <c r="KW161" s="1"/>
      <c r="KX161" s="1"/>
      <c r="KY161" s="1"/>
      <c r="KZ161" s="1"/>
      <c r="LA161" s="1"/>
      <c r="LB161" s="1"/>
      <c r="LC161" s="1"/>
      <c r="LD161" s="1"/>
      <c r="LE161" s="1"/>
      <c r="LF161" s="1"/>
      <c r="LG161" s="1"/>
      <c r="LH161" s="1"/>
      <c r="LI161" s="1"/>
      <c r="LJ161" s="1"/>
      <c r="LK161" s="1"/>
      <c r="LL161" s="1"/>
      <c r="LM161" s="1"/>
      <c r="LN161" s="1"/>
      <c r="LO161" s="1"/>
      <c r="LP161" s="1"/>
      <c r="LQ161" s="1"/>
      <c r="LR161" s="1"/>
      <c r="LS161" s="1"/>
      <c r="LT161" s="1"/>
      <c r="LU161" s="1"/>
      <c r="LV161" s="1"/>
      <c r="LW161" s="1"/>
      <c r="LX161" s="1"/>
      <c r="LY161" s="1"/>
      <c r="LZ161" s="1"/>
      <c r="MA161" s="1"/>
      <c r="MB161" s="1"/>
      <c r="MC161" s="1"/>
      <c r="MD161" s="1"/>
      <c r="ME161" s="1"/>
      <c r="MF161" s="1"/>
      <c r="MG161" s="1"/>
      <c r="MH161" s="1"/>
      <c r="MI161" s="1"/>
      <c r="MJ161" s="1"/>
      <c r="MK161" s="1"/>
      <c r="ML161" s="1"/>
      <c r="MM161" s="1"/>
      <c r="MN161" s="1"/>
      <c r="MO161" s="1"/>
      <c r="MP161" s="1"/>
      <c r="MQ161" s="1"/>
      <c r="MR161" s="1"/>
      <c r="MS161" s="1"/>
      <c r="MT161" s="1"/>
      <c r="MU161" s="1"/>
      <c r="MV161" s="1"/>
      <c r="MW161" s="1"/>
      <c r="MX161" s="1"/>
      <c r="MY161" s="1"/>
      <c r="MZ161" s="1"/>
      <c r="NA161" s="1"/>
      <c r="NB161" s="1"/>
      <c r="NC161" s="1"/>
      <c r="ND161" s="1"/>
      <c r="NE161" s="1"/>
      <c r="NF161" s="1"/>
      <c r="NG161" s="1"/>
      <c r="NH161" s="1"/>
      <c r="NI161" s="1"/>
      <c r="NJ161" s="1"/>
      <c r="NK161" s="1"/>
      <c r="NL161" s="1"/>
      <c r="NM161" s="1"/>
      <c r="NN161" s="1"/>
      <c r="NO161" s="1"/>
      <c r="NP161" s="1"/>
      <c r="NQ161" s="1"/>
      <c r="NR161" s="1"/>
      <c r="NS161" s="1"/>
      <c r="NT161" s="1"/>
      <c r="NU161" s="1"/>
      <c r="NV161" s="1"/>
      <c r="NW161" s="1"/>
      <c r="NX161" s="1"/>
      <c r="NY161" s="1"/>
      <c r="NZ161" s="1"/>
      <c r="OA161" s="1"/>
      <c r="OB161" s="1"/>
      <c r="OC161" s="1"/>
      <c r="OD161" s="1"/>
      <c r="OE161" s="1"/>
      <c r="OF161" s="1"/>
      <c r="OG161" s="1"/>
      <c r="OH161" s="1"/>
      <c r="OI161" s="1"/>
      <c r="OJ161" s="1"/>
      <c r="OK161" s="1"/>
      <c r="OL161" s="1"/>
      <c r="OM161" s="1"/>
      <c r="ON161" s="1"/>
      <c r="OO161" s="1"/>
      <c r="OP161" s="1"/>
      <c r="OQ161" s="1"/>
      <c r="OR161" s="1"/>
      <c r="OS161" s="1"/>
      <c r="OT161" s="1"/>
      <c r="OU161" s="1"/>
      <c r="OV161" s="1"/>
      <c r="OW161" s="1"/>
      <c r="OX161" s="1"/>
      <c r="OY161" s="1"/>
      <c r="OZ161" s="1"/>
      <c r="PA161" s="1"/>
      <c r="PB161" s="1"/>
      <c r="PC161" s="1"/>
      <c r="PD161" s="1"/>
      <c r="PE161" s="1"/>
      <c r="PF161" s="1"/>
      <c r="PG161" s="1"/>
      <c r="PH161" s="1"/>
      <c r="PI161" s="1"/>
      <c r="PJ161" s="1"/>
      <c r="PK161" s="1"/>
      <c r="PL161" s="1"/>
      <c r="PM161" s="1"/>
      <c r="PN161" s="1"/>
      <c r="PO161" s="1"/>
      <c r="PP161" s="1"/>
      <c r="PQ161" s="1"/>
      <c r="PR161" s="1"/>
      <c r="PS161" s="1"/>
      <c r="PT161" s="1"/>
      <c r="PU161" s="1"/>
      <c r="PV161" s="1"/>
      <c r="PW161" s="1"/>
      <c r="PX161" s="1"/>
      <c r="PY161" s="1"/>
      <c r="PZ161" s="1"/>
      <c r="QA161" s="1"/>
      <c r="QB161" s="1"/>
      <c r="QC161" s="1"/>
      <c r="QD161" s="1"/>
      <c r="QE161" s="1"/>
      <c r="QF161" s="1"/>
      <c r="QG161" s="1"/>
      <c r="QH161" s="1"/>
      <c r="QI161" s="1"/>
      <c r="QJ161" s="1"/>
      <c r="QK161" s="1"/>
      <c r="QL161" s="1"/>
      <c r="QM161" s="1"/>
      <c r="QN161" s="1"/>
      <c r="QO161" s="1"/>
      <c r="QP161" s="1"/>
      <c r="QQ161" s="1"/>
      <c r="QR161" s="1"/>
      <c r="QS161" s="1"/>
      <c r="QT161" s="1"/>
      <c r="QU161" s="1"/>
      <c r="QV161" s="1"/>
      <c r="QW161" s="1"/>
      <c r="QX161" s="1"/>
      <c r="QY161" s="1"/>
      <c r="QZ161" s="1"/>
      <c r="RA161" s="1"/>
      <c r="RB161" s="1"/>
      <c r="RC161" s="1"/>
      <c r="RD161" s="1"/>
      <c r="RE161" s="1"/>
      <c r="RF161" s="1"/>
      <c r="RG161" s="1"/>
      <c r="RH161" s="1"/>
      <c r="RI161" s="1"/>
      <c r="RJ161" s="1"/>
      <c r="RK161" s="1"/>
      <c r="RL161" s="1"/>
      <c r="RM161" s="1"/>
      <c r="RN161" s="1"/>
      <c r="RO161" s="1"/>
      <c r="RP161" s="1"/>
      <c r="RQ161" s="1"/>
      <c r="RR161" s="1"/>
      <c r="RS161" s="1"/>
      <c r="RT161" s="1"/>
      <c r="RU161" s="1"/>
      <c r="RV161" s="1"/>
      <c r="RW161" s="1"/>
      <c r="RX161" s="1"/>
      <c r="RY161" s="1"/>
      <c r="RZ161" s="1"/>
      <c r="SA161" s="1"/>
      <c r="SB161" s="1"/>
      <c r="SC161" s="1"/>
      <c r="SD161" s="1"/>
      <c r="SE161" s="1"/>
      <c r="SF161" s="1"/>
      <c r="SG161" s="1"/>
      <c r="SH161" s="1"/>
      <c r="SI161" s="1"/>
      <c r="SJ161" s="1"/>
      <c r="SK161" s="1"/>
      <c r="SL161" s="1"/>
      <c r="SM161" s="1"/>
      <c r="SN161" s="1"/>
      <c r="SO161" s="1"/>
      <c r="SP161" s="1"/>
      <c r="SQ161" s="1"/>
      <c r="SR161" s="1"/>
      <c r="SS161" s="1"/>
      <c r="ST161" s="1"/>
      <c r="SU161" s="1"/>
      <c r="SV161" s="1"/>
      <c r="SW161" s="1"/>
      <c r="SX161" s="1"/>
      <c r="SY161" s="1"/>
      <c r="SZ161" s="1"/>
      <c r="TA161" s="1"/>
      <c r="TB161" s="1"/>
      <c r="TC161" s="1"/>
      <c r="TD161" s="1"/>
      <c r="TE161" s="1"/>
      <c r="TF161" s="1"/>
      <c r="TG161" s="1"/>
      <c r="TH161" s="1"/>
      <c r="TI161" s="1"/>
      <c r="TJ161" s="1"/>
      <c r="TK161" s="1"/>
      <c r="TL161" s="1"/>
      <c r="TM161" s="1"/>
      <c r="TN161" s="1"/>
      <c r="TO161" s="1"/>
      <c r="TP161" s="1"/>
      <c r="TQ161" s="1"/>
      <c r="TR161" s="1"/>
      <c r="TS161" s="1"/>
      <c r="TT161" s="1"/>
      <c r="TU161" s="1"/>
      <c r="TV161" s="1"/>
      <c r="TW161" s="1"/>
      <c r="TX161" s="1"/>
      <c r="TY161" s="1"/>
      <c r="TZ161" s="1"/>
      <c r="UA161" s="1"/>
      <c r="UB161" s="1"/>
      <c r="UC161" s="1"/>
      <c r="UD161" s="1"/>
      <c r="UE161" s="1"/>
      <c r="UF161" s="1"/>
      <c r="UG161" s="1"/>
      <c r="UH161" s="1"/>
      <c r="UI161" s="1"/>
      <c r="UJ161" s="1"/>
      <c r="UK161" s="1"/>
      <c r="UL161" s="1"/>
      <c r="UM161" s="1"/>
      <c r="UN161" s="1"/>
      <c r="UO161" s="1"/>
      <c r="UP161" s="1"/>
      <c r="UQ161" s="1"/>
      <c r="UR161" s="1"/>
      <c r="US161" s="1"/>
      <c r="UT161" s="1"/>
      <c r="UU161" s="1"/>
      <c r="UV161" s="1"/>
      <c r="UW161" s="1"/>
      <c r="UX161" s="1"/>
      <c r="UY161" s="1"/>
      <c r="UZ161" s="1"/>
      <c r="VA161" s="1"/>
      <c r="VB161" s="1"/>
      <c r="VC161" s="1"/>
      <c r="VD161" s="1"/>
      <c r="VE161" s="1"/>
      <c r="VF161" s="1"/>
      <c r="VG161" s="1"/>
      <c r="VH161" s="1"/>
      <c r="VI161" s="1"/>
      <c r="VJ161" s="1"/>
      <c r="VK161" s="1"/>
      <c r="VL161" s="1"/>
      <c r="VM161" s="1"/>
      <c r="VN161" s="1"/>
      <c r="VO161" s="1"/>
      <c r="VP161" s="1"/>
      <c r="VQ161" s="1"/>
      <c r="VR161" s="1"/>
      <c r="VS161" s="1"/>
      <c r="VT161" s="1"/>
      <c r="VU161" s="1"/>
      <c r="VV161" s="1"/>
      <c r="VW161" s="1"/>
      <c r="VX161" s="1"/>
      <c r="VY161" s="1"/>
      <c r="VZ161" s="1"/>
      <c r="WA161" s="1"/>
      <c r="WB161" s="1"/>
      <c r="WC161" s="1"/>
      <c r="WD161" s="1"/>
      <c r="WE161" s="1"/>
      <c r="WF161" s="1"/>
      <c r="WG161" s="1"/>
      <c r="WH161" s="1"/>
      <c r="WI161" s="1"/>
      <c r="WJ161" s="1"/>
      <c r="WK161" s="1"/>
      <c r="WL161" s="1"/>
      <c r="WM161" s="1"/>
      <c r="WN161" s="1"/>
      <c r="WO161" s="1"/>
      <c r="WP161" s="1"/>
      <c r="WQ161" s="1"/>
      <c r="WR161" s="1"/>
      <c r="WS161" s="1"/>
      <c r="WT161" s="1"/>
      <c r="WU161" s="1"/>
      <c r="WV161" s="1"/>
      <c r="WW161" s="1"/>
      <c r="WX161" s="1"/>
      <c r="WY161" s="1"/>
      <c r="WZ161" s="1"/>
      <c r="XA161" s="1"/>
      <c r="XB161" s="1"/>
      <c r="XC161" s="1"/>
      <c r="XD161" s="1"/>
      <c r="XE161" s="1"/>
      <c r="XF161" s="1"/>
      <c r="XG161" s="1"/>
      <c r="XH161" s="1"/>
      <c r="XI161" s="1"/>
      <c r="XJ161" s="1"/>
      <c r="XK161" s="1"/>
      <c r="XL161" s="1"/>
      <c r="XM161" s="1"/>
      <c r="XN161" s="1"/>
      <c r="XO161" s="1"/>
      <c r="XP161" s="1"/>
      <c r="XQ161" s="1"/>
      <c r="XR161" s="1"/>
      <c r="XS161" s="1"/>
      <c r="XT161" s="1"/>
      <c r="XU161" s="1"/>
      <c r="XV161" s="1"/>
      <c r="XW161" s="1"/>
      <c r="XX161" s="1"/>
      <c r="XY161" s="1"/>
      <c r="XZ161" s="1"/>
      <c r="YA161" s="1"/>
      <c r="YB161" s="1"/>
      <c r="YC161" s="1"/>
      <c r="YD161" s="1"/>
      <c r="YE161" s="1"/>
      <c r="YF161" s="1"/>
      <c r="YG161" s="1"/>
      <c r="YH161" s="1"/>
      <c r="YI161" s="1"/>
      <c r="YJ161" s="1"/>
      <c r="YK161" s="1"/>
      <c r="YL161" s="1"/>
      <c r="YM161" s="1"/>
      <c r="YN161" s="1"/>
      <c r="YO161" s="1"/>
      <c r="YP161" s="1"/>
      <c r="YQ161" s="1"/>
      <c r="YR161" s="1"/>
      <c r="YS161" s="1"/>
      <c r="YT161" s="1"/>
      <c r="YU161" s="1"/>
      <c r="YV161" s="1"/>
      <c r="YW161" s="1"/>
      <c r="YX161" s="1"/>
      <c r="YY161" s="1"/>
      <c r="YZ161" s="1"/>
      <c r="ZA161" s="1"/>
      <c r="ZB161" s="1"/>
      <c r="ZC161" s="1"/>
      <c r="ZD161" s="1"/>
      <c r="ZE161" s="1"/>
      <c r="ZF161" s="1"/>
      <c r="ZG161" s="1"/>
      <c r="ZH161" s="1"/>
      <c r="ZI161" s="1"/>
      <c r="ZJ161" s="1"/>
      <c r="ZK161" s="1"/>
      <c r="ZL161" s="1"/>
      <c r="ZM161" s="1"/>
      <c r="ZN161" s="1"/>
      <c r="ZO161" s="1"/>
      <c r="ZP161" s="1"/>
      <c r="ZQ161" s="1"/>
      <c r="ZR161" s="1"/>
      <c r="ZS161" s="1"/>
      <c r="ZT161" s="1"/>
      <c r="ZU161" s="1"/>
      <c r="ZV161" s="1"/>
      <c r="ZW161" s="1"/>
      <c r="ZX161" s="1"/>
      <c r="ZY161" s="1"/>
      <c r="ZZ161" s="1"/>
      <c r="AAA161" s="1"/>
      <c r="AAB161" s="1"/>
      <c r="AAC161" s="1"/>
      <c r="AAD161" s="1"/>
      <c r="AAE161" s="1"/>
      <c r="AAF161" s="1"/>
      <c r="AAG161" s="1"/>
      <c r="AAH161" s="1"/>
      <c r="AAI161" s="1"/>
      <c r="AAJ161" s="1"/>
      <c r="AAK161" s="1"/>
      <c r="AAL161" s="1"/>
      <c r="AAM161" s="1"/>
      <c r="AAN161" s="1"/>
      <c r="AAO161" s="1"/>
      <c r="AAP161" s="1"/>
      <c r="AAQ161" s="1"/>
      <c r="AAR161" s="1"/>
      <c r="AAS161" s="1"/>
      <c r="AAT161" s="1"/>
      <c r="AAU161" s="1"/>
      <c r="AAV161" s="1"/>
      <c r="AAW161" s="1"/>
      <c r="AAX161" s="1"/>
      <c r="AAY161" s="1"/>
      <c r="AAZ161" s="1"/>
      <c r="ABA161" s="1"/>
      <c r="ABB161" s="1"/>
      <c r="ABC161" s="1"/>
      <c r="ABD161" s="1"/>
      <c r="ABE161" s="1"/>
      <c r="ABF161" s="1"/>
      <c r="ABG161" s="1"/>
      <c r="ABH161" s="1"/>
      <c r="ABI161" s="1"/>
      <c r="ABJ161" s="1"/>
      <c r="ABK161" s="1"/>
      <c r="ABL161" s="1"/>
      <c r="ABM161" s="1"/>
      <c r="ABN161" s="1"/>
      <c r="ABO161" s="1"/>
      <c r="ABP161" s="1"/>
      <c r="ABQ161" s="1"/>
      <c r="ABR161" s="1"/>
      <c r="ABS161" s="1"/>
      <c r="ABT161" s="1"/>
      <c r="ABU161" s="1"/>
      <c r="ABV161" s="1"/>
      <c r="ABW161" s="1"/>
      <c r="ABX161" s="1"/>
      <c r="ABY161" s="1"/>
      <c r="ABZ161" s="1"/>
      <c r="ACA161" s="1"/>
      <c r="ACB161" s="1"/>
      <c r="ACC161" s="1"/>
      <c r="ACD161" s="1"/>
      <c r="ACE161" s="1"/>
      <c r="ACF161" s="1"/>
      <c r="ACG161" s="1"/>
      <c r="ACH161" s="1"/>
      <c r="ACI161" s="1"/>
      <c r="ACJ161" s="1"/>
      <c r="ACK161" s="1"/>
      <c r="ACL161" s="1"/>
      <c r="ACM161" s="1"/>
      <c r="ACN161" s="1"/>
      <c r="ACO161" s="1"/>
      <c r="ACP161" s="1"/>
      <c r="ACQ161" s="1"/>
      <c r="ACR161" s="1"/>
      <c r="ACS161" s="1"/>
      <c r="ACT161" s="1"/>
      <c r="ACU161" s="1"/>
      <c r="ACV161" s="1"/>
      <c r="ACW161" s="1"/>
      <c r="ACX161" s="1"/>
      <c r="ACY161" s="1"/>
      <c r="ACZ161" s="1"/>
      <c r="ADA161" s="1"/>
      <c r="ADB161" s="1"/>
      <c r="ADC161" s="1"/>
      <c r="ADD161" s="1"/>
      <c r="ADE161" s="1"/>
      <c r="ADF161" s="1"/>
      <c r="ADG161" s="1"/>
      <c r="ADH161" s="1"/>
      <c r="ADI161" s="1"/>
      <c r="ADJ161" s="1"/>
      <c r="ADK161" s="1"/>
      <c r="ADL161" s="1"/>
      <c r="ADM161" s="1"/>
      <c r="ADN161" s="1"/>
      <c r="ADO161" s="1"/>
      <c r="ADP161" s="1"/>
      <c r="ADQ161" s="1"/>
      <c r="ADR161" s="1"/>
      <c r="ADS161" s="1"/>
      <c r="ADT161" s="1"/>
      <c r="ADU161" s="1"/>
      <c r="ADV161" s="1"/>
      <c r="ADW161" s="1"/>
      <c r="ADX161" s="1"/>
      <c r="ADY161" s="1"/>
      <c r="ADZ161" s="1"/>
      <c r="AEA161" s="1"/>
      <c r="AEB161" s="1"/>
      <c r="AEC161" s="1"/>
      <c r="AED161" s="1"/>
      <c r="AEE161" s="1"/>
      <c r="AEF161" s="1"/>
      <c r="AEG161" s="1"/>
      <c r="AEH161" s="1"/>
      <c r="AEI161" s="1"/>
      <c r="AEJ161" s="1"/>
      <c r="AEK161" s="1"/>
      <c r="AEL161" s="1"/>
      <c r="AEM161" s="1"/>
      <c r="AEN161" s="1"/>
      <c r="AEO161" s="1"/>
      <c r="AEP161" s="1"/>
      <c r="AEQ161" s="1"/>
      <c r="AER161" s="1"/>
      <c r="AES161" s="1"/>
      <c r="AET161" s="1"/>
      <c r="AEU161" s="1"/>
      <c r="AEV161" s="1"/>
      <c r="AEW161" s="1"/>
      <c r="AEX161" s="1"/>
      <c r="AEY161" s="1"/>
      <c r="AEZ161" s="1"/>
      <c r="AFA161" s="1"/>
      <c r="AFB161" s="1"/>
      <c r="AFC161" s="1"/>
      <c r="AFD161" s="1"/>
      <c r="AFE161" s="1"/>
      <c r="AFF161" s="1"/>
      <c r="AFG161" s="1"/>
      <c r="AFH161" s="1"/>
      <c r="AFI161" s="1"/>
      <c r="AFJ161" s="1"/>
      <c r="AFK161" s="1"/>
      <c r="AFL161" s="1"/>
      <c r="AFM161" s="1"/>
      <c r="AFN161" s="1"/>
      <c r="AFO161" s="1"/>
      <c r="AFP161" s="1"/>
      <c r="AFQ161" s="1"/>
      <c r="AFR161" s="1"/>
      <c r="AFS161" s="1"/>
      <c r="AFT161" s="1"/>
      <c r="AFU161" s="1"/>
      <c r="AFV161" s="1"/>
      <c r="AFW161" s="1"/>
      <c r="AFX161" s="1"/>
      <c r="AFY161" s="1"/>
      <c r="AFZ161" s="1"/>
      <c r="AGA161" s="1"/>
      <c r="AGB161" s="1"/>
      <c r="AGC161" s="1"/>
      <c r="AGD161" s="1"/>
      <c r="AGE161" s="1"/>
      <c r="AGF161" s="1"/>
      <c r="AGG161" s="1"/>
      <c r="AGH161" s="1"/>
      <c r="AGI161" s="1"/>
      <c r="AGJ161" s="1"/>
      <c r="AGK161" s="1"/>
      <c r="AGL161" s="1"/>
      <c r="AGM161" s="1"/>
      <c r="AGN161" s="1"/>
      <c r="AGO161" s="1"/>
      <c r="AGP161" s="1"/>
      <c r="AGQ161" s="1"/>
      <c r="AGR161" s="1"/>
      <c r="AGS161" s="1"/>
      <c r="AGT161" s="1"/>
      <c r="AGU161" s="1"/>
      <c r="AGV161" s="1"/>
      <c r="AGW161" s="1"/>
      <c r="AGX161" s="1"/>
      <c r="AGY161" s="1"/>
      <c r="AGZ161" s="1"/>
      <c r="AHA161" s="1"/>
      <c r="AHB161" s="1"/>
      <c r="AHC161" s="1"/>
      <c r="AHD161" s="1"/>
      <c r="AHE161" s="1"/>
      <c r="AHF161" s="1"/>
      <c r="AHG161" s="1"/>
      <c r="AHH161" s="1"/>
      <c r="AHI161" s="1"/>
      <c r="AHJ161" s="1"/>
      <c r="AHK161" s="1"/>
      <c r="AHL161" s="1"/>
      <c r="AHM161" s="1"/>
      <c r="AHN161" s="1"/>
      <c r="AHO161" s="1"/>
      <c r="AHP161" s="1"/>
      <c r="AHQ161" s="1"/>
      <c r="AHR161" s="1"/>
      <c r="AHS161" s="1"/>
      <c r="AHT161" s="1"/>
      <c r="AHU161" s="1"/>
      <c r="AHV161" s="1"/>
      <c r="AHW161" s="1"/>
      <c r="AHX161" s="1"/>
      <c r="AHY161" s="1"/>
      <c r="AHZ161" s="1"/>
      <c r="AIA161" s="1"/>
      <c r="AIB161" s="1"/>
      <c r="AIC161" s="1"/>
      <c r="AID161" s="1"/>
      <c r="AIE161" s="1"/>
      <c r="AIF161" s="1"/>
      <c r="AIG161" s="1"/>
      <c r="AIH161" s="1"/>
      <c r="AII161" s="1"/>
      <c r="AIJ161" s="1"/>
      <c r="AIK161" s="1"/>
      <c r="AIL161" s="1"/>
      <c r="AIM161" s="1"/>
      <c r="AIN161" s="1"/>
      <c r="AIO161" s="1"/>
      <c r="AIP161" s="1"/>
      <c r="AIQ161" s="1"/>
      <c r="AIR161" s="1"/>
      <c r="AIS161" s="1"/>
      <c r="AIT161" s="1"/>
      <c r="AIU161" s="1"/>
      <c r="AIV161" s="1"/>
      <c r="AIW161" s="1"/>
      <c r="AIX161" s="1"/>
      <c r="AIY161" s="1"/>
      <c r="AIZ161" s="1"/>
      <c r="AJA161" s="1"/>
      <c r="AJB161" s="1"/>
      <c r="AJC161" s="1"/>
      <c r="AJD161" s="1"/>
      <c r="AJE161" s="1"/>
      <c r="AJF161" s="1"/>
      <c r="AJG161" s="1"/>
      <c r="AJH161" s="1"/>
      <c r="AJI161" s="1"/>
      <c r="AJJ161" s="1"/>
      <c r="AJK161" s="1"/>
      <c r="AJL161" s="1"/>
      <c r="AJM161" s="1"/>
      <c r="AJN161" s="1"/>
      <c r="AJO161" s="1"/>
      <c r="AJP161" s="1"/>
      <c r="AJQ161" s="1"/>
      <c r="AJR161" s="1"/>
      <c r="AJS161" s="1"/>
      <c r="AJT161" s="1"/>
      <c r="AJU161" s="1"/>
      <c r="AJV161" s="1"/>
      <c r="AJW161" s="1"/>
      <c r="AJX161" s="1"/>
      <c r="AJY161" s="1"/>
      <c r="AJZ161" s="1"/>
      <c r="AKA161" s="1"/>
      <c r="AKB161" s="1"/>
      <c r="AKC161" s="1"/>
      <c r="AKD161" s="1"/>
      <c r="AKE161" s="1"/>
      <c r="AKF161" s="1"/>
      <c r="AKG161" s="1"/>
      <c r="AKH161" s="1"/>
      <c r="AKI161" s="1"/>
      <c r="AKJ161" s="1"/>
      <c r="AKK161" s="1"/>
      <c r="AKL161" s="1"/>
      <c r="AKM161" s="1"/>
      <c r="AKN161" s="1"/>
      <c r="AKO161" s="1"/>
      <c r="AKP161" s="1"/>
      <c r="AKQ161" s="1"/>
      <c r="AKR161" s="1"/>
      <c r="AKS161" s="1"/>
      <c r="AKT161" s="1"/>
      <c r="AKU161" s="1"/>
      <c r="AKV161" s="1"/>
      <c r="AKW161" s="1"/>
      <c r="AKX161" s="1"/>
      <c r="AKY161" s="1"/>
      <c r="AKZ161" s="1"/>
      <c r="ALA161" s="1"/>
      <c r="ALB161" s="1"/>
      <c r="ALC161" s="1"/>
      <c r="ALD161" s="1"/>
      <c r="ALE161" s="1"/>
      <c r="ALF161" s="1"/>
      <c r="ALG161" s="1"/>
      <c r="ALH161" s="1"/>
      <c r="ALI161" s="1"/>
      <c r="ALJ161" s="1"/>
      <c r="ALK161" s="1"/>
      <c r="ALL161" s="1"/>
      <c r="ALM161" s="1"/>
      <c r="ALN161" s="1"/>
      <c r="ALO161" s="1"/>
      <c r="ALP161" s="1"/>
      <c r="ALQ161" s="1"/>
      <c r="ALR161" s="1"/>
      <c r="ALS161" s="1"/>
      <c r="ALT161" s="1"/>
      <c r="ALU161" s="1"/>
      <c r="ALV161" s="1"/>
      <c r="ALW161" s="1"/>
      <c r="ALX161" s="1"/>
      <c r="ALY161" s="1"/>
      <c r="ALZ161" s="1"/>
      <c r="AMA161" s="1"/>
      <c r="AMB161" s="1"/>
      <c r="AMC161" s="1"/>
      <c r="AMD161" s="1"/>
      <c r="AME161" s="1"/>
      <c r="AMF161" s="1"/>
      <c r="AMG161" s="1"/>
      <c r="AMH161" s="1"/>
      <c r="AMI161" s="1"/>
      <c r="AMJ161" s="1"/>
    </row>
    <row r="162" customFormat="false" ht="10.5" hidden="false" customHeight="true" outlineLevel="0" collapsed="false">
      <c r="A162" s="221"/>
      <c r="B162" s="221"/>
      <c r="C162" s="221"/>
      <c r="D162" s="221"/>
      <c r="E162" s="221"/>
      <c r="F162" s="221"/>
      <c r="G162" s="222"/>
      <c r="H162" s="222"/>
      <c r="I162" s="222"/>
      <c r="J162" s="222"/>
      <c r="K162" s="222"/>
      <c r="L162" s="222"/>
      <c r="M162" s="222"/>
      <c r="N162" s="222"/>
      <c r="O162" s="222"/>
      <c r="P162" s="222"/>
      <c r="Q162" s="222"/>
      <c r="R162" s="222"/>
      <c r="S162" s="222"/>
      <c r="T162" s="222"/>
      <c r="U162" s="222"/>
      <c r="V162" s="222"/>
      <c r="W162" s="222"/>
      <c r="X162" s="222"/>
      <c r="Y162" s="222"/>
      <c r="Z162" s="222"/>
      <c r="AA162" s="222"/>
      <c r="AB162" s="222"/>
      <c r="AC162" s="222"/>
      <c r="AD162" s="222"/>
      <c r="AE162" s="222"/>
      <c r="AF162" s="222"/>
      <c r="AG162" s="222"/>
      <c r="AH162" s="222"/>
      <c r="AI162" s="140" t="n">
        <f aca="false">SUM(A162:AH162)</f>
        <v>0</v>
      </c>
      <c r="AJ162" s="140"/>
      <c r="AK162" s="140"/>
      <c r="AL162" s="140"/>
      <c r="AM162" s="140"/>
      <c r="AN162" s="140"/>
      <c r="AO162" s="140"/>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c r="CE162" s="1"/>
      <c r="CF162" s="1"/>
      <c r="CG162" s="1"/>
      <c r="CH162" s="1"/>
      <c r="CI162" s="1"/>
      <c r="CJ162" s="1"/>
      <c r="CK162" s="1"/>
      <c r="CL162" s="1"/>
      <c r="CM162" s="1"/>
      <c r="CN162" s="1"/>
      <c r="CO162" s="1"/>
      <c r="CP162" s="1"/>
      <c r="CQ162" s="1"/>
      <c r="CR162" s="1"/>
      <c r="CS162" s="1"/>
      <c r="CT162" s="1"/>
      <c r="CU162" s="1"/>
      <c r="CV162" s="1"/>
      <c r="CW162" s="1"/>
      <c r="CX162" s="1"/>
      <c r="CY162" s="1"/>
      <c r="CZ162" s="1"/>
      <c r="DA162" s="1"/>
      <c r="DB162" s="1"/>
      <c r="DC162" s="1"/>
      <c r="DD162" s="1"/>
      <c r="DE162" s="1"/>
      <c r="DF162" s="1"/>
      <c r="DG162" s="1"/>
      <c r="DH162" s="1"/>
      <c r="DI162" s="1"/>
      <c r="DJ162" s="1"/>
      <c r="DK162" s="1"/>
      <c r="DL162" s="1"/>
      <c r="DM162" s="1"/>
      <c r="DN162" s="1"/>
      <c r="DO162" s="1"/>
      <c r="DP162" s="1"/>
      <c r="DQ162" s="1"/>
      <c r="DR162" s="1"/>
      <c r="DS162" s="1"/>
      <c r="DT162" s="1"/>
      <c r="DU162" s="1"/>
      <c r="DV162" s="1"/>
      <c r="DW162" s="1"/>
      <c r="DX162" s="1"/>
      <c r="DY162" s="1"/>
      <c r="DZ162" s="1"/>
      <c r="EA162" s="1"/>
      <c r="EB162" s="1"/>
      <c r="EC162" s="1"/>
      <c r="ED162" s="1"/>
      <c r="EE162" s="1"/>
      <c r="EF162" s="1"/>
      <c r="EG162" s="1"/>
      <c r="EH162" s="1"/>
      <c r="EI162" s="1"/>
      <c r="EJ162" s="1"/>
      <c r="EK162" s="1"/>
      <c r="EL162" s="1"/>
      <c r="EM162" s="1"/>
      <c r="EN162" s="1"/>
      <c r="EO162" s="1"/>
      <c r="EP162" s="1"/>
      <c r="EQ162" s="1"/>
      <c r="ER162" s="1"/>
      <c r="ES162" s="1"/>
      <c r="ET162" s="1"/>
      <c r="EU162" s="1"/>
      <c r="EV162" s="1"/>
      <c r="EW162" s="1"/>
      <c r="EX162" s="1"/>
      <c r="EY162" s="1"/>
      <c r="EZ162" s="1"/>
      <c r="FA162" s="1"/>
      <c r="FB162" s="1"/>
      <c r="FC162" s="1"/>
      <c r="FD162" s="1"/>
      <c r="FE162" s="1"/>
      <c r="FF162" s="1"/>
      <c r="FG162" s="1"/>
      <c r="FH162" s="1"/>
      <c r="FI162" s="1"/>
      <c r="FJ162" s="1"/>
      <c r="FK162" s="1"/>
      <c r="FL162" s="1"/>
      <c r="FM162" s="1"/>
      <c r="FN162" s="1"/>
      <c r="FO162" s="1"/>
      <c r="FP162" s="1"/>
      <c r="FQ162" s="1"/>
      <c r="FR162" s="1"/>
      <c r="FS162" s="1"/>
      <c r="FT162" s="1"/>
      <c r="FU162" s="1"/>
      <c r="FV162" s="1"/>
      <c r="FW162" s="1"/>
      <c r="FX162" s="1"/>
      <c r="FY162" s="1"/>
      <c r="FZ162" s="1"/>
      <c r="GA162" s="1"/>
      <c r="GB162" s="1"/>
      <c r="GC162" s="1"/>
      <c r="GD162" s="1"/>
      <c r="GE162" s="1"/>
      <c r="GF162" s="1"/>
      <c r="GG162" s="1"/>
      <c r="GH162" s="1"/>
      <c r="GI162" s="1"/>
      <c r="GJ162" s="1"/>
      <c r="GK162" s="1"/>
      <c r="GL162" s="1"/>
      <c r="GM162" s="1"/>
      <c r="GN162" s="1"/>
      <c r="GO162" s="1"/>
      <c r="GP162" s="1"/>
      <c r="GQ162" s="1"/>
      <c r="GR162" s="1"/>
      <c r="GS162" s="1"/>
      <c r="GT162" s="1"/>
      <c r="GU162" s="1"/>
      <c r="GV162" s="1"/>
      <c r="GW162" s="1"/>
      <c r="GX162" s="1"/>
      <c r="GY162" s="1"/>
      <c r="GZ162" s="1"/>
      <c r="HA162" s="1"/>
      <c r="HB162" s="1"/>
      <c r="HC162" s="1"/>
      <c r="HD162" s="1"/>
      <c r="HE162" s="1"/>
      <c r="HF162" s="1"/>
      <c r="HG162" s="1"/>
      <c r="HH162" s="1"/>
      <c r="HI162" s="1"/>
      <c r="HJ162" s="1"/>
      <c r="HK162" s="1"/>
      <c r="HL162" s="1"/>
      <c r="HM162" s="1"/>
      <c r="HN162" s="1"/>
      <c r="HO162" s="1"/>
      <c r="HP162" s="1"/>
      <c r="HQ162" s="1"/>
      <c r="HR162" s="1"/>
      <c r="HS162" s="1"/>
      <c r="HT162" s="1"/>
      <c r="HU162" s="1"/>
      <c r="HV162" s="1"/>
      <c r="HW162" s="1"/>
      <c r="HX162" s="1"/>
      <c r="HY162" s="1"/>
      <c r="HZ162" s="1"/>
      <c r="IA162" s="1"/>
      <c r="IB162" s="1"/>
      <c r="IC162" s="1"/>
      <c r="ID162" s="1"/>
      <c r="IE162" s="1"/>
      <c r="IF162" s="1"/>
      <c r="IG162" s="1"/>
      <c r="IH162" s="1"/>
      <c r="II162" s="1"/>
      <c r="IJ162" s="1"/>
      <c r="IK162" s="1"/>
      <c r="IL162" s="1"/>
      <c r="IM162" s="1"/>
      <c r="IN162" s="1"/>
      <c r="IO162" s="1"/>
      <c r="IP162" s="1"/>
      <c r="IQ162" s="1"/>
      <c r="IR162" s="1"/>
      <c r="IS162" s="1"/>
      <c r="IT162" s="1"/>
      <c r="IU162" s="1"/>
      <c r="IV162" s="1"/>
      <c r="IW162" s="1"/>
      <c r="IX162" s="1"/>
      <c r="IY162" s="1"/>
      <c r="IZ162" s="1"/>
      <c r="JA162" s="1"/>
      <c r="JB162" s="1"/>
      <c r="JC162" s="1"/>
      <c r="JD162" s="1"/>
      <c r="JE162" s="1"/>
      <c r="JF162" s="1"/>
      <c r="JG162" s="1"/>
      <c r="JH162" s="1"/>
      <c r="JI162" s="1"/>
      <c r="JJ162" s="1"/>
      <c r="JK162" s="1"/>
      <c r="JL162" s="1"/>
      <c r="JM162" s="1"/>
      <c r="JN162" s="1"/>
      <c r="JO162" s="1"/>
      <c r="JP162" s="1"/>
      <c r="JQ162" s="1"/>
      <c r="JR162" s="1"/>
      <c r="JS162" s="1"/>
      <c r="JT162" s="1"/>
      <c r="JU162" s="1"/>
      <c r="JV162" s="1"/>
      <c r="JW162" s="1"/>
      <c r="JX162" s="1"/>
      <c r="JY162" s="1"/>
      <c r="JZ162" s="1"/>
      <c r="KA162" s="1"/>
      <c r="KB162" s="1"/>
      <c r="KC162" s="1"/>
      <c r="KD162" s="1"/>
      <c r="KE162" s="1"/>
      <c r="KF162" s="1"/>
      <c r="KG162" s="1"/>
      <c r="KH162" s="1"/>
      <c r="KI162" s="1"/>
      <c r="KJ162" s="1"/>
      <c r="KK162" s="1"/>
      <c r="KL162" s="1"/>
      <c r="KM162" s="1"/>
      <c r="KN162" s="1"/>
      <c r="KO162" s="1"/>
      <c r="KP162" s="1"/>
      <c r="KQ162" s="1"/>
      <c r="KR162" s="1"/>
      <c r="KS162" s="1"/>
      <c r="KT162" s="1"/>
      <c r="KU162" s="1"/>
      <c r="KV162" s="1"/>
      <c r="KW162" s="1"/>
      <c r="KX162" s="1"/>
      <c r="KY162" s="1"/>
      <c r="KZ162" s="1"/>
      <c r="LA162" s="1"/>
      <c r="LB162" s="1"/>
      <c r="LC162" s="1"/>
      <c r="LD162" s="1"/>
      <c r="LE162" s="1"/>
      <c r="LF162" s="1"/>
      <c r="LG162" s="1"/>
      <c r="LH162" s="1"/>
      <c r="LI162" s="1"/>
      <c r="LJ162" s="1"/>
      <c r="LK162" s="1"/>
      <c r="LL162" s="1"/>
      <c r="LM162" s="1"/>
      <c r="LN162" s="1"/>
      <c r="LO162" s="1"/>
      <c r="LP162" s="1"/>
      <c r="LQ162" s="1"/>
      <c r="LR162" s="1"/>
      <c r="LS162" s="1"/>
      <c r="LT162" s="1"/>
      <c r="LU162" s="1"/>
      <c r="LV162" s="1"/>
      <c r="LW162" s="1"/>
      <c r="LX162" s="1"/>
      <c r="LY162" s="1"/>
      <c r="LZ162" s="1"/>
      <c r="MA162" s="1"/>
      <c r="MB162" s="1"/>
      <c r="MC162" s="1"/>
      <c r="MD162" s="1"/>
      <c r="ME162" s="1"/>
      <c r="MF162" s="1"/>
      <c r="MG162" s="1"/>
      <c r="MH162" s="1"/>
      <c r="MI162" s="1"/>
      <c r="MJ162" s="1"/>
      <c r="MK162" s="1"/>
      <c r="ML162" s="1"/>
      <c r="MM162" s="1"/>
      <c r="MN162" s="1"/>
      <c r="MO162" s="1"/>
      <c r="MP162" s="1"/>
      <c r="MQ162" s="1"/>
      <c r="MR162" s="1"/>
      <c r="MS162" s="1"/>
      <c r="MT162" s="1"/>
      <c r="MU162" s="1"/>
      <c r="MV162" s="1"/>
      <c r="MW162" s="1"/>
      <c r="MX162" s="1"/>
      <c r="MY162" s="1"/>
      <c r="MZ162" s="1"/>
      <c r="NA162" s="1"/>
      <c r="NB162" s="1"/>
      <c r="NC162" s="1"/>
      <c r="ND162" s="1"/>
      <c r="NE162" s="1"/>
      <c r="NF162" s="1"/>
      <c r="NG162" s="1"/>
      <c r="NH162" s="1"/>
      <c r="NI162" s="1"/>
      <c r="NJ162" s="1"/>
      <c r="NK162" s="1"/>
      <c r="NL162" s="1"/>
      <c r="NM162" s="1"/>
      <c r="NN162" s="1"/>
      <c r="NO162" s="1"/>
      <c r="NP162" s="1"/>
      <c r="NQ162" s="1"/>
      <c r="NR162" s="1"/>
      <c r="NS162" s="1"/>
      <c r="NT162" s="1"/>
      <c r="NU162" s="1"/>
      <c r="NV162" s="1"/>
      <c r="NW162" s="1"/>
      <c r="NX162" s="1"/>
      <c r="NY162" s="1"/>
      <c r="NZ162" s="1"/>
      <c r="OA162" s="1"/>
      <c r="OB162" s="1"/>
      <c r="OC162" s="1"/>
      <c r="OD162" s="1"/>
      <c r="OE162" s="1"/>
      <c r="OF162" s="1"/>
      <c r="OG162" s="1"/>
      <c r="OH162" s="1"/>
      <c r="OI162" s="1"/>
      <c r="OJ162" s="1"/>
      <c r="OK162" s="1"/>
      <c r="OL162" s="1"/>
      <c r="OM162" s="1"/>
      <c r="ON162" s="1"/>
      <c r="OO162" s="1"/>
      <c r="OP162" s="1"/>
      <c r="OQ162" s="1"/>
      <c r="OR162" s="1"/>
      <c r="OS162" s="1"/>
      <c r="OT162" s="1"/>
      <c r="OU162" s="1"/>
      <c r="OV162" s="1"/>
      <c r="OW162" s="1"/>
      <c r="OX162" s="1"/>
      <c r="OY162" s="1"/>
      <c r="OZ162" s="1"/>
      <c r="PA162" s="1"/>
      <c r="PB162" s="1"/>
      <c r="PC162" s="1"/>
      <c r="PD162" s="1"/>
      <c r="PE162" s="1"/>
      <c r="PF162" s="1"/>
      <c r="PG162" s="1"/>
      <c r="PH162" s="1"/>
      <c r="PI162" s="1"/>
      <c r="PJ162" s="1"/>
      <c r="PK162" s="1"/>
      <c r="PL162" s="1"/>
      <c r="PM162" s="1"/>
      <c r="PN162" s="1"/>
      <c r="PO162" s="1"/>
      <c r="PP162" s="1"/>
      <c r="PQ162" s="1"/>
      <c r="PR162" s="1"/>
      <c r="PS162" s="1"/>
      <c r="PT162" s="1"/>
      <c r="PU162" s="1"/>
      <c r="PV162" s="1"/>
      <c r="PW162" s="1"/>
      <c r="PX162" s="1"/>
      <c r="PY162" s="1"/>
      <c r="PZ162" s="1"/>
      <c r="QA162" s="1"/>
      <c r="QB162" s="1"/>
      <c r="QC162" s="1"/>
      <c r="QD162" s="1"/>
      <c r="QE162" s="1"/>
      <c r="QF162" s="1"/>
      <c r="QG162" s="1"/>
      <c r="QH162" s="1"/>
      <c r="QI162" s="1"/>
      <c r="QJ162" s="1"/>
      <c r="QK162" s="1"/>
      <c r="QL162" s="1"/>
      <c r="QM162" s="1"/>
      <c r="QN162" s="1"/>
      <c r="QO162" s="1"/>
      <c r="QP162" s="1"/>
      <c r="QQ162" s="1"/>
      <c r="QR162" s="1"/>
      <c r="QS162" s="1"/>
      <c r="QT162" s="1"/>
      <c r="QU162" s="1"/>
      <c r="QV162" s="1"/>
      <c r="QW162" s="1"/>
      <c r="QX162" s="1"/>
      <c r="QY162" s="1"/>
      <c r="QZ162" s="1"/>
      <c r="RA162" s="1"/>
      <c r="RB162" s="1"/>
      <c r="RC162" s="1"/>
      <c r="RD162" s="1"/>
      <c r="RE162" s="1"/>
      <c r="RF162" s="1"/>
      <c r="RG162" s="1"/>
      <c r="RH162" s="1"/>
      <c r="RI162" s="1"/>
      <c r="RJ162" s="1"/>
      <c r="RK162" s="1"/>
      <c r="RL162" s="1"/>
      <c r="RM162" s="1"/>
      <c r="RN162" s="1"/>
      <c r="RO162" s="1"/>
      <c r="RP162" s="1"/>
      <c r="RQ162" s="1"/>
      <c r="RR162" s="1"/>
      <c r="RS162" s="1"/>
      <c r="RT162" s="1"/>
      <c r="RU162" s="1"/>
      <c r="RV162" s="1"/>
      <c r="RW162" s="1"/>
      <c r="RX162" s="1"/>
      <c r="RY162" s="1"/>
      <c r="RZ162" s="1"/>
      <c r="SA162" s="1"/>
      <c r="SB162" s="1"/>
      <c r="SC162" s="1"/>
      <c r="SD162" s="1"/>
      <c r="SE162" s="1"/>
      <c r="SF162" s="1"/>
      <c r="SG162" s="1"/>
      <c r="SH162" s="1"/>
      <c r="SI162" s="1"/>
      <c r="SJ162" s="1"/>
      <c r="SK162" s="1"/>
      <c r="SL162" s="1"/>
      <c r="SM162" s="1"/>
      <c r="SN162" s="1"/>
      <c r="SO162" s="1"/>
      <c r="SP162" s="1"/>
      <c r="SQ162" s="1"/>
      <c r="SR162" s="1"/>
      <c r="SS162" s="1"/>
      <c r="ST162" s="1"/>
      <c r="SU162" s="1"/>
      <c r="SV162" s="1"/>
      <c r="SW162" s="1"/>
      <c r="SX162" s="1"/>
      <c r="SY162" s="1"/>
      <c r="SZ162" s="1"/>
      <c r="TA162" s="1"/>
      <c r="TB162" s="1"/>
      <c r="TC162" s="1"/>
      <c r="TD162" s="1"/>
      <c r="TE162" s="1"/>
      <c r="TF162" s="1"/>
      <c r="TG162" s="1"/>
      <c r="TH162" s="1"/>
      <c r="TI162" s="1"/>
      <c r="TJ162" s="1"/>
      <c r="TK162" s="1"/>
      <c r="TL162" s="1"/>
      <c r="TM162" s="1"/>
      <c r="TN162" s="1"/>
      <c r="TO162" s="1"/>
      <c r="TP162" s="1"/>
      <c r="TQ162" s="1"/>
      <c r="TR162" s="1"/>
      <c r="TS162" s="1"/>
      <c r="TT162" s="1"/>
      <c r="TU162" s="1"/>
      <c r="TV162" s="1"/>
      <c r="TW162" s="1"/>
      <c r="TX162" s="1"/>
      <c r="TY162" s="1"/>
      <c r="TZ162" s="1"/>
      <c r="UA162" s="1"/>
      <c r="UB162" s="1"/>
      <c r="UC162" s="1"/>
      <c r="UD162" s="1"/>
      <c r="UE162" s="1"/>
      <c r="UF162" s="1"/>
      <c r="UG162" s="1"/>
      <c r="UH162" s="1"/>
      <c r="UI162" s="1"/>
      <c r="UJ162" s="1"/>
      <c r="UK162" s="1"/>
      <c r="UL162" s="1"/>
      <c r="UM162" s="1"/>
      <c r="UN162" s="1"/>
      <c r="UO162" s="1"/>
      <c r="UP162" s="1"/>
      <c r="UQ162" s="1"/>
      <c r="UR162" s="1"/>
      <c r="US162" s="1"/>
      <c r="UT162" s="1"/>
      <c r="UU162" s="1"/>
      <c r="UV162" s="1"/>
      <c r="UW162" s="1"/>
      <c r="UX162" s="1"/>
      <c r="UY162" s="1"/>
      <c r="UZ162" s="1"/>
      <c r="VA162" s="1"/>
      <c r="VB162" s="1"/>
      <c r="VC162" s="1"/>
      <c r="VD162" s="1"/>
      <c r="VE162" s="1"/>
      <c r="VF162" s="1"/>
      <c r="VG162" s="1"/>
      <c r="VH162" s="1"/>
      <c r="VI162" s="1"/>
      <c r="VJ162" s="1"/>
      <c r="VK162" s="1"/>
      <c r="VL162" s="1"/>
      <c r="VM162" s="1"/>
      <c r="VN162" s="1"/>
      <c r="VO162" s="1"/>
      <c r="VP162" s="1"/>
      <c r="VQ162" s="1"/>
      <c r="VR162" s="1"/>
      <c r="VS162" s="1"/>
      <c r="VT162" s="1"/>
      <c r="VU162" s="1"/>
      <c r="VV162" s="1"/>
      <c r="VW162" s="1"/>
      <c r="VX162" s="1"/>
      <c r="VY162" s="1"/>
      <c r="VZ162" s="1"/>
      <c r="WA162" s="1"/>
      <c r="WB162" s="1"/>
      <c r="WC162" s="1"/>
      <c r="WD162" s="1"/>
      <c r="WE162" s="1"/>
      <c r="WF162" s="1"/>
      <c r="WG162" s="1"/>
      <c r="WH162" s="1"/>
      <c r="WI162" s="1"/>
      <c r="WJ162" s="1"/>
      <c r="WK162" s="1"/>
      <c r="WL162" s="1"/>
      <c r="WM162" s="1"/>
      <c r="WN162" s="1"/>
      <c r="WO162" s="1"/>
      <c r="WP162" s="1"/>
      <c r="WQ162" s="1"/>
      <c r="WR162" s="1"/>
      <c r="WS162" s="1"/>
      <c r="WT162" s="1"/>
      <c r="WU162" s="1"/>
      <c r="WV162" s="1"/>
      <c r="WW162" s="1"/>
      <c r="WX162" s="1"/>
      <c r="WY162" s="1"/>
      <c r="WZ162" s="1"/>
      <c r="XA162" s="1"/>
      <c r="XB162" s="1"/>
      <c r="XC162" s="1"/>
      <c r="XD162" s="1"/>
      <c r="XE162" s="1"/>
      <c r="XF162" s="1"/>
      <c r="XG162" s="1"/>
      <c r="XH162" s="1"/>
      <c r="XI162" s="1"/>
      <c r="XJ162" s="1"/>
      <c r="XK162" s="1"/>
      <c r="XL162" s="1"/>
      <c r="XM162" s="1"/>
      <c r="XN162" s="1"/>
      <c r="XO162" s="1"/>
      <c r="XP162" s="1"/>
      <c r="XQ162" s="1"/>
      <c r="XR162" s="1"/>
      <c r="XS162" s="1"/>
      <c r="XT162" s="1"/>
      <c r="XU162" s="1"/>
      <c r="XV162" s="1"/>
      <c r="XW162" s="1"/>
      <c r="XX162" s="1"/>
      <c r="XY162" s="1"/>
      <c r="XZ162" s="1"/>
      <c r="YA162" s="1"/>
      <c r="YB162" s="1"/>
      <c r="YC162" s="1"/>
      <c r="YD162" s="1"/>
      <c r="YE162" s="1"/>
      <c r="YF162" s="1"/>
      <c r="YG162" s="1"/>
      <c r="YH162" s="1"/>
      <c r="YI162" s="1"/>
      <c r="YJ162" s="1"/>
      <c r="YK162" s="1"/>
      <c r="YL162" s="1"/>
      <c r="YM162" s="1"/>
      <c r="YN162" s="1"/>
      <c r="YO162" s="1"/>
      <c r="YP162" s="1"/>
      <c r="YQ162" s="1"/>
      <c r="YR162" s="1"/>
      <c r="YS162" s="1"/>
      <c r="YT162" s="1"/>
      <c r="YU162" s="1"/>
      <c r="YV162" s="1"/>
      <c r="YW162" s="1"/>
      <c r="YX162" s="1"/>
      <c r="YY162" s="1"/>
      <c r="YZ162" s="1"/>
      <c r="ZA162" s="1"/>
      <c r="ZB162" s="1"/>
      <c r="ZC162" s="1"/>
      <c r="ZD162" s="1"/>
      <c r="ZE162" s="1"/>
      <c r="ZF162" s="1"/>
      <c r="ZG162" s="1"/>
      <c r="ZH162" s="1"/>
      <c r="ZI162" s="1"/>
      <c r="ZJ162" s="1"/>
      <c r="ZK162" s="1"/>
      <c r="ZL162" s="1"/>
      <c r="ZM162" s="1"/>
      <c r="ZN162" s="1"/>
      <c r="ZO162" s="1"/>
      <c r="ZP162" s="1"/>
      <c r="ZQ162" s="1"/>
      <c r="ZR162" s="1"/>
      <c r="ZS162" s="1"/>
      <c r="ZT162" s="1"/>
      <c r="ZU162" s="1"/>
      <c r="ZV162" s="1"/>
      <c r="ZW162" s="1"/>
      <c r="ZX162" s="1"/>
      <c r="ZY162" s="1"/>
      <c r="ZZ162" s="1"/>
      <c r="AAA162" s="1"/>
      <c r="AAB162" s="1"/>
      <c r="AAC162" s="1"/>
      <c r="AAD162" s="1"/>
      <c r="AAE162" s="1"/>
      <c r="AAF162" s="1"/>
      <c r="AAG162" s="1"/>
      <c r="AAH162" s="1"/>
      <c r="AAI162" s="1"/>
      <c r="AAJ162" s="1"/>
      <c r="AAK162" s="1"/>
      <c r="AAL162" s="1"/>
      <c r="AAM162" s="1"/>
      <c r="AAN162" s="1"/>
      <c r="AAO162" s="1"/>
      <c r="AAP162" s="1"/>
      <c r="AAQ162" s="1"/>
      <c r="AAR162" s="1"/>
      <c r="AAS162" s="1"/>
      <c r="AAT162" s="1"/>
      <c r="AAU162" s="1"/>
      <c r="AAV162" s="1"/>
      <c r="AAW162" s="1"/>
      <c r="AAX162" s="1"/>
      <c r="AAY162" s="1"/>
      <c r="AAZ162" s="1"/>
      <c r="ABA162" s="1"/>
      <c r="ABB162" s="1"/>
      <c r="ABC162" s="1"/>
      <c r="ABD162" s="1"/>
      <c r="ABE162" s="1"/>
      <c r="ABF162" s="1"/>
      <c r="ABG162" s="1"/>
      <c r="ABH162" s="1"/>
      <c r="ABI162" s="1"/>
      <c r="ABJ162" s="1"/>
      <c r="ABK162" s="1"/>
      <c r="ABL162" s="1"/>
      <c r="ABM162" s="1"/>
      <c r="ABN162" s="1"/>
      <c r="ABO162" s="1"/>
      <c r="ABP162" s="1"/>
      <c r="ABQ162" s="1"/>
      <c r="ABR162" s="1"/>
      <c r="ABS162" s="1"/>
      <c r="ABT162" s="1"/>
      <c r="ABU162" s="1"/>
      <c r="ABV162" s="1"/>
      <c r="ABW162" s="1"/>
      <c r="ABX162" s="1"/>
      <c r="ABY162" s="1"/>
      <c r="ABZ162" s="1"/>
      <c r="ACA162" s="1"/>
      <c r="ACB162" s="1"/>
      <c r="ACC162" s="1"/>
      <c r="ACD162" s="1"/>
      <c r="ACE162" s="1"/>
      <c r="ACF162" s="1"/>
      <c r="ACG162" s="1"/>
      <c r="ACH162" s="1"/>
      <c r="ACI162" s="1"/>
      <c r="ACJ162" s="1"/>
      <c r="ACK162" s="1"/>
      <c r="ACL162" s="1"/>
      <c r="ACM162" s="1"/>
      <c r="ACN162" s="1"/>
      <c r="ACO162" s="1"/>
      <c r="ACP162" s="1"/>
      <c r="ACQ162" s="1"/>
      <c r="ACR162" s="1"/>
      <c r="ACS162" s="1"/>
      <c r="ACT162" s="1"/>
      <c r="ACU162" s="1"/>
      <c r="ACV162" s="1"/>
      <c r="ACW162" s="1"/>
      <c r="ACX162" s="1"/>
      <c r="ACY162" s="1"/>
      <c r="ACZ162" s="1"/>
      <c r="ADA162" s="1"/>
      <c r="ADB162" s="1"/>
      <c r="ADC162" s="1"/>
      <c r="ADD162" s="1"/>
      <c r="ADE162" s="1"/>
      <c r="ADF162" s="1"/>
      <c r="ADG162" s="1"/>
      <c r="ADH162" s="1"/>
      <c r="ADI162" s="1"/>
      <c r="ADJ162" s="1"/>
      <c r="ADK162" s="1"/>
      <c r="ADL162" s="1"/>
      <c r="ADM162" s="1"/>
      <c r="ADN162" s="1"/>
      <c r="ADO162" s="1"/>
      <c r="ADP162" s="1"/>
      <c r="ADQ162" s="1"/>
      <c r="ADR162" s="1"/>
      <c r="ADS162" s="1"/>
      <c r="ADT162" s="1"/>
      <c r="ADU162" s="1"/>
      <c r="ADV162" s="1"/>
      <c r="ADW162" s="1"/>
      <c r="ADX162" s="1"/>
      <c r="ADY162" s="1"/>
      <c r="ADZ162" s="1"/>
      <c r="AEA162" s="1"/>
      <c r="AEB162" s="1"/>
      <c r="AEC162" s="1"/>
      <c r="AED162" s="1"/>
      <c r="AEE162" s="1"/>
      <c r="AEF162" s="1"/>
      <c r="AEG162" s="1"/>
      <c r="AEH162" s="1"/>
      <c r="AEI162" s="1"/>
      <c r="AEJ162" s="1"/>
      <c r="AEK162" s="1"/>
      <c r="AEL162" s="1"/>
      <c r="AEM162" s="1"/>
      <c r="AEN162" s="1"/>
      <c r="AEO162" s="1"/>
      <c r="AEP162" s="1"/>
      <c r="AEQ162" s="1"/>
      <c r="AER162" s="1"/>
      <c r="AES162" s="1"/>
      <c r="AET162" s="1"/>
      <c r="AEU162" s="1"/>
      <c r="AEV162" s="1"/>
      <c r="AEW162" s="1"/>
      <c r="AEX162" s="1"/>
      <c r="AEY162" s="1"/>
      <c r="AEZ162" s="1"/>
      <c r="AFA162" s="1"/>
      <c r="AFB162" s="1"/>
      <c r="AFC162" s="1"/>
      <c r="AFD162" s="1"/>
      <c r="AFE162" s="1"/>
      <c r="AFF162" s="1"/>
      <c r="AFG162" s="1"/>
      <c r="AFH162" s="1"/>
      <c r="AFI162" s="1"/>
      <c r="AFJ162" s="1"/>
      <c r="AFK162" s="1"/>
      <c r="AFL162" s="1"/>
      <c r="AFM162" s="1"/>
      <c r="AFN162" s="1"/>
      <c r="AFO162" s="1"/>
      <c r="AFP162" s="1"/>
      <c r="AFQ162" s="1"/>
      <c r="AFR162" s="1"/>
      <c r="AFS162" s="1"/>
      <c r="AFT162" s="1"/>
      <c r="AFU162" s="1"/>
      <c r="AFV162" s="1"/>
      <c r="AFW162" s="1"/>
      <c r="AFX162" s="1"/>
      <c r="AFY162" s="1"/>
      <c r="AFZ162" s="1"/>
      <c r="AGA162" s="1"/>
      <c r="AGB162" s="1"/>
      <c r="AGC162" s="1"/>
      <c r="AGD162" s="1"/>
      <c r="AGE162" s="1"/>
      <c r="AGF162" s="1"/>
      <c r="AGG162" s="1"/>
      <c r="AGH162" s="1"/>
      <c r="AGI162" s="1"/>
      <c r="AGJ162" s="1"/>
      <c r="AGK162" s="1"/>
      <c r="AGL162" s="1"/>
      <c r="AGM162" s="1"/>
      <c r="AGN162" s="1"/>
      <c r="AGO162" s="1"/>
      <c r="AGP162" s="1"/>
      <c r="AGQ162" s="1"/>
      <c r="AGR162" s="1"/>
      <c r="AGS162" s="1"/>
      <c r="AGT162" s="1"/>
      <c r="AGU162" s="1"/>
      <c r="AGV162" s="1"/>
      <c r="AGW162" s="1"/>
      <c r="AGX162" s="1"/>
      <c r="AGY162" s="1"/>
      <c r="AGZ162" s="1"/>
      <c r="AHA162" s="1"/>
      <c r="AHB162" s="1"/>
      <c r="AHC162" s="1"/>
      <c r="AHD162" s="1"/>
      <c r="AHE162" s="1"/>
      <c r="AHF162" s="1"/>
      <c r="AHG162" s="1"/>
      <c r="AHH162" s="1"/>
      <c r="AHI162" s="1"/>
      <c r="AHJ162" s="1"/>
      <c r="AHK162" s="1"/>
      <c r="AHL162" s="1"/>
      <c r="AHM162" s="1"/>
      <c r="AHN162" s="1"/>
      <c r="AHO162" s="1"/>
      <c r="AHP162" s="1"/>
      <c r="AHQ162" s="1"/>
      <c r="AHR162" s="1"/>
      <c r="AHS162" s="1"/>
      <c r="AHT162" s="1"/>
      <c r="AHU162" s="1"/>
      <c r="AHV162" s="1"/>
      <c r="AHW162" s="1"/>
      <c r="AHX162" s="1"/>
      <c r="AHY162" s="1"/>
      <c r="AHZ162" s="1"/>
      <c r="AIA162" s="1"/>
      <c r="AIB162" s="1"/>
      <c r="AIC162" s="1"/>
      <c r="AID162" s="1"/>
      <c r="AIE162" s="1"/>
      <c r="AIF162" s="1"/>
      <c r="AIG162" s="1"/>
      <c r="AIH162" s="1"/>
      <c r="AII162" s="1"/>
      <c r="AIJ162" s="1"/>
      <c r="AIK162" s="1"/>
      <c r="AIL162" s="1"/>
      <c r="AIM162" s="1"/>
      <c r="AIN162" s="1"/>
      <c r="AIO162" s="1"/>
      <c r="AIP162" s="1"/>
      <c r="AIQ162" s="1"/>
      <c r="AIR162" s="1"/>
      <c r="AIS162" s="1"/>
      <c r="AIT162" s="1"/>
      <c r="AIU162" s="1"/>
      <c r="AIV162" s="1"/>
      <c r="AIW162" s="1"/>
      <c r="AIX162" s="1"/>
      <c r="AIY162" s="1"/>
      <c r="AIZ162" s="1"/>
      <c r="AJA162" s="1"/>
      <c r="AJB162" s="1"/>
      <c r="AJC162" s="1"/>
      <c r="AJD162" s="1"/>
      <c r="AJE162" s="1"/>
      <c r="AJF162" s="1"/>
      <c r="AJG162" s="1"/>
      <c r="AJH162" s="1"/>
      <c r="AJI162" s="1"/>
      <c r="AJJ162" s="1"/>
      <c r="AJK162" s="1"/>
      <c r="AJL162" s="1"/>
      <c r="AJM162" s="1"/>
      <c r="AJN162" s="1"/>
      <c r="AJO162" s="1"/>
      <c r="AJP162" s="1"/>
      <c r="AJQ162" s="1"/>
      <c r="AJR162" s="1"/>
      <c r="AJS162" s="1"/>
      <c r="AJT162" s="1"/>
      <c r="AJU162" s="1"/>
      <c r="AJV162" s="1"/>
      <c r="AJW162" s="1"/>
      <c r="AJX162" s="1"/>
      <c r="AJY162" s="1"/>
      <c r="AJZ162" s="1"/>
      <c r="AKA162" s="1"/>
      <c r="AKB162" s="1"/>
      <c r="AKC162" s="1"/>
      <c r="AKD162" s="1"/>
      <c r="AKE162" s="1"/>
      <c r="AKF162" s="1"/>
      <c r="AKG162" s="1"/>
      <c r="AKH162" s="1"/>
      <c r="AKI162" s="1"/>
      <c r="AKJ162" s="1"/>
      <c r="AKK162" s="1"/>
      <c r="AKL162" s="1"/>
      <c r="AKM162" s="1"/>
      <c r="AKN162" s="1"/>
      <c r="AKO162" s="1"/>
      <c r="AKP162" s="1"/>
      <c r="AKQ162" s="1"/>
      <c r="AKR162" s="1"/>
      <c r="AKS162" s="1"/>
      <c r="AKT162" s="1"/>
      <c r="AKU162" s="1"/>
      <c r="AKV162" s="1"/>
      <c r="AKW162" s="1"/>
      <c r="AKX162" s="1"/>
      <c r="AKY162" s="1"/>
      <c r="AKZ162" s="1"/>
      <c r="ALA162" s="1"/>
      <c r="ALB162" s="1"/>
      <c r="ALC162" s="1"/>
      <c r="ALD162" s="1"/>
      <c r="ALE162" s="1"/>
      <c r="ALF162" s="1"/>
      <c r="ALG162" s="1"/>
      <c r="ALH162" s="1"/>
      <c r="ALI162" s="1"/>
      <c r="ALJ162" s="1"/>
      <c r="ALK162" s="1"/>
      <c r="ALL162" s="1"/>
      <c r="ALM162" s="1"/>
      <c r="ALN162" s="1"/>
      <c r="ALO162" s="1"/>
      <c r="ALP162" s="1"/>
      <c r="ALQ162" s="1"/>
      <c r="ALR162" s="1"/>
      <c r="ALS162" s="1"/>
      <c r="ALT162" s="1"/>
      <c r="ALU162" s="1"/>
      <c r="ALV162" s="1"/>
      <c r="ALW162" s="1"/>
      <c r="ALX162" s="1"/>
      <c r="ALY162" s="1"/>
      <c r="ALZ162" s="1"/>
      <c r="AMA162" s="1"/>
      <c r="AMB162" s="1"/>
      <c r="AMC162" s="1"/>
      <c r="AMD162" s="1"/>
      <c r="AME162" s="1"/>
      <c r="AMF162" s="1"/>
      <c r="AMG162" s="1"/>
      <c r="AMH162" s="1"/>
      <c r="AMI162" s="1"/>
      <c r="AMJ162" s="1"/>
    </row>
    <row r="163" customFormat="false" ht="10.5" hidden="false" customHeight="true" outlineLevel="0" collapsed="false">
      <c r="A163" s="221"/>
      <c r="B163" s="221"/>
      <c r="C163" s="221"/>
      <c r="D163" s="221"/>
      <c r="E163" s="221"/>
      <c r="F163" s="221"/>
      <c r="G163" s="222"/>
      <c r="H163" s="222"/>
      <c r="I163" s="222"/>
      <c r="J163" s="222"/>
      <c r="K163" s="222"/>
      <c r="L163" s="222"/>
      <c r="M163" s="222"/>
      <c r="N163" s="222"/>
      <c r="O163" s="222"/>
      <c r="P163" s="222"/>
      <c r="Q163" s="222"/>
      <c r="R163" s="222"/>
      <c r="S163" s="222"/>
      <c r="T163" s="222"/>
      <c r="U163" s="222"/>
      <c r="V163" s="222"/>
      <c r="W163" s="222"/>
      <c r="X163" s="222"/>
      <c r="Y163" s="222"/>
      <c r="Z163" s="222"/>
      <c r="AA163" s="222"/>
      <c r="AB163" s="222"/>
      <c r="AC163" s="222"/>
      <c r="AD163" s="222"/>
      <c r="AE163" s="222"/>
      <c r="AF163" s="222"/>
      <c r="AG163" s="222"/>
      <c r="AH163" s="222"/>
      <c r="AI163" s="140" t="n">
        <f aca="false">SUM(A163:AH163)</f>
        <v>0</v>
      </c>
      <c r="AJ163" s="140"/>
      <c r="AK163" s="140"/>
      <c r="AL163" s="140"/>
      <c r="AM163" s="140"/>
      <c r="AN163" s="140"/>
      <c r="AO163" s="140"/>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c r="CE163" s="1"/>
      <c r="CF163" s="1"/>
      <c r="CG163" s="1"/>
      <c r="CH163" s="1"/>
      <c r="CI163" s="1"/>
      <c r="CJ163" s="1"/>
      <c r="CK163" s="1"/>
      <c r="CL163" s="1"/>
      <c r="CM163" s="1"/>
      <c r="CN163" s="1"/>
      <c r="CO163" s="1"/>
      <c r="CP163" s="1"/>
      <c r="CQ163" s="1"/>
      <c r="CR163" s="1"/>
      <c r="CS163" s="1"/>
      <c r="CT163" s="1"/>
      <c r="CU163" s="1"/>
      <c r="CV163" s="1"/>
      <c r="CW163" s="1"/>
      <c r="CX163" s="1"/>
      <c r="CY163" s="1"/>
      <c r="CZ163" s="1"/>
      <c r="DA163" s="1"/>
      <c r="DB163" s="1"/>
      <c r="DC163" s="1"/>
      <c r="DD163" s="1"/>
      <c r="DE163" s="1"/>
      <c r="DF163" s="1"/>
      <c r="DG163" s="1"/>
      <c r="DH163" s="1"/>
      <c r="DI163" s="1"/>
      <c r="DJ163" s="1"/>
      <c r="DK163" s="1"/>
      <c r="DL163" s="1"/>
      <c r="DM163" s="1"/>
      <c r="DN163" s="1"/>
      <c r="DO163" s="1"/>
      <c r="DP163" s="1"/>
      <c r="DQ163" s="1"/>
      <c r="DR163" s="1"/>
      <c r="DS163" s="1"/>
      <c r="DT163" s="1"/>
      <c r="DU163" s="1"/>
      <c r="DV163" s="1"/>
      <c r="DW163" s="1"/>
      <c r="DX163" s="1"/>
      <c r="DY163" s="1"/>
      <c r="DZ163" s="1"/>
      <c r="EA163" s="1"/>
      <c r="EB163" s="1"/>
      <c r="EC163" s="1"/>
      <c r="ED163" s="1"/>
      <c r="EE163" s="1"/>
      <c r="EF163" s="1"/>
      <c r="EG163" s="1"/>
      <c r="EH163" s="1"/>
      <c r="EI163" s="1"/>
      <c r="EJ163" s="1"/>
      <c r="EK163" s="1"/>
      <c r="EL163" s="1"/>
      <c r="EM163" s="1"/>
      <c r="EN163" s="1"/>
      <c r="EO163" s="1"/>
      <c r="EP163" s="1"/>
      <c r="EQ163" s="1"/>
      <c r="ER163" s="1"/>
      <c r="ES163" s="1"/>
      <c r="ET163" s="1"/>
      <c r="EU163" s="1"/>
      <c r="EV163" s="1"/>
      <c r="EW163" s="1"/>
      <c r="EX163" s="1"/>
      <c r="EY163" s="1"/>
      <c r="EZ163" s="1"/>
      <c r="FA163" s="1"/>
      <c r="FB163" s="1"/>
      <c r="FC163" s="1"/>
      <c r="FD163" s="1"/>
      <c r="FE163" s="1"/>
      <c r="FF163" s="1"/>
      <c r="FG163" s="1"/>
      <c r="FH163" s="1"/>
      <c r="FI163" s="1"/>
      <c r="FJ163" s="1"/>
      <c r="FK163" s="1"/>
      <c r="FL163" s="1"/>
      <c r="FM163" s="1"/>
      <c r="FN163" s="1"/>
      <c r="FO163" s="1"/>
      <c r="FP163" s="1"/>
      <c r="FQ163" s="1"/>
      <c r="FR163" s="1"/>
      <c r="FS163" s="1"/>
      <c r="FT163" s="1"/>
      <c r="FU163" s="1"/>
      <c r="FV163" s="1"/>
      <c r="FW163" s="1"/>
      <c r="FX163" s="1"/>
      <c r="FY163" s="1"/>
      <c r="FZ163" s="1"/>
      <c r="GA163" s="1"/>
      <c r="GB163" s="1"/>
      <c r="GC163" s="1"/>
      <c r="GD163" s="1"/>
      <c r="GE163" s="1"/>
      <c r="GF163" s="1"/>
      <c r="GG163" s="1"/>
      <c r="GH163" s="1"/>
      <c r="GI163" s="1"/>
      <c r="GJ163" s="1"/>
      <c r="GK163" s="1"/>
      <c r="GL163" s="1"/>
      <c r="GM163" s="1"/>
      <c r="GN163" s="1"/>
      <c r="GO163" s="1"/>
      <c r="GP163" s="1"/>
      <c r="GQ163" s="1"/>
      <c r="GR163" s="1"/>
      <c r="GS163" s="1"/>
      <c r="GT163" s="1"/>
      <c r="GU163" s="1"/>
      <c r="GV163" s="1"/>
      <c r="GW163" s="1"/>
      <c r="GX163" s="1"/>
      <c r="GY163" s="1"/>
      <c r="GZ163" s="1"/>
      <c r="HA163" s="1"/>
      <c r="HB163" s="1"/>
      <c r="HC163" s="1"/>
      <c r="HD163" s="1"/>
      <c r="HE163" s="1"/>
      <c r="HF163" s="1"/>
      <c r="HG163" s="1"/>
      <c r="HH163" s="1"/>
      <c r="HI163" s="1"/>
      <c r="HJ163" s="1"/>
      <c r="HK163" s="1"/>
      <c r="HL163" s="1"/>
      <c r="HM163" s="1"/>
      <c r="HN163" s="1"/>
      <c r="HO163" s="1"/>
      <c r="HP163" s="1"/>
      <c r="HQ163" s="1"/>
      <c r="HR163" s="1"/>
      <c r="HS163" s="1"/>
      <c r="HT163" s="1"/>
      <c r="HU163" s="1"/>
      <c r="HV163" s="1"/>
      <c r="HW163" s="1"/>
      <c r="HX163" s="1"/>
      <c r="HY163" s="1"/>
      <c r="HZ163" s="1"/>
      <c r="IA163" s="1"/>
      <c r="IB163" s="1"/>
      <c r="IC163" s="1"/>
      <c r="ID163" s="1"/>
      <c r="IE163" s="1"/>
      <c r="IF163" s="1"/>
      <c r="IG163" s="1"/>
      <c r="IH163" s="1"/>
      <c r="II163" s="1"/>
      <c r="IJ163" s="1"/>
      <c r="IK163" s="1"/>
      <c r="IL163" s="1"/>
      <c r="IM163" s="1"/>
      <c r="IN163" s="1"/>
      <c r="IO163" s="1"/>
      <c r="IP163" s="1"/>
      <c r="IQ163" s="1"/>
      <c r="IR163" s="1"/>
      <c r="IS163" s="1"/>
      <c r="IT163" s="1"/>
      <c r="IU163" s="1"/>
      <c r="IV163" s="1"/>
      <c r="IW163" s="1"/>
      <c r="IX163" s="1"/>
      <c r="IY163" s="1"/>
      <c r="IZ163" s="1"/>
      <c r="JA163" s="1"/>
      <c r="JB163" s="1"/>
      <c r="JC163" s="1"/>
      <c r="JD163" s="1"/>
      <c r="JE163" s="1"/>
      <c r="JF163" s="1"/>
      <c r="JG163" s="1"/>
      <c r="JH163" s="1"/>
      <c r="JI163" s="1"/>
      <c r="JJ163" s="1"/>
      <c r="JK163" s="1"/>
      <c r="JL163" s="1"/>
      <c r="JM163" s="1"/>
      <c r="JN163" s="1"/>
      <c r="JO163" s="1"/>
      <c r="JP163" s="1"/>
      <c r="JQ163" s="1"/>
      <c r="JR163" s="1"/>
      <c r="JS163" s="1"/>
      <c r="JT163" s="1"/>
      <c r="JU163" s="1"/>
      <c r="JV163" s="1"/>
      <c r="JW163" s="1"/>
      <c r="JX163" s="1"/>
      <c r="JY163" s="1"/>
      <c r="JZ163" s="1"/>
      <c r="KA163" s="1"/>
      <c r="KB163" s="1"/>
      <c r="KC163" s="1"/>
      <c r="KD163" s="1"/>
      <c r="KE163" s="1"/>
      <c r="KF163" s="1"/>
      <c r="KG163" s="1"/>
      <c r="KH163" s="1"/>
      <c r="KI163" s="1"/>
      <c r="KJ163" s="1"/>
      <c r="KK163" s="1"/>
      <c r="KL163" s="1"/>
      <c r="KM163" s="1"/>
      <c r="KN163" s="1"/>
      <c r="KO163" s="1"/>
      <c r="KP163" s="1"/>
      <c r="KQ163" s="1"/>
      <c r="KR163" s="1"/>
      <c r="KS163" s="1"/>
      <c r="KT163" s="1"/>
      <c r="KU163" s="1"/>
      <c r="KV163" s="1"/>
      <c r="KW163" s="1"/>
      <c r="KX163" s="1"/>
      <c r="KY163" s="1"/>
      <c r="KZ163" s="1"/>
      <c r="LA163" s="1"/>
      <c r="LB163" s="1"/>
      <c r="LC163" s="1"/>
      <c r="LD163" s="1"/>
      <c r="LE163" s="1"/>
      <c r="LF163" s="1"/>
      <c r="LG163" s="1"/>
      <c r="LH163" s="1"/>
      <c r="LI163" s="1"/>
      <c r="LJ163" s="1"/>
      <c r="LK163" s="1"/>
      <c r="LL163" s="1"/>
      <c r="LM163" s="1"/>
      <c r="LN163" s="1"/>
      <c r="LO163" s="1"/>
      <c r="LP163" s="1"/>
      <c r="LQ163" s="1"/>
      <c r="LR163" s="1"/>
      <c r="LS163" s="1"/>
      <c r="LT163" s="1"/>
      <c r="LU163" s="1"/>
      <c r="LV163" s="1"/>
      <c r="LW163" s="1"/>
      <c r="LX163" s="1"/>
      <c r="LY163" s="1"/>
      <c r="LZ163" s="1"/>
      <c r="MA163" s="1"/>
      <c r="MB163" s="1"/>
      <c r="MC163" s="1"/>
      <c r="MD163" s="1"/>
      <c r="ME163" s="1"/>
      <c r="MF163" s="1"/>
      <c r="MG163" s="1"/>
      <c r="MH163" s="1"/>
      <c r="MI163" s="1"/>
      <c r="MJ163" s="1"/>
      <c r="MK163" s="1"/>
      <c r="ML163" s="1"/>
      <c r="MM163" s="1"/>
      <c r="MN163" s="1"/>
      <c r="MO163" s="1"/>
      <c r="MP163" s="1"/>
      <c r="MQ163" s="1"/>
      <c r="MR163" s="1"/>
      <c r="MS163" s="1"/>
      <c r="MT163" s="1"/>
      <c r="MU163" s="1"/>
      <c r="MV163" s="1"/>
      <c r="MW163" s="1"/>
      <c r="MX163" s="1"/>
      <c r="MY163" s="1"/>
      <c r="MZ163" s="1"/>
      <c r="NA163" s="1"/>
      <c r="NB163" s="1"/>
      <c r="NC163" s="1"/>
      <c r="ND163" s="1"/>
      <c r="NE163" s="1"/>
      <c r="NF163" s="1"/>
      <c r="NG163" s="1"/>
      <c r="NH163" s="1"/>
      <c r="NI163" s="1"/>
      <c r="NJ163" s="1"/>
      <c r="NK163" s="1"/>
      <c r="NL163" s="1"/>
      <c r="NM163" s="1"/>
      <c r="NN163" s="1"/>
      <c r="NO163" s="1"/>
      <c r="NP163" s="1"/>
      <c r="NQ163" s="1"/>
      <c r="NR163" s="1"/>
      <c r="NS163" s="1"/>
      <c r="NT163" s="1"/>
      <c r="NU163" s="1"/>
      <c r="NV163" s="1"/>
      <c r="NW163" s="1"/>
      <c r="NX163" s="1"/>
      <c r="NY163" s="1"/>
      <c r="NZ163" s="1"/>
      <c r="OA163" s="1"/>
      <c r="OB163" s="1"/>
      <c r="OC163" s="1"/>
      <c r="OD163" s="1"/>
      <c r="OE163" s="1"/>
      <c r="OF163" s="1"/>
      <c r="OG163" s="1"/>
      <c r="OH163" s="1"/>
      <c r="OI163" s="1"/>
      <c r="OJ163" s="1"/>
      <c r="OK163" s="1"/>
      <c r="OL163" s="1"/>
      <c r="OM163" s="1"/>
      <c r="ON163" s="1"/>
      <c r="OO163" s="1"/>
      <c r="OP163" s="1"/>
      <c r="OQ163" s="1"/>
      <c r="OR163" s="1"/>
      <c r="OS163" s="1"/>
      <c r="OT163" s="1"/>
      <c r="OU163" s="1"/>
      <c r="OV163" s="1"/>
      <c r="OW163" s="1"/>
      <c r="OX163" s="1"/>
      <c r="OY163" s="1"/>
      <c r="OZ163" s="1"/>
      <c r="PA163" s="1"/>
      <c r="PB163" s="1"/>
      <c r="PC163" s="1"/>
      <c r="PD163" s="1"/>
      <c r="PE163" s="1"/>
      <c r="PF163" s="1"/>
      <c r="PG163" s="1"/>
      <c r="PH163" s="1"/>
      <c r="PI163" s="1"/>
      <c r="PJ163" s="1"/>
      <c r="PK163" s="1"/>
      <c r="PL163" s="1"/>
      <c r="PM163" s="1"/>
      <c r="PN163" s="1"/>
      <c r="PO163" s="1"/>
      <c r="PP163" s="1"/>
      <c r="PQ163" s="1"/>
      <c r="PR163" s="1"/>
      <c r="PS163" s="1"/>
      <c r="PT163" s="1"/>
      <c r="PU163" s="1"/>
      <c r="PV163" s="1"/>
      <c r="PW163" s="1"/>
      <c r="PX163" s="1"/>
      <c r="PY163" s="1"/>
      <c r="PZ163" s="1"/>
      <c r="QA163" s="1"/>
      <c r="QB163" s="1"/>
      <c r="QC163" s="1"/>
      <c r="QD163" s="1"/>
      <c r="QE163" s="1"/>
      <c r="QF163" s="1"/>
      <c r="QG163" s="1"/>
      <c r="QH163" s="1"/>
      <c r="QI163" s="1"/>
      <c r="QJ163" s="1"/>
      <c r="QK163" s="1"/>
      <c r="QL163" s="1"/>
      <c r="QM163" s="1"/>
      <c r="QN163" s="1"/>
      <c r="QO163" s="1"/>
      <c r="QP163" s="1"/>
      <c r="QQ163" s="1"/>
      <c r="QR163" s="1"/>
      <c r="QS163" s="1"/>
      <c r="QT163" s="1"/>
      <c r="QU163" s="1"/>
      <c r="QV163" s="1"/>
      <c r="QW163" s="1"/>
      <c r="QX163" s="1"/>
      <c r="QY163" s="1"/>
      <c r="QZ163" s="1"/>
      <c r="RA163" s="1"/>
      <c r="RB163" s="1"/>
      <c r="RC163" s="1"/>
      <c r="RD163" s="1"/>
      <c r="RE163" s="1"/>
      <c r="RF163" s="1"/>
      <c r="RG163" s="1"/>
      <c r="RH163" s="1"/>
      <c r="RI163" s="1"/>
      <c r="RJ163" s="1"/>
      <c r="RK163" s="1"/>
      <c r="RL163" s="1"/>
      <c r="RM163" s="1"/>
      <c r="RN163" s="1"/>
      <c r="RO163" s="1"/>
      <c r="RP163" s="1"/>
      <c r="RQ163" s="1"/>
      <c r="RR163" s="1"/>
      <c r="RS163" s="1"/>
      <c r="RT163" s="1"/>
      <c r="RU163" s="1"/>
      <c r="RV163" s="1"/>
      <c r="RW163" s="1"/>
      <c r="RX163" s="1"/>
      <c r="RY163" s="1"/>
      <c r="RZ163" s="1"/>
      <c r="SA163" s="1"/>
      <c r="SB163" s="1"/>
      <c r="SC163" s="1"/>
      <c r="SD163" s="1"/>
      <c r="SE163" s="1"/>
      <c r="SF163" s="1"/>
      <c r="SG163" s="1"/>
      <c r="SH163" s="1"/>
      <c r="SI163" s="1"/>
      <c r="SJ163" s="1"/>
      <c r="SK163" s="1"/>
      <c r="SL163" s="1"/>
      <c r="SM163" s="1"/>
      <c r="SN163" s="1"/>
      <c r="SO163" s="1"/>
      <c r="SP163" s="1"/>
      <c r="SQ163" s="1"/>
      <c r="SR163" s="1"/>
      <c r="SS163" s="1"/>
      <c r="ST163" s="1"/>
      <c r="SU163" s="1"/>
      <c r="SV163" s="1"/>
      <c r="SW163" s="1"/>
      <c r="SX163" s="1"/>
      <c r="SY163" s="1"/>
      <c r="SZ163" s="1"/>
      <c r="TA163" s="1"/>
      <c r="TB163" s="1"/>
      <c r="TC163" s="1"/>
      <c r="TD163" s="1"/>
      <c r="TE163" s="1"/>
      <c r="TF163" s="1"/>
      <c r="TG163" s="1"/>
      <c r="TH163" s="1"/>
      <c r="TI163" s="1"/>
      <c r="TJ163" s="1"/>
      <c r="TK163" s="1"/>
      <c r="TL163" s="1"/>
      <c r="TM163" s="1"/>
      <c r="TN163" s="1"/>
      <c r="TO163" s="1"/>
      <c r="TP163" s="1"/>
      <c r="TQ163" s="1"/>
      <c r="TR163" s="1"/>
      <c r="TS163" s="1"/>
      <c r="TT163" s="1"/>
      <c r="TU163" s="1"/>
      <c r="TV163" s="1"/>
      <c r="TW163" s="1"/>
      <c r="TX163" s="1"/>
      <c r="TY163" s="1"/>
      <c r="TZ163" s="1"/>
      <c r="UA163" s="1"/>
      <c r="UB163" s="1"/>
      <c r="UC163" s="1"/>
      <c r="UD163" s="1"/>
      <c r="UE163" s="1"/>
      <c r="UF163" s="1"/>
      <c r="UG163" s="1"/>
      <c r="UH163" s="1"/>
      <c r="UI163" s="1"/>
      <c r="UJ163" s="1"/>
      <c r="UK163" s="1"/>
      <c r="UL163" s="1"/>
      <c r="UM163" s="1"/>
      <c r="UN163" s="1"/>
      <c r="UO163" s="1"/>
      <c r="UP163" s="1"/>
      <c r="UQ163" s="1"/>
      <c r="UR163" s="1"/>
      <c r="US163" s="1"/>
      <c r="UT163" s="1"/>
      <c r="UU163" s="1"/>
      <c r="UV163" s="1"/>
      <c r="UW163" s="1"/>
      <c r="UX163" s="1"/>
      <c r="UY163" s="1"/>
      <c r="UZ163" s="1"/>
      <c r="VA163" s="1"/>
      <c r="VB163" s="1"/>
      <c r="VC163" s="1"/>
      <c r="VD163" s="1"/>
      <c r="VE163" s="1"/>
      <c r="VF163" s="1"/>
      <c r="VG163" s="1"/>
      <c r="VH163" s="1"/>
      <c r="VI163" s="1"/>
      <c r="VJ163" s="1"/>
      <c r="VK163" s="1"/>
      <c r="VL163" s="1"/>
      <c r="VM163" s="1"/>
      <c r="VN163" s="1"/>
      <c r="VO163" s="1"/>
      <c r="VP163" s="1"/>
      <c r="VQ163" s="1"/>
      <c r="VR163" s="1"/>
      <c r="VS163" s="1"/>
      <c r="VT163" s="1"/>
      <c r="VU163" s="1"/>
      <c r="VV163" s="1"/>
      <c r="VW163" s="1"/>
      <c r="VX163" s="1"/>
      <c r="VY163" s="1"/>
      <c r="VZ163" s="1"/>
      <c r="WA163" s="1"/>
      <c r="WB163" s="1"/>
      <c r="WC163" s="1"/>
      <c r="WD163" s="1"/>
      <c r="WE163" s="1"/>
      <c r="WF163" s="1"/>
      <c r="WG163" s="1"/>
      <c r="WH163" s="1"/>
      <c r="WI163" s="1"/>
      <c r="WJ163" s="1"/>
      <c r="WK163" s="1"/>
      <c r="WL163" s="1"/>
      <c r="WM163" s="1"/>
      <c r="WN163" s="1"/>
      <c r="WO163" s="1"/>
      <c r="WP163" s="1"/>
      <c r="WQ163" s="1"/>
      <c r="WR163" s="1"/>
      <c r="WS163" s="1"/>
      <c r="WT163" s="1"/>
      <c r="WU163" s="1"/>
      <c r="WV163" s="1"/>
      <c r="WW163" s="1"/>
      <c r="WX163" s="1"/>
      <c r="WY163" s="1"/>
      <c r="WZ163" s="1"/>
      <c r="XA163" s="1"/>
      <c r="XB163" s="1"/>
      <c r="XC163" s="1"/>
      <c r="XD163" s="1"/>
      <c r="XE163" s="1"/>
      <c r="XF163" s="1"/>
      <c r="XG163" s="1"/>
      <c r="XH163" s="1"/>
      <c r="XI163" s="1"/>
      <c r="XJ163" s="1"/>
      <c r="XK163" s="1"/>
      <c r="XL163" s="1"/>
      <c r="XM163" s="1"/>
      <c r="XN163" s="1"/>
      <c r="XO163" s="1"/>
      <c r="XP163" s="1"/>
      <c r="XQ163" s="1"/>
      <c r="XR163" s="1"/>
      <c r="XS163" s="1"/>
      <c r="XT163" s="1"/>
      <c r="XU163" s="1"/>
      <c r="XV163" s="1"/>
      <c r="XW163" s="1"/>
      <c r="XX163" s="1"/>
      <c r="XY163" s="1"/>
      <c r="XZ163" s="1"/>
      <c r="YA163" s="1"/>
      <c r="YB163" s="1"/>
      <c r="YC163" s="1"/>
      <c r="YD163" s="1"/>
      <c r="YE163" s="1"/>
      <c r="YF163" s="1"/>
      <c r="YG163" s="1"/>
      <c r="YH163" s="1"/>
      <c r="YI163" s="1"/>
      <c r="YJ163" s="1"/>
      <c r="YK163" s="1"/>
      <c r="YL163" s="1"/>
      <c r="YM163" s="1"/>
      <c r="YN163" s="1"/>
      <c r="YO163" s="1"/>
      <c r="YP163" s="1"/>
      <c r="YQ163" s="1"/>
      <c r="YR163" s="1"/>
      <c r="YS163" s="1"/>
      <c r="YT163" s="1"/>
      <c r="YU163" s="1"/>
      <c r="YV163" s="1"/>
      <c r="YW163" s="1"/>
      <c r="YX163" s="1"/>
      <c r="YY163" s="1"/>
      <c r="YZ163" s="1"/>
      <c r="ZA163" s="1"/>
      <c r="ZB163" s="1"/>
      <c r="ZC163" s="1"/>
      <c r="ZD163" s="1"/>
      <c r="ZE163" s="1"/>
      <c r="ZF163" s="1"/>
      <c r="ZG163" s="1"/>
      <c r="ZH163" s="1"/>
      <c r="ZI163" s="1"/>
      <c r="ZJ163" s="1"/>
      <c r="ZK163" s="1"/>
      <c r="ZL163" s="1"/>
      <c r="ZM163" s="1"/>
      <c r="ZN163" s="1"/>
      <c r="ZO163" s="1"/>
      <c r="ZP163" s="1"/>
      <c r="ZQ163" s="1"/>
      <c r="ZR163" s="1"/>
      <c r="ZS163" s="1"/>
      <c r="ZT163" s="1"/>
      <c r="ZU163" s="1"/>
      <c r="ZV163" s="1"/>
      <c r="ZW163" s="1"/>
      <c r="ZX163" s="1"/>
      <c r="ZY163" s="1"/>
      <c r="ZZ163" s="1"/>
      <c r="AAA163" s="1"/>
      <c r="AAB163" s="1"/>
      <c r="AAC163" s="1"/>
      <c r="AAD163" s="1"/>
      <c r="AAE163" s="1"/>
      <c r="AAF163" s="1"/>
      <c r="AAG163" s="1"/>
      <c r="AAH163" s="1"/>
      <c r="AAI163" s="1"/>
      <c r="AAJ163" s="1"/>
      <c r="AAK163" s="1"/>
      <c r="AAL163" s="1"/>
      <c r="AAM163" s="1"/>
      <c r="AAN163" s="1"/>
      <c r="AAO163" s="1"/>
      <c r="AAP163" s="1"/>
      <c r="AAQ163" s="1"/>
      <c r="AAR163" s="1"/>
      <c r="AAS163" s="1"/>
      <c r="AAT163" s="1"/>
      <c r="AAU163" s="1"/>
      <c r="AAV163" s="1"/>
      <c r="AAW163" s="1"/>
      <c r="AAX163" s="1"/>
      <c r="AAY163" s="1"/>
      <c r="AAZ163" s="1"/>
      <c r="ABA163" s="1"/>
      <c r="ABB163" s="1"/>
      <c r="ABC163" s="1"/>
      <c r="ABD163" s="1"/>
      <c r="ABE163" s="1"/>
      <c r="ABF163" s="1"/>
      <c r="ABG163" s="1"/>
      <c r="ABH163" s="1"/>
      <c r="ABI163" s="1"/>
      <c r="ABJ163" s="1"/>
      <c r="ABK163" s="1"/>
      <c r="ABL163" s="1"/>
      <c r="ABM163" s="1"/>
      <c r="ABN163" s="1"/>
      <c r="ABO163" s="1"/>
      <c r="ABP163" s="1"/>
      <c r="ABQ163" s="1"/>
      <c r="ABR163" s="1"/>
      <c r="ABS163" s="1"/>
      <c r="ABT163" s="1"/>
      <c r="ABU163" s="1"/>
      <c r="ABV163" s="1"/>
      <c r="ABW163" s="1"/>
      <c r="ABX163" s="1"/>
      <c r="ABY163" s="1"/>
      <c r="ABZ163" s="1"/>
      <c r="ACA163" s="1"/>
      <c r="ACB163" s="1"/>
      <c r="ACC163" s="1"/>
      <c r="ACD163" s="1"/>
      <c r="ACE163" s="1"/>
      <c r="ACF163" s="1"/>
      <c r="ACG163" s="1"/>
      <c r="ACH163" s="1"/>
      <c r="ACI163" s="1"/>
      <c r="ACJ163" s="1"/>
      <c r="ACK163" s="1"/>
      <c r="ACL163" s="1"/>
      <c r="ACM163" s="1"/>
      <c r="ACN163" s="1"/>
      <c r="ACO163" s="1"/>
      <c r="ACP163" s="1"/>
      <c r="ACQ163" s="1"/>
      <c r="ACR163" s="1"/>
      <c r="ACS163" s="1"/>
      <c r="ACT163" s="1"/>
      <c r="ACU163" s="1"/>
      <c r="ACV163" s="1"/>
      <c r="ACW163" s="1"/>
      <c r="ACX163" s="1"/>
      <c r="ACY163" s="1"/>
      <c r="ACZ163" s="1"/>
      <c r="ADA163" s="1"/>
      <c r="ADB163" s="1"/>
      <c r="ADC163" s="1"/>
      <c r="ADD163" s="1"/>
      <c r="ADE163" s="1"/>
      <c r="ADF163" s="1"/>
      <c r="ADG163" s="1"/>
      <c r="ADH163" s="1"/>
      <c r="ADI163" s="1"/>
      <c r="ADJ163" s="1"/>
      <c r="ADK163" s="1"/>
      <c r="ADL163" s="1"/>
      <c r="ADM163" s="1"/>
      <c r="ADN163" s="1"/>
      <c r="ADO163" s="1"/>
      <c r="ADP163" s="1"/>
      <c r="ADQ163" s="1"/>
      <c r="ADR163" s="1"/>
      <c r="ADS163" s="1"/>
      <c r="ADT163" s="1"/>
      <c r="ADU163" s="1"/>
      <c r="ADV163" s="1"/>
      <c r="ADW163" s="1"/>
      <c r="ADX163" s="1"/>
      <c r="ADY163" s="1"/>
      <c r="ADZ163" s="1"/>
      <c r="AEA163" s="1"/>
      <c r="AEB163" s="1"/>
      <c r="AEC163" s="1"/>
      <c r="AED163" s="1"/>
      <c r="AEE163" s="1"/>
      <c r="AEF163" s="1"/>
      <c r="AEG163" s="1"/>
      <c r="AEH163" s="1"/>
      <c r="AEI163" s="1"/>
      <c r="AEJ163" s="1"/>
      <c r="AEK163" s="1"/>
      <c r="AEL163" s="1"/>
      <c r="AEM163" s="1"/>
      <c r="AEN163" s="1"/>
      <c r="AEO163" s="1"/>
      <c r="AEP163" s="1"/>
      <c r="AEQ163" s="1"/>
      <c r="AER163" s="1"/>
      <c r="AES163" s="1"/>
      <c r="AET163" s="1"/>
      <c r="AEU163" s="1"/>
      <c r="AEV163" s="1"/>
      <c r="AEW163" s="1"/>
      <c r="AEX163" s="1"/>
      <c r="AEY163" s="1"/>
      <c r="AEZ163" s="1"/>
      <c r="AFA163" s="1"/>
      <c r="AFB163" s="1"/>
      <c r="AFC163" s="1"/>
      <c r="AFD163" s="1"/>
      <c r="AFE163" s="1"/>
      <c r="AFF163" s="1"/>
      <c r="AFG163" s="1"/>
      <c r="AFH163" s="1"/>
      <c r="AFI163" s="1"/>
      <c r="AFJ163" s="1"/>
      <c r="AFK163" s="1"/>
      <c r="AFL163" s="1"/>
      <c r="AFM163" s="1"/>
      <c r="AFN163" s="1"/>
      <c r="AFO163" s="1"/>
      <c r="AFP163" s="1"/>
      <c r="AFQ163" s="1"/>
      <c r="AFR163" s="1"/>
      <c r="AFS163" s="1"/>
      <c r="AFT163" s="1"/>
      <c r="AFU163" s="1"/>
      <c r="AFV163" s="1"/>
      <c r="AFW163" s="1"/>
      <c r="AFX163" s="1"/>
      <c r="AFY163" s="1"/>
      <c r="AFZ163" s="1"/>
      <c r="AGA163" s="1"/>
      <c r="AGB163" s="1"/>
      <c r="AGC163" s="1"/>
      <c r="AGD163" s="1"/>
      <c r="AGE163" s="1"/>
      <c r="AGF163" s="1"/>
      <c r="AGG163" s="1"/>
      <c r="AGH163" s="1"/>
      <c r="AGI163" s="1"/>
      <c r="AGJ163" s="1"/>
      <c r="AGK163" s="1"/>
      <c r="AGL163" s="1"/>
      <c r="AGM163" s="1"/>
      <c r="AGN163" s="1"/>
      <c r="AGO163" s="1"/>
      <c r="AGP163" s="1"/>
      <c r="AGQ163" s="1"/>
      <c r="AGR163" s="1"/>
      <c r="AGS163" s="1"/>
      <c r="AGT163" s="1"/>
      <c r="AGU163" s="1"/>
      <c r="AGV163" s="1"/>
      <c r="AGW163" s="1"/>
      <c r="AGX163" s="1"/>
      <c r="AGY163" s="1"/>
      <c r="AGZ163" s="1"/>
      <c r="AHA163" s="1"/>
      <c r="AHB163" s="1"/>
      <c r="AHC163" s="1"/>
      <c r="AHD163" s="1"/>
      <c r="AHE163" s="1"/>
      <c r="AHF163" s="1"/>
      <c r="AHG163" s="1"/>
      <c r="AHH163" s="1"/>
      <c r="AHI163" s="1"/>
      <c r="AHJ163" s="1"/>
      <c r="AHK163" s="1"/>
      <c r="AHL163" s="1"/>
      <c r="AHM163" s="1"/>
      <c r="AHN163" s="1"/>
      <c r="AHO163" s="1"/>
      <c r="AHP163" s="1"/>
      <c r="AHQ163" s="1"/>
      <c r="AHR163" s="1"/>
      <c r="AHS163" s="1"/>
      <c r="AHT163" s="1"/>
      <c r="AHU163" s="1"/>
      <c r="AHV163" s="1"/>
      <c r="AHW163" s="1"/>
      <c r="AHX163" s="1"/>
      <c r="AHY163" s="1"/>
      <c r="AHZ163" s="1"/>
      <c r="AIA163" s="1"/>
      <c r="AIB163" s="1"/>
      <c r="AIC163" s="1"/>
      <c r="AID163" s="1"/>
      <c r="AIE163" s="1"/>
      <c r="AIF163" s="1"/>
      <c r="AIG163" s="1"/>
      <c r="AIH163" s="1"/>
      <c r="AII163" s="1"/>
      <c r="AIJ163" s="1"/>
      <c r="AIK163" s="1"/>
      <c r="AIL163" s="1"/>
      <c r="AIM163" s="1"/>
      <c r="AIN163" s="1"/>
      <c r="AIO163" s="1"/>
      <c r="AIP163" s="1"/>
      <c r="AIQ163" s="1"/>
      <c r="AIR163" s="1"/>
      <c r="AIS163" s="1"/>
      <c r="AIT163" s="1"/>
      <c r="AIU163" s="1"/>
      <c r="AIV163" s="1"/>
      <c r="AIW163" s="1"/>
      <c r="AIX163" s="1"/>
      <c r="AIY163" s="1"/>
      <c r="AIZ163" s="1"/>
      <c r="AJA163" s="1"/>
      <c r="AJB163" s="1"/>
      <c r="AJC163" s="1"/>
      <c r="AJD163" s="1"/>
      <c r="AJE163" s="1"/>
      <c r="AJF163" s="1"/>
      <c r="AJG163" s="1"/>
      <c r="AJH163" s="1"/>
      <c r="AJI163" s="1"/>
      <c r="AJJ163" s="1"/>
      <c r="AJK163" s="1"/>
      <c r="AJL163" s="1"/>
      <c r="AJM163" s="1"/>
      <c r="AJN163" s="1"/>
      <c r="AJO163" s="1"/>
      <c r="AJP163" s="1"/>
      <c r="AJQ163" s="1"/>
      <c r="AJR163" s="1"/>
      <c r="AJS163" s="1"/>
      <c r="AJT163" s="1"/>
      <c r="AJU163" s="1"/>
      <c r="AJV163" s="1"/>
      <c r="AJW163" s="1"/>
      <c r="AJX163" s="1"/>
      <c r="AJY163" s="1"/>
      <c r="AJZ163" s="1"/>
      <c r="AKA163" s="1"/>
      <c r="AKB163" s="1"/>
      <c r="AKC163" s="1"/>
      <c r="AKD163" s="1"/>
      <c r="AKE163" s="1"/>
      <c r="AKF163" s="1"/>
      <c r="AKG163" s="1"/>
      <c r="AKH163" s="1"/>
      <c r="AKI163" s="1"/>
      <c r="AKJ163" s="1"/>
      <c r="AKK163" s="1"/>
      <c r="AKL163" s="1"/>
      <c r="AKM163" s="1"/>
      <c r="AKN163" s="1"/>
      <c r="AKO163" s="1"/>
      <c r="AKP163" s="1"/>
      <c r="AKQ163" s="1"/>
      <c r="AKR163" s="1"/>
      <c r="AKS163" s="1"/>
      <c r="AKT163" s="1"/>
      <c r="AKU163" s="1"/>
      <c r="AKV163" s="1"/>
      <c r="AKW163" s="1"/>
      <c r="AKX163" s="1"/>
      <c r="AKY163" s="1"/>
      <c r="AKZ163" s="1"/>
      <c r="ALA163" s="1"/>
      <c r="ALB163" s="1"/>
      <c r="ALC163" s="1"/>
      <c r="ALD163" s="1"/>
      <c r="ALE163" s="1"/>
      <c r="ALF163" s="1"/>
      <c r="ALG163" s="1"/>
      <c r="ALH163" s="1"/>
      <c r="ALI163" s="1"/>
      <c r="ALJ163" s="1"/>
      <c r="ALK163" s="1"/>
      <c r="ALL163" s="1"/>
      <c r="ALM163" s="1"/>
      <c r="ALN163" s="1"/>
      <c r="ALO163" s="1"/>
      <c r="ALP163" s="1"/>
      <c r="ALQ163" s="1"/>
      <c r="ALR163" s="1"/>
      <c r="ALS163" s="1"/>
      <c r="ALT163" s="1"/>
      <c r="ALU163" s="1"/>
      <c r="ALV163" s="1"/>
      <c r="ALW163" s="1"/>
      <c r="ALX163" s="1"/>
      <c r="ALY163" s="1"/>
      <c r="ALZ163" s="1"/>
      <c r="AMA163" s="1"/>
      <c r="AMB163" s="1"/>
      <c r="AMC163" s="1"/>
      <c r="AMD163" s="1"/>
      <c r="AME163" s="1"/>
      <c r="AMF163" s="1"/>
      <c r="AMG163" s="1"/>
      <c r="AMH163" s="1"/>
      <c r="AMI163" s="1"/>
      <c r="AMJ163" s="1"/>
    </row>
    <row r="164" customFormat="false" ht="10.5" hidden="false" customHeight="true" outlineLevel="0" collapsed="false">
      <c r="A164" s="221"/>
      <c r="B164" s="221"/>
      <c r="C164" s="221"/>
      <c r="D164" s="221"/>
      <c r="E164" s="221"/>
      <c r="F164" s="221"/>
      <c r="G164" s="222"/>
      <c r="H164" s="222"/>
      <c r="I164" s="222"/>
      <c r="J164" s="222"/>
      <c r="K164" s="222"/>
      <c r="L164" s="222"/>
      <c r="M164" s="222"/>
      <c r="N164" s="222"/>
      <c r="O164" s="222"/>
      <c r="P164" s="222"/>
      <c r="Q164" s="222"/>
      <c r="R164" s="222"/>
      <c r="S164" s="222"/>
      <c r="T164" s="222"/>
      <c r="U164" s="222"/>
      <c r="V164" s="222"/>
      <c r="W164" s="222"/>
      <c r="X164" s="222"/>
      <c r="Y164" s="222"/>
      <c r="Z164" s="222"/>
      <c r="AA164" s="222"/>
      <c r="AB164" s="222"/>
      <c r="AC164" s="222"/>
      <c r="AD164" s="222"/>
      <c r="AE164" s="222"/>
      <c r="AF164" s="222"/>
      <c r="AG164" s="222"/>
      <c r="AH164" s="222"/>
      <c r="AI164" s="140" t="n">
        <f aca="false">SUM(A164:AH164)</f>
        <v>0</v>
      </c>
      <c r="AJ164" s="140"/>
      <c r="AK164" s="140"/>
      <c r="AL164" s="140"/>
      <c r="AM164" s="140"/>
      <c r="AN164" s="140"/>
      <c r="AO164" s="140"/>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c r="CE164" s="1"/>
      <c r="CF164" s="1"/>
      <c r="CG164" s="1"/>
      <c r="CH164" s="1"/>
      <c r="CI164" s="1"/>
      <c r="CJ164" s="1"/>
      <c r="CK164" s="1"/>
      <c r="CL164" s="1"/>
      <c r="CM164" s="1"/>
      <c r="CN164" s="1"/>
      <c r="CO164" s="1"/>
      <c r="CP164" s="1"/>
      <c r="CQ164" s="1"/>
      <c r="CR164" s="1"/>
      <c r="CS164" s="1"/>
      <c r="CT164" s="1"/>
      <c r="CU164" s="1"/>
      <c r="CV164" s="1"/>
      <c r="CW164" s="1"/>
      <c r="CX164" s="1"/>
      <c r="CY164" s="1"/>
      <c r="CZ164" s="1"/>
      <c r="DA164" s="1"/>
      <c r="DB164" s="1"/>
      <c r="DC164" s="1"/>
      <c r="DD164" s="1"/>
      <c r="DE164" s="1"/>
      <c r="DF164" s="1"/>
      <c r="DG164" s="1"/>
      <c r="DH164" s="1"/>
      <c r="DI164" s="1"/>
      <c r="DJ164" s="1"/>
      <c r="DK164" s="1"/>
      <c r="DL164" s="1"/>
      <c r="DM164" s="1"/>
      <c r="DN164" s="1"/>
      <c r="DO164" s="1"/>
      <c r="DP164" s="1"/>
      <c r="DQ164" s="1"/>
      <c r="DR164" s="1"/>
      <c r="DS164" s="1"/>
      <c r="DT164" s="1"/>
      <c r="DU164" s="1"/>
      <c r="DV164" s="1"/>
      <c r="DW164" s="1"/>
      <c r="DX164" s="1"/>
      <c r="DY164" s="1"/>
      <c r="DZ164" s="1"/>
      <c r="EA164" s="1"/>
      <c r="EB164" s="1"/>
      <c r="EC164" s="1"/>
      <c r="ED164" s="1"/>
      <c r="EE164" s="1"/>
      <c r="EF164" s="1"/>
      <c r="EG164" s="1"/>
      <c r="EH164" s="1"/>
      <c r="EI164" s="1"/>
      <c r="EJ164" s="1"/>
      <c r="EK164" s="1"/>
      <c r="EL164" s="1"/>
      <c r="EM164" s="1"/>
      <c r="EN164" s="1"/>
      <c r="EO164" s="1"/>
      <c r="EP164" s="1"/>
      <c r="EQ164" s="1"/>
      <c r="ER164" s="1"/>
      <c r="ES164" s="1"/>
      <c r="ET164" s="1"/>
      <c r="EU164" s="1"/>
      <c r="EV164" s="1"/>
      <c r="EW164" s="1"/>
      <c r="EX164" s="1"/>
      <c r="EY164" s="1"/>
      <c r="EZ164" s="1"/>
      <c r="FA164" s="1"/>
      <c r="FB164" s="1"/>
      <c r="FC164" s="1"/>
      <c r="FD164" s="1"/>
      <c r="FE164" s="1"/>
      <c r="FF164" s="1"/>
      <c r="FG164" s="1"/>
      <c r="FH164" s="1"/>
      <c r="FI164" s="1"/>
      <c r="FJ164" s="1"/>
      <c r="FK164" s="1"/>
      <c r="FL164" s="1"/>
      <c r="FM164" s="1"/>
      <c r="FN164" s="1"/>
      <c r="FO164" s="1"/>
      <c r="FP164" s="1"/>
      <c r="FQ164" s="1"/>
      <c r="FR164" s="1"/>
      <c r="FS164" s="1"/>
      <c r="FT164" s="1"/>
      <c r="FU164" s="1"/>
      <c r="FV164" s="1"/>
      <c r="FW164" s="1"/>
      <c r="FX164" s="1"/>
      <c r="FY164" s="1"/>
      <c r="FZ164" s="1"/>
      <c r="GA164" s="1"/>
      <c r="GB164" s="1"/>
      <c r="GC164" s="1"/>
      <c r="GD164" s="1"/>
      <c r="GE164" s="1"/>
      <c r="GF164" s="1"/>
      <c r="GG164" s="1"/>
      <c r="GH164" s="1"/>
      <c r="GI164" s="1"/>
      <c r="GJ164" s="1"/>
      <c r="GK164" s="1"/>
      <c r="GL164" s="1"/>
      <c r="GM164" s="1"/>
      <c r="GN164" s="1"/>
      <c r="GO164" s="1"/>
      <c r="GP164" s="1"/>
      <c r="GQ164" s="1"/>
      <c r="GR164" s="1"/>
      <c r="GS164" s="1"/>
      <c r="GT164" s="1"/>
      <c r="GU164" s="1"/>
      <c r="GV164" s="1"/>
      <c r="GW164" s="1"/>
      <c r="GX164" s="1"/>
      <c r="GY164" s="1"/>
      <c r="GZ164" s="1"/>
      <c r="HA164" s="1"/>
      <c r="HB164" s="1"/>
      <c r="HC164" s="1"/>
      <c r="HD164" s="1"/>
      <c r="HE164" s="1"/>
      <c r="HF164" s="1"/>
      <c r="HG164" s="1"/>
      <c r="HH164" s="1"/>
      <c r="HI164" s="1"/>
      <c r="HJ164" s="1"/>
      <c r="HK164" s="1"/>
      <c r="HL164" s="1"/>
      <c r="HM164" s="1"/>
      <c r="HN164" s="1"/>
      <c r="HO164" s="1"/>
      <c r="HP164" s="1"/>
      <c r="HQ164" s="1"/>
      <c r="HR164" s="1"/>
      <c r="HS164" s="1"/>
      <c r="HT164" s="1"/>
      <c r="HU164" s="1"/>
      <c r="HV164" s="1"/>
      <c r="HW164" s="1"/>
      <c r="HX164" s="1"/>
      <c r="HY164" s="1"/>
      <c r="HZ164" s="1"/>
      <c r="IA164" s="1"/>
      <c r="IB164" s="1"/>
      <c r="IC164" s="1"/>
      <c r="ID164" s="1"/>
      <c r="IE164" s="1"/>
      <c r="IF164" s="1"/>
      <c r="IG164" s="1"/>
      <c r="IH164" s="1"/>
      <c r="II164" s="1"/>
      <c r="IJ164" s="1"/>
      <c r="IK164" s="1"/>
      <c r="IL164" s="1"/>
      <c r="IM164" s="1"/>
      <c r="IN164" s="1"/>
      <c r="IO164" s="1"/>
      <c r="IP164" s="1"/>
      <c r="IQ164" s="1"/>
      <c r="IR164" s="1"/>
      <c r="IS164" s="1"/>
      <c r="IT164" s="1"/>
      <c r="IU164" s="1"/>
      <c r="IV164" s="1"/>
      <c r="IW164" s="1"/>
      <c r="IX164" s="1"/>
      <c r="IY164" s="1"/>
      <c r="IZ164" s="1"/>
      <c r="JA164" s="1"/>
      <c r="JB164" s="1"/>
      <c r="JC164" s="1"/>
      <c r="JD164" s="1"/>
      <c r="JE164" s="1"/>
      <c r="JF164" s="1"/>
      <c r="JG164" s="1"/>
      <c r="JH164" s="1"/>
      <c r="JI164" s="1"/>
      <c r="JJ164" s="1"/>
      <c r="JK164" s="1"/>
      <c r="JL164" s="1"/>
      <c r="JM164" s="1"/>
      <c r="JN164" s="1"/>
      <c r="JO164" s="1"/>
      <c r="JP164" s="1"/>
      <c r="JQ164" s="1"/>
      <c r="JR164" s="1"/>
      <c r="JS164" s="1"/>
      <c r="JT164" s="1"/>
      <c r="JU164" s="1"/>
      <c r="JV164" s="1"/>
      <c r="JW164" s="1"/>
      <c r="JX164" s="1"/>
      <c r="JY164" s="1"/>
      <c r="JZ164" s="1"/>
      <c r="KA164" s="1"/>
      <c r="KB164" s="1"/>
      <c r="KC164" s="1"/>
      <c r="KD164" s="1"/>
      <c r="KE164" s="1"/>
      <c r="KF164" s="1"/>
      <c r="KG164" s="1"/>
      <c r="KH164" s="1"/>
      <c r="KI164" s="1"/>
      <c r="KJ164" s="1"/>
      <c r="KK164" s="1"/>
      <c r="KL164" s="1"/>
      <c r="KM164" s="1"/>
      <c r="KN164" s="1"/>
      <c r="KO164" s="1"/>
      <c r="KP164" s="1"/>
      <c r="KQ164" s="1"/>
      <c r="KR164" s="1"/>
      <c r="KS164" s="1"/>
      <c r="KT164" s="1"/>
      <c r="KU164" s="1"/>
      <c r="KV164" s="1"/>
      <c r="KW164" s="1"/>
      <c r="KX164" s="1"/>
      <c r="KY164" s="1"/>
      <c r="KZ164" s="1"/>
      <c r="LA164" s="1"/>
      <c r="LB164" s="1"/>
      <c r="LC164" s="1"/>
      <c r="LD164" s="1"/>
      <c r="LE164" s="1"/>
      <c r="LF164" s="1"/>
      <c r="LG164" s="1"/>
      <c r="LH164" s="1"/>
      <c r="LI164" s="1"/>
      <c r="LJ164" s="1"/>
      <c r="LK164" s="1"/>
      <c r="LL164" s="1"/>
      <c r="LM164" s="1"/>
      <c r="LN164" s="1"/>
      <c r="LO164" s="1"/>
      <c r="LP164" s="1"/>
      <c r="LQ164" s="1"/>
      <c r="LR164" s="1"/>
      <c r="LS164" s="1"/>
      <c r="LT164" s="1"/>
      <c r="LU164" s="1"/>
      <c r="LV164" s="1"/>
      <c r="LW164" s="1"/>
      <c r="LX164" s="1"/>
      <c r="LY164" s="1"/>
      <c r="LZ164" s="1"/>
      <c r="MA164" s="1"/>
      <c r="MB164" s="1"/>
      <c r="MC164" s="1"/>
      <c r="MD164" s="1"/>
      <c r="ME164" s="1"/>
      <c r="MF164" s="1"/>
      <c r="MG164" s="1"/>
      <c r="MH164" s="1"/>
      <c r="MI164" s="1"/>
      <c r="MJ164" s="1"/>
      <c r="MK164" s="1"/>
      <c r="ML164" s="1"/>
      <c r="MM164" s="1"/>
      <c r="MN164" s="1"/>
      <c r="MO164" s="1"/>
      <c r="MP164" s="1"/>
      <c r="MQ164" s="1"/>
      <c r="MR164" s="1"/>
      <c r="MS164" s="1"/>
      <c r="MT164" s="1"/>
      <c r="MU164" s="1"/>
      <c r="MV164" s="1"/>
      <c r="MW164" s="1"/>
      <c r="MX164" s="1"/>
      <c r="MY164" s="1"/>
      <c r="MZ164" s="1"/>
      <c r="NA164" s="1"/>
      <c r="NB164" s="1"/>
      <c r="NC164" s="1"/>
      <c r="ND164" s="1"/>
      <c r="NE164" s="1"/>
      <c r="NF164" s="1"/>
      <c r="NG164" s="1"/>
      <c r="NH164" s="1"/>
      <c r="NI164" s="1"/>
      <c r="NJ164" s="1"/>
      <c r="NK164" s="1"/>
      <c r="NL164" s="1"/>
      <c r="NM164" s="1"/>
      <c r="NN164" s="1"/>
      <c r="NO164" s="1"/>
      <c r="NP164" s="1"/>
      <c r="NQ164" s="1"/>
      <c r="NR164" s="1"/>
      <c r="NS164" s="1"/>
      <c r="NT164" s="1"/>
      <c r="NU164" s="1"/>
      <c r="NV164" s="1"/>
      <c r="NW164" s="1"/>
      <c r="NX164" s="1"/>
      <c r="NY164" s="1"/>
      <c r="NZ164" s="1"/>
      <c r="OA164" s="1"/>
      <c r="OB164" s="1"/>
      <c r="OC164" s="1"/>
      <c r="OD164" s="1"/>
      <c r="OE164" s="1"/>
      <c r="OF164" s="1"/>
      <c r="OG164" s="1"/>
      <c r="OH164" s="1"/>
      <c r="OI164" s="1"/>
      <c r="OJ164" s="1"/>
      <c r="OK164" s="1"/>
      <c r="OL164" s="1"/>
      <c r="OM164" s="1"/>
      <c r="ON164" s="1"/>
      <c r="OO164" s="1"/>
      <c r="OP164" s="1"/>
      <c r="OQ164" s="1"/>
      <c r="OR164" s="1"/>
      <c r="OS164" s="1"/>
      <c r="OT164" s="1"/>
      <c r="OU164" s="1"/>
      <c r="OV164" s="1"/>
      <c r="OW164" s="1"/>
      <c r="OX164" s="1"/>
      <c r="OY164" s="1"/>
      <c r="OZ164" s="1"/>
      <c r="PA164" s="1"/>
      <c r="PB164" s="1"/>
      <c r="PC164" s="1"/>
      <c r="PD164" s="1"/>
      <c r="PE164" s="1"/>
      <c r="PF164" s="1"/>
      <c r="PG164" s="1"/>
      <c r="PH164" s="1"/>
      <c r="PI164" s="1"/>
      <c r="PJ164" s="1"/>
      <c r="PK164" s="1"/>
      <c r="PL164" s="1"/>
      <c r="PM164" s="1"/>
      <c r="PN164" s="1"/>
      <c r="PO164" s="1"/>
      <c r="PP164" s="1"/>
      <c r="PQ164" s="1"/>
      <c r="PR164" s="1"/>
      <c r="PS164" s="1"/>
      <c r="PT164" s="1"/>
      <c r="PU164" s="1"/>
      <c r="PV164" s="1"/>
      <c r="PW164" s="1"/>
      <c r="PX164" s="1"/>
      <c r="PY164" s="1"/>
      <c r="PZ164" s="1"/>
      <c r="QA164" s="1"/>
      <c r="QB164" s="1"/>
      <c r="QC164" s="1"/>
      <c r="QD164" s="1"/>
      <c r="QE164" s="1"/>
      <c r="QF164" s="1"/>
      <c r="QG164" s="1"/>
      <c r="QH164" s="1"/>
      <c r="QI164" s="1"/>
      <c r="QJ164" s="1"/>
      <c r="QK164" s="1"/>
      <c r="QL164" s="1"/>
      <c r="QM164" s="1"/>
      <c r="QN164" s="1"/>
      <c r="QO164" s="1"/>
      <c r="QP164" s="1"/>
      <c r="QQ164" s="1"/>
      <c r="QR164" s="1"/>
      <c r="QS164" s="1"/>
      <c r="QT164" s="1"/>
      <c r="QU164" s="1"/>
      <c r="QV164" s="1"/>
      <c r="QW164" s="1"/>
      <c r="QX164" s="1"/>
      <c r="QY164" s="1"/>
      <c r="QZ164" s="1"/>
      <c r="RA164" s="1"/>
      <c r="RB164" s="1"/>
      <c r="RC164" s="1"/>
      <c r="RD164" s="1"/>
      <c r="RE164" s="1"/>
      <c r="RF164" s="1"/>
      <c r="RG164" s="1"/>
      <c r="RH164" s="1"/>
      <c r="RI164" s="1"/>
      <c r="RJ164" s="1"/>
      <c r="RK164" s="1"/>
      <c r="RL164" s="1"/>
      <c r="RM164" s="1"/>
      <c r="RN164" s="1"/>
      <c r="RO164" s="1"/>
      <c r="RP164" s="1"/>
      <c r="RQ164" s="1"/>
      <c r="RR164" s="1"/>
      <c r="RS164" s="1"/>
      <c r="RT164" s="1"/>
      <c r="RU164" s="1"/>
      <c r="RV164" s="1"/>
      <c r="RW164" s="1"/>
      <c r="RX164" s="1"/>
      <c r="RY164" s="1"/>
      <c r="RZ164" s="1"/>
      <c r="SA164" s="1"/>
      <c r="SB164" s="1"/>
      <c r="SC164" s="1"/>
      <c r="SD164" s="1"/>
      <c r="SE164" s="1"/>
      <c r="SF164" s="1"/>
      <c r="SG164" s="1"/>
      <c r="SH164" s="1"/>
      <c r="SI164" s="1"/>
      <c r="SJ164" s="1"/>
      <c r="SK164" s="1"/>
      <c r="SL164" s="1"/>
      <c r="SM164" s="1"/>
      <c r="SN164" s="1"/>
      <c r="SO164" s="1"/>
      <c r="SP164" s="1"/>
      <c r="SQ164" s="1"/>
      <c r="SR164" s="1"/>
      <c r="SS164" s="1"/>
      <c r="ST164" s="1"/>
      <c r="SU164" s="1"/>
      <c r="SV164" s="1"/>
      <c r="SW164" s="1"/>
      <c r="SX164" s="1"/>
      <c r="SY164" s="1"/>
      <c r="SZ164" s="1"/>
      <c r="TA164" s="1"/>
      <c r="TB164" s="1"/>
      <c r="TC164" s="1"/>
      <c r="TD164" s="1"/>
      <c r="TE164" s="1"/>
      <c r="TF164" s="1"/>
      <c r="TG164" s="1"/>
      <c r="TH164" s="1"/>
      <c r="TI164" s="1"/>
      <c r="TJ164" s="1"/>
      <c r="TK164" s="1"/>
      <c r="TL164" s="1"/>
      <c r="TM164" s="1"/>
      <c r="TN164" s="1"/>
      <c r="TO164" s="1"/>
      <c r="TP164" s="1"/>
      <c r="TQ164" s="1"/>
      <c r="TR164" s="1"/>
      <c r="TS164" s="1"/>
      <c r="TT164" s="1"/>
      <c r="TU164" s="1"/>
      <c r="TV164" s="1"/>
      <c r="TW164" s="1"/>
      <c r="TX164" s="1"/>
      <c r="TY164" s="1"/>
      <c r="TZ164" s="1"/>
      <c r="UA164" s="1"/>
      <c r="UB164" s="1"/>
      <c r="UC164" s="1"/>
      <c r="UD164" s="1"/>
      <c r="UE164" s="1"/>
      <c r="UF164" s="1"/>
      <c r="UG164" s="1"/>
      <c r="UH164" s="1"/>
      <c r="UI164" s="1"/>
      <c r="UJ164" s="1"/>
      <c r="UK164" s="1"/>
      <c r="UL164" s="1"/>
      <c r="UM164" s="1"/>
      <c r="UN164" s="1"/>
      <c r="UO164" s="1"/>
      <c r="UP164" s="1"/>
      <c r="UQ164" s="1"/>
      <c r="UR164" s="1"/>
      <c r="US164" s="1"/>
      <c r="UT164" s="1"/>
      <c r="UU164" s="1"/>
      <c r="UV164" s="1"/>
      <c r="UW164" s="1"/>
      <c r="UX164" s="1"/>
      <c r="UY164" s="1"/>
      <c r="UZ164" s="1"/>
      <c r="VA164" s="1"/>
      <c r="VB164" s="1"/>
      <c r="VC164" s="1"/>
      <c r="VD164" s="1"/>
      <c r="VE164" s="1"/>
      <c r="VF164" s="1"/>
      <c r="VG164" s="1"/>
      <c r="VH164" s="1"/>
      <c r="VI164" s="1"/>
      <c r="VJ164" s="1"/>
      <c r="VK164" s="1"/>
      <c r="VL164" s="1"/>
      <c r="VM164" s="1"/>
      <c r="VN164" s="1"/>
      <c r="VO164" s="1"/>
      <c r="VP164" s="1"/>
      <c r="VQ164" s="1"/>
      <c r="VR164" s="1"/>
      <c r="VS164" s="1"/>
      <c r="VT164" s="1"/>
      <c r="VU164" s="1"/>
      <c r="VV164" s="1"/>
      <c r="VW164" s="1"/>
      <c r="VX164" s="1"/>
      <c r="VY164" s="1"/>
      <c r="VZ164" s="1"/>
      <c r="WA164" s="1"/>
      <c r="WB164" s="1"/>
      <c r="WC164" s="1"/>
      <c r="WD164" s="1"/>
      <c r="WE164" s="1"/>
      <c r="WF164" s="1"/>
      <c r="WG164" s="1"/>
      <c r="WH164" s="1"/>
      <c r="WI164" s="1"/>
      <c r="WJ164" s="1"/>
      <c r="WK164" s="1"/>
      <c r="WL164" s="1"/>
      <c r="WM164" s="1"/>
      <c r="WN164" s="1"/>
      <c r="WO164" s="1"/>
      <c r="WP164" s="1"/>
      <c r="WQ164" s="1"/>
      <c r="WR164" s="1"/>
      <c r="WS164" s="1"/>
      <c r="WT164" s="1"/>
      <c r="WU164" s="1"/>
      <c r="WV164" s="1"/>
      <c r="WW164" s="1"/>
      <c r="WX164" s="1"/>
      <c r="WY164" s="1"/>
      <c r="WZ164" s="1"/>
      <c r="XA164" s="1"/>
      <c r="XB164" s="1"/>
      <c r="XC164" s="1"/>
      <c r="XD164" s="1"/>
      <c r="XE164" s="1"/>
      <c r="XF164" s="1"/>
      <c r="XG164" s="1"/>
      <c r="XH164" s="1"/>
      <c r="XI164" s="1"/>
      <c r="XJ164" s="1"/>
      <c r="XK164" s="1"/>
      <c r="XL164" s="1"/>
      <c r="XM164" s="1"/>
      <c r="XN164" s="1"/>
      <c r="XO164" s="1"/>
      <c r="XP164" s="1"/>
      <c r="XQ164" s="1"/>
      <c r="XR164" s="1"/>
      <c r="XS164" s="1"/>
      <c r="XT164" s="1"/>
      <c r="XU164" s="1"/>
      <c r="XV164" s="1"/>
      <c r="XW164" s="1"/>
      <c r="XX164" s="1"/>
      <c r="XY164" s="1"/>
      <c r="XZ164" s="1"/>
      <c r="YA164" s="1"/>
      <c r="YB164" s="1"/>
      <c r="YC164" s="1"/>
      <c r="YD164" s="1"/>
      <c r="YE164" s="1"/>
      <c r="YF164" s="1"/>
      <c r="YG164" s="1"/>
      <c r="YH164" s="1"/>
      <c r="YI164" s="1"/>
      <c r="YJ164" s="1"/>
      <c r="YK164" s="1"/>
      <c r="YL164" s="1"/>
      <c r="YM164" s="1"/>
      <c r="YN164" s="1"/>
      <c r="YO164" s="1"/>
      <c r="YP164" s="1"/>
      <c r="YQ164" s="1"/>
      <c r="YR164" s="1"/>
      <c r="YS164" s="1"/>
      <c r="YT164" s="1"/>
      <c r="YU164" s="1"/>
      <c r="YV164" s="1"/>
      <c r="YW164" s="1"/>
      <c r="YX164" s="1"/>
      <c r="YY164" s="1"/>
      <c r="YZ164" s="1"/>
      <c r="ZA164" s="1"/>
      <c r="ZB164" s="1"/>
      <c r="ZC164" s="1"/>
      <c r="ZD164" s="1"/>
      <c r="ZE164" s="1"/>
      <c r="ZF164" s="1"/>
      <c r="ZG164" s="1"/>
      <c r="ZH164" s="1"/>
      <c r="ZI164" s="1"/>
      <c r="ZJ164" s="1"/>
      <c r="ZK164" s="1"/>
      <c r="ZL164" s="1"/>
      <c r="ZM164" s="1"/>
      <c r="ZN164" s="1"/>
      <c r="ZO164" s="1"/>
      <c r="ZP164" s="1"/>
      <c r="ZQ164" s="1"/>
      <c r="ZR164" s="1"/>
      <c r="ZS164" s="1"/>
      <c r="ZT164" s="1"/>
      <c r="ZU164" s="1"/>
      <c r="ZV164" s="1"/>
      <c r="ZW164" s="1"/>
      <c r="ZX164" s="1"/>
      <c r="ZY164" s="1"/>
      <c r="ZZ164" s="1"/>
      <c r="AAA164" s="1"/>
      <c r="AAB164" s="1"/>
      <c r="AAC164" s="1"/>
      <c r="AAD164" s="1"/>
      <c r="AAE164" s="1"/>
      <c r="AAF164" s="1"/>
      <c r="AAG164" s="1"/>
      <c r="AAH164" s="1"/>
      <c r="AAI164" s="1"/>
      <c r="AAJ164" s="1"/>
      <c r="AAK164" s="1"/>
      <c r="AAL164" s="1"/>
      <c r="AAM164" s="1"/>
      <c r="AAN164" s="1"/>
      <c r="AAO164" s="1"/>
      <c r="AAP164" s="1"/>
      <c r="AAQ164" s="1"/>
      <c r="AAR164" s="1"/>
      <c r="AAS164" s="1"/>
      <c r="AAT164" s="1"/>
      <c r="AAU164" s="1"/>
      <c r="AAV164" s="1"/>
      <c r="AAW164" s="1"/>
      <c r="AAX164" s="1"/>
      <c r="AAY164" s="1"/>
      <c r="AAZ164" s="1"/>
      <c r="ABA164" s="1"/>
      <c r="ABB164" s="1"/>
      <c r="ABC164" s="1"/>
      <c r="ABD164" s="1"/>
      <c r="ABE164" s="1"/>
      <c r="ABF164" s="1"/>
      <c r="ABG164" s="1"/>
      <c r="ABH164" s="1"/>
      <c r="ABI164" s="1"/>
      <c r="ABJ164" s="1"/>
      <c r="ABK164" s="1"/>
      <c r="ABL164" s="1"/>
      <c r="ABM164" s="1"/>
      <c r="ABN164" s="1"/>
      <c r="ABO164" s="1"/>
      <c r="ABP164" s="1"/>
      <c r="ABQ164" s="1"/>
      <c r="ABR164" s="1"/>
      <c r="ABS164" s="1"/>
      <c r="ABT164" s="1"/>
      <c r="ABU164" s="1"/>
      <c r="ABV164" s="1"/>
      <c r="ABW164" s="1"/>
      <c r="ABX164" s="1"/>
      <c r="ABY164" s="1"/>
      <c r="ABZ164" s="1"/>
      <c r="ACA164" s="1"/>
      <c r="ACB164" s="1"/>
      <c r="ACC164" s="1"/>
      <c r="ACD164" s="1"/>
      <c r="ACE164" s="1"/>
      <c r="ACF164" s="1"/>
      <c r="ACG164" s="1"/>
      <c r="ACH164" s="1"/>
      <c r="ACI164" s="1"/>
      <c r="ACJ164" s="1"/>
      <c r="ACK164" s="1"/>
      <c r="ACL164" s="1"/>
      <c r="ACM164" s="1"/>
      <c r="ACN164" s="1"/>
      <c r="ACO164" s="1"/>
      <c r="ACP164" s="1"/>
      <c r="ACQ164" s="1"/>
      <c r="ACR164" s="1"/>
      <c r="ACS164" s="1"/>
      <c r="ACT164" s="1"/>
      <c r="ACU164" s="1"/>
      <c r="ACV164" s="1"/>
      <c r="ACW164" s="1"/>
      <c r="ACX164" s="1"/>
      <c r="ACY164" s="1"/>
      <c r="ACZ164" s="1"/>
      <c r="ADA164" s="1"/>
      <c r="ADB164" s="1"/>
      <c r="ADC164" s="1"/>
      <c r="ADD164" s="1"/>
      <c r="ADE164" s="1"/>
      <c r="ADF164" s="1"/>
      <c r="ADG164" s="1"/>
      <c r="ADH164" s="1"/>
      <c r="ADI164" s="1"/>
      <c r="ADJ164" s="1"/>
      <c r="ADK164" s="1"/>
      <c r="ADL164" s="1"/>
      <c r="ADM164" s="1"/>
      <c r="ADN164" s="1"/>
      <c r="ADO164" s="1"/>
      <c r="ADP164" s="1"/>
      <c r="ADQ164" s="1"/>
      <c r="ADR164" s="1"/>
      <c r="ADS164" s="1"/>
      <c r="ADT164" s="1"/>
      <c r="ADU164" s="1"/>
      <c r="ADV164" s="1"/>
      <c r="ADW164" s="1"/>
      <c r="ADX164" s="1"/>
      <c r="ADY164" s="1"/>
      <c r="ADZ164" s="1"/>
      <c r="AEA164" s="1"/>
      <c r="AEB164" s="1"/>
      <c r="AEC164" s="1"/>
      <c r="AED164" s="1"/>
      <c r="AEE164" s="1"/>
      <c r="AEF164" s="1"/>
      <c r="AEG164" s="1"/>
      <c r="AEH164" s="1"/>
      <c r="AEI164" s="1"/>
      <c r="AEJ164" s="1"/>
      <c r="AEK164" s="1"/>
      <c r="AEL164" s="1"/>
      <c r="AEM164" s="1"/>
      <c r="AEN164" s="1"/>
      <c r="AEO164" s="1"/>
      <c r="AEP164" s="1"/>
      <c r="AEQ164" s="1"/>
      <c r="AER164" s="1"/>
      <c r="AES164" s="1"/>
      <c r="AET164" s="1"/>
      <c r="AEU164" s="1"/>
      <c r="AEV164" s="1"/>
      <c r="AEW164" s="1"/>
      <c r="AEX164" s="1"/>
      <c r="AEY164" s="1"/>
      <c r="AEZ164" s="1"/>
      <c r="AFA164" s="1"/>
      <c r="AFB164" s="1"/>
      <c r="AFC164" s="1"/>
      <c r="AFD164" s="1"/>
      <c r="AFE164" s="1"/>
      <c r="AFF164" s="1"/>
      <c r="AFG164" s="1"/>
      <c r="AFH164" s="1"/>
      <c r="AFI164" s="1"/>
      <c r="AFJ164" s="1"/>
      <c r="AFK164" s="1"/>
      <c r="AFL164" s="1"/>
      <c r="AFM164" s="1"/>
      <c r="AFN164" s="1"/>
      <c r="AFO164" s="1"/>
      <c r="AFP164" s="1"/>
      <c r="AFQ164" s="1"/>
      <c r="AFR164" s="1"/>
      <c r="AFS164" s="1"/>
      <c r="AFT164" s="1"/>
      <c r="AFU164" s="1"/>
      <c r="AFV164" s="1"/>
      <c r="AFW164" s="1"/>
      <c r="AFX164" s="1"/>
      <c r="AFY164" s="1"/>
      <c r="AFZ164" s="1"/>
      <c r="AGA164" s="1"/>
      <c r="AGB164" s="1"/>
      <c r="AGC164" s="1"/>
      <c r="AGD164" s="1"/>
      <c r="AGE164" s="1"/>
      <c r="AGF164" s="1"/>
      <c r="AGG164" s="1"/>
      <c r="AGH164" s="1"/>
      <c r="AGI164" s="1"/>
      <c r="AGJ164" s="1"/>
      <c r="AGK164" s="1"/>
      <c r="AGL164" s="1"/>
      <c r="AGM164" s="1"/>
      <c r="AGN164" s="1"/>
      <c r="AGO164" s="1"/>
      <c r="AGP164" s="1"/>
      <c r="AGQ164" s="1"/>
      <c r="AGR164" s="1"/>
      <c r="AGS164" s="1"/>
      <c r="AGT164" s="1"/>
      <c r="AGU164" s="1"/>
      <c r="AGV164" s="1"/>
      <c r="AGW164" s="1"/>
      <c r="AGX164" s="1"/>
      <c r="AGY164" s="1"/>
      <c r="AGZ164" s="1"/>
      <c r="AHA164" s="1"/>
      <c r="AHB164" s="1"/>
      <c r="AHC164" s="1"/>
      <c r="AHD164" s="1"/>
      <c r="AHE164" s="1"/>
      <c r="AHF164" s="1"/>
      <c r="AHG164" s="1"/>
      <c r="AHH164" s="1"/>
      <c r="AHI164" s="1"/>
      <c r="AHJ164" s="1"/>
      <c r="AHK164" s="1"/>
      <c r="AHL164" s="1"/>
      <c r="AHM164" s="1"/>
      <c r="AHN164" s="1"/>
      <c r="AHO164" s="1"/>
      <c r="AHP164" s="1"/>
      <c r="AHQ164" s="1"/>
      <c r="AHR164" s="1"/>
      <c r="AHS164" s="1"/>
      <c r="AHT164" s="1"/>
      <c r="AHU164" s="1"/>
      <c r="AHV164" s="1"/>
      <c r="AHW164" s="1"/>
      <c r="AHX164" s="1"/>
      <c r="AHY164" s="1"/>
      <c r="AHZ164" s="1"/>
      <c r="AIA164" s="1"/>
      <c r="AIB164" s="1"/>
      <c r="AIC164" s="1"/>
      <c r="AID164" s="1"/>
      <c r="AIE164" s="1"/>
      <c r="AIF164" s="1"/>
      <c r="AIG164" s="1"/>
      <c r="AIH164" s="1"/>
      <c r="AII164" s="1"/>
      <c r="AIJ164" s="1"/>
      <c r="AIK164" s="1"/>
      <c r="AIL164" s="1"/>
      <c r="AIM164" s="1"/>
      <c r="AIN164" s="1"/>
      <c r="AIO164" s="1"/>
      <c r="AIP164" s="1"/>
      <c r="AIQ164" s="1"/>
      <c r="AIR164" s="1"/>
      <c r="AIS164" s="1"/>
      <c r="AIT164" s="1"/>
      <c r="AIU164" s="1"/>
      <c r="AIV164" s="1"/>
      <c r="AIW164" s="1"/>
      <c r="AIX164" s="1"/>
      <c r="AIY164" s="1"/>
      <c r="AIZ164" s="1"/>
      <c r="AJA164" s="1"/>
      <c r="AJB164" s="1"/>
      <c r="AJC164" s="1"/>
      <c r="AJD164" s="1"/>
      <c r="AJE164" s="1"/>
      <c r="AJF164" s="1"/>
      <c r="AJG164" s="1"/>
      <c r="AJH164" s="1"/>
      <c r="AJI164" s="1"/>
      <c r="AJJ164" s="1"/>
      <c r="AJK164" s="1"/>
      <c r="AJL164" s="1"/>
      <c r="AJM164" s="1"/>
      <c r="AJN164" s="1"/>
      <c r="AJO164" s="1"/>
      <c r="AJP164" s="1"/>
      <c r="AJQ164" s="1"/>
      <c r="AJR164" s="1"/>
      <c r="AJS164" s="1"/>
      <c r="AJT164" s="1"/>
      <c r="AJU164" s="1"/>
      <c r="AJV164" s="1"/>
      <c r="AJW164" s="1"/>
      <c r="AJX164" s="1"/>
      <c r="AJY164" s="1"/>
      <c r="AJZ164" s="1"/>
      <c r="AKA164" s="1"/>
      <c r="AKB164" s="1"/>
      <c r="AKC164" s="1"/>
      <c r="AKD164" s="1"/>
      <c r="AKE164" s="1"/>
      <c r="AKF164" s="1"/>
      <c r="AKG164" s="1"/>
      <c r="AKH164" s="1"/>
      <c r="AKI164" s="1"/>
      <c r="AKJ164" s="1"/>
      <c r="AKK164" s="1"/>
      <c r="AKL164" s="1"/>
      <c r="AKM164" s="1"/>
      <c r="AKN164" s="1"/>
      <c r="AKO164" s="1"/>
      <c r="AKP164" s="1"/>
      <c r="AKQ164" s="1"/>
      <c r="AKR164" s="1"/>
      <c r="AKS164" s="1"/>
      <c r="AKT164" s="1"/>
      <c r="AKU164" s="1"/>
      <c r="AKV164" s="1"/>
      <c r="AKW164" s="1"/>
      <c r="AKX164" s="1"/>
      <c r="AKY164" s="1"/>
      <c r="AKZ164" s="1"/>
      <c r="ALA164" s="1"/>
      <c r="ALB164" s="1"/>
      <c r="ALC164" s="1"/>
      <c r="ALD164" s="1"/>
      <c r="ALE164" s="1"/>
      <c r="ALF164" s="1"/>
      <c r="ALG164" s="1"/>
      <c r="ALH164" s="1"/>
      <c r="ALI164" s="1"/>
      <c r="ALJ164" s="1"/>
      <c r="ALK164" s="1"/>
      <c r="ALL164" s="1"/>
      <c r="ALM164" s="1"/>
      <c r="ALN164" s="1"/>
      <c r="ALO164" s="1"/>
      <c r="ALP164" s="1"/>
      <c r="ALQ164" s="1"/>
      <c r="ALR164" s="1"/>
      <c r="ALS164" s="1"/>
      <c r="ALT164" s="1"/>
      <c r="ALU164" s="1"/>
      <c r="ALV164" s="1"/>
      <c r="ALW164" s="1"/>
      <c r="ALX164" s="1"/>
      <c r="ALY164" s="1"/>
      <c r="ALZ164" s="1"/>
      <c r="AMA164" s="1"/>
      <c r="AMB164" s="1"/>
      <c r="AMC164" s="1"/>
      <c r="AMD164" s="1"/>
      <c r="AME164" s="1"/>
      <c r="AMF164" s="1"/>
      <c r="AMG164" s="1"/>
      <c r="AMH164" s="1"/>
      <c r="AMI164" s="1"/>
      <c r="AMJ164" s="1"/>
    </row>
    <row r="165" customFormat="false" ht="10.5" hidden="false" customHeight="true" outlineLevel="0" collapsed="false">
      <c r="A165" s="221"/>
      <c r="B165" s="221"/>
      <c r="C165" s="221"/>
      <c r="D165" s="221"/>
      <c r="E165" s="221"/>
      <c r="F165" s="221"/>
      <c r="G165" s="222"/>
      <c r="H165" s="222"/>
      <c r="I165" s="222"/>
      <c r="J165" s="222"/>
      <c r="K165" s="222"/>
      <c r="L165" s="222"/>
      <c r="M165" s="222"/>
      <c r="N165" s="222"/>
      <c r="O165" s="222"/>
      <c r="P165" s="222"/>
      <c r="Q165" s="222"/>
      <c r="R165" s="222"/>
      <c r="S165" s="222"/>
      <c r="T165" s="222"/>
      <c r="U165" s="222"/>
      <c r="V165" s="222"/>
      <c r="W165" s="222"/>
      <c r="X165" s="222"/>
      <c r="Y165" s="222"/>
      <c r="Z165" s="222"/>
      <c r="AA165" s="222"/>
      <c r="AB165" s="222"/>
      <c r="AC165" s="222"/>
      <c r="AD165" s="222"/>
      <c r="AE165" s="222"/>
      <c r="AF165" s="222"/>
      <c r="AG165" s="222"/>
      <c r="AH165" s="222"/>
      <c r="AI165" s="140" t="n">
        <f aca="false">SUM(A165:AH165)</f>
        <v>0</v>
      </c>
      <c r="AJ165" s="140"/>
      <c r="AK165" s="140"/>
      <c r="AL165" s="140"/>
      <c r="AM165" s="140"/>
      <c r="AN165" s="140"/>
      <c r="AO165" s="140"/>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1"/>
      <c r="DJ165" s="1"/>
      <c r="DK165" s="1"/>
      <c r="DL165" s="1"/>
      <c r="DM165" s="1"/>
      <c r="DN165" s="1"/>
      <c r="DO165" s="1"/>
      <c r="DP165" s="1"/>
      <c r="DQ165" s="1"/>
      <c r="DR165" s="1"/>
      <c r="DS165" s="1"/>
      <c r="DT165" s="1"/>
      <c r="DU165" s="1"/>
      <c r="DV165" s="1"/>
      <c r="DW165" s="1"/>
      <c r="DX165" s="1"/>
      <c r="DY165" s="1"/>
      <c r="DZ165" s="1"/>
      <c r="EA165" s="1"/>
      <c r="EB165" s="1"/>
      <c r="EC165" s="1"/>
      <c r="ED165" s="1"/>
      <c r="EE165" s="1"/>
      <c r="EF165" s="1"/>
      <c r="EG165" s="1"/>
      <c r="EH165" s="1"/>
      <c r="EI165" s="1"/>
      <c r="EJ165" s="1"/>
      <c r="EK165" s="1"/>
      <c r="EL165" s="1"/>
      <c r="EM165" s="1"/>
      <c r="EN165" s="1"/>
      <c r="EO165" s="1"/>
      <c r="EP165" s="1"/>
      <c r="EQ165" s="1"/>
      <c r="ER165" s="1"/>
      <c r="ES165" s="1"/>
      <c r="ET165" s="1"/>
      <c r="EU165" s="1"/>
      <c r="EV165" s="1"/>
      <c r="EW165" s="1"/>
      <c r="EX165" s="1"/>
      <c r="EY165" s="1"/>
      <c r="EZ165" s="1"/>
      <c r="FA165" s="1"/>
      <c r="FB165" s="1"/>
      <c r="FC165" s="1"/>
      <c r="FD165" s="1"/>
      <c r="FE165" s="1"/>
      <c r="FF165" s="1"/>
      <c r="FG165" s="1"/>
      <c r="FH165" s="1"/>
      <c r="FI165" s="1"/>
      <c r="FJ165" s="1"/>
      <c r="FK165" s="1"/>
      <c r="FL165" s="1"/>
      <c r="FM165" s="1"/>
      <c r="FN165" s="1"/>
      <c r="FO165" s="1"/>
      <c r="FP165" s="1"/>
      <c r="FQ165" s="1"/>
      <c r="FR165" s="1"/>
      <c r="FS165" s="1"/>
      <c r="FT165" s="1"/>
      <c r="FU165" s="1"/>
      <c r="FV165" s="1"/>
      <c r="FW165" s="1"/>
      <c r="FX165" s="1"/>
      <c r="FY165" s="1"/>
      <c r="FZ165" s="1"/>
      <c r="GA165" s="1"/>
      <c r="GB165" s="1"/>
      <c r="GC165" s="1"/>
      <c r="GD165" s="1"/>
      <c r="GE165" s="1"/>
      <c r="GF165" s="1"/>
      <c r="GG165" s="1"/>
      <c r="GH165" s="1"/>
      <c r="GI165" s="1"/>
      <c r="GJ165" s="1"/>
      <c r="GK165" s="1"/>
      <c r="GL165" s="1"/>
      <c r="GM165" s="1"/>
      <c r="GN165" s="1"/>
      <c r="GO165" s="1"/>
      <c r="GP165" s="1"/>
      <c r="GQ165" s="1"/>
      <c r="GR165" s="1"/>
      <c r="GS165" s="1"/>
      <c r="GT165" s="1"/>
      <c r="GU165" s="1"/>
      <c r="GV165" s="1"/>
      <c r="GW165" s="1"/>
      <c r="GX165" s="1"/>
      <c r="GY165" s="1"/>
      <c r="GZ165" s="1"/>
      <c r="HA165" s="1"/>
      <c r="HB165" s="1"/>
      <c r="HC165" s="1"/>
      <c r="HD165" s="1"/>
      <c r="HE165" s="1"/>
      <c r="HF165" s="1"/>
      <c r="HG165" s="1"/>
      <c r="HH165" s="1"/>
      <c r="HI165" s="1"/>
      <c r="HJ165" s="1"/>
      <c r="HK165" s="1"/>
      <c r="HL165" s="1"/>
      <c r="HM165" s="1"/>
      <c r="HN165" s="1"/>
      <c r="HO165" s="1"/>
      <c r="HP165" s="1"/>
      <c r="HQ165" s="1"/>
      <c r="HR165" s="1"/>
      <c r="HS165" s="1"/>
      <c r="HT165" s="1"/>
      <c r="HU165" s="1"/>
      <c r="HV165" s="1"/>
      <c r="HW165" s="1"/>
      <c r="HX165" s="1"/>
      <c r="HY165" s="1"/>
      <c r="HZ165" s="1"/>
      <c r="IA165" s="1"/>
      <c r="IB165" s="1"/>
      <c r="IC165" s="1"/>
      <c r="ID165" s="1"/>
      <c r="IE165" s="1"/>
      <c r="IF165" s="1"/>
      <c r="IG165" s="1"/>
      <c r="IH165" s="1"/>
      <c r="II165" s="1"/>
      <c r="IJ165" s="1"/>
      <c r="IK165" s="1"/>
      <c r="IL165" s="1"/>
      <c r="IM165" s="1"/>
      <c r="IN165" s="1"/>
      <c r="IO165" s="1"/>
      <c r="IP165" s="1"/>
      <c r="IQ165" s="1"/>
      <c r="IR165" s="1"/>
      <c r="IS165" s="1"/>
      <c r="IT165" s="1"/>
      <c r="IU165" s="1"/>
      <c r="IV165" s="1"/>
      <c r="IW165" s="1"/>
      <c r="IX165" s="1"/>
      <c r="IY165" s="1"/>
      <c r="IZ165" s="1"/>
      <c r="JA165" s="1"/>
      <c r="JB165" s="1"/>
      <c r="JC165" s="1"/>
      <c r="JD165" s="1"/>
      <c r="JE165" s="1"/>
      <c r="JF165" s="1"/>
      <c r="JG165" s="1"/>
      <c r="JH165" s="1"/>
      <c r="JI165" s="1"/>
      <c r="JJ165" s="1"/>
      <c r="JK165" s="1"/>
      <c r="JL165" s="1"/>
      <c r="JM165" s="1"/>
      <c r="JN165" s="1"/>
      <c r="JO165" s="1"/>
      <c r="JP165" s="1"/>
      <c r="JQ165" s="1"/>
      <c r="JR165" s="1"/>
      <c r="JS165" s="1"/>
      <c r="JT165" s="1"/>
      <c r="JU165" s="1"/>
      <c r="JV165" s="1"/>
      <c r="JW165" s="1"/>
      <c r="JX165" s="1"/>
      <c r="JY165" s="1"/>
      <c r="JZ165" s="1"/>
      <c r="KA165" s="1"/>
      <c r="KB165" s="1"/>
      <c r="KC165" s="1"/>
      <c r="KD165" s="1"/>
      <c r="KE165" s="1"/>
      <c r="KF165" s="1"/>
      <c r="KG165" s="1"/>
      <c r="KH165" s="1"/>
      <c r="KI165" s="1"/>
      <c r="KJ165" s="1"/>
      <c r="KK165" s="1"/>
      <c r="KL165" s="1"/>
      <c r="KM165" s="1"/>
      <c r="KN165" s="1"/>
      <c r="KO165" s="1"/>
      <c r="KP165" s="1"/>
      <c r="KQ165" s="1"/>
      <c r="KR165" s="1"/>
      <c r="KS165" s="1"/>
      <c r="KT165" s="1"/>
      <c r="KU165" s="1"/>
      <c r="KV165" s="1"/>
      <c r="KW165" s="1"/>
      <c r="KX165" s="1"/>
      <c r="KY165" s="1"/>
      <c r="KZ165" s="1"/>
      <c r="LA165" s="1"/>
      <c r="LB165" s="1"/>
      <c r="LC165" s="1"/>
      <c r="LD165" s="1"/>
      <c r="LE165" s="1"/>
      <c r="LF165" s="1"/>
      <c r="LG165" s="1"/>
      <c r="LH165" s="1"/>
      <c r="LI165" s="1"/>
      <c r="LJ165" s="1"/>
      <c r="LK165" s="1"/>
      <c r="LL165" s="1"/>
      <c r="LM165" s="1"/>
      <c r="LN165" s="1"/>
      <c r="LO165" s="1"/>
      <c r="LP165" s="1"/>
      <c r="LQ165" s="1"/>
      <c r="LR165" s="1"/>
      <c r="LS165" s="1"/>
      <c r="LT165" s="1"/>
      <c r="LU165" s="1"/>
      <c r="LV165" s="1"/>
      <c r="LW165" s="1"/>
      <c r="LX165" s="1"/>
      <c r="LY165" s="1"/>
      <c r="LZ165" s="1"/>
      <c r="MA165" s="1"/>
      <c r="MB165" s="1"/>
      <c r="MC165" s="1"/>
      <c r="MD165" s="1"/>
      <c r="ME165" s="1"/>
      <c r="MF165" s="1"/>
      <c r="MG165" s="1"/>
      <c r="MH165" s="1"/>
      <c r="MI165" s="1"/>
      <c r="MJ165" s="1"/>
      <c r="MK165" s="1"/>
      <c r="ML165" s="1"/>
      <c r="MM165" s="1"/>
      <c r="MN165" s="1"/>
      <c r="MO165" s="1"/>
      <c r="MP165" s="1"/>
      <c r="MQ165" s="1"/>
      <c r="MR165" s="1"/>
      <c r="MS165" s="1"/>
      <c r="MT165" s="1"/>
      <c r="MU165" s="1"/>
      <c r="MV165" s="1"/>
      <c r="MW165" s="1"/>
      <c r="MX165" s="1"/>
      <c r="MY165" s="1"/>
      <c r="MZ165" s="1"/>
      <c r="NA165" s="1"/>
      <c r="NB165" s="1"/>
      <c r="NC165" s="1"/>
      <c r="ND165" s="1"/>
      <c r="NE165" s="1"/>
      <c r="NF165" s="1"/>
      <c r="NG165" s="1"/>
      <c r="NH165" s="1"/>
      <c r="NI165" s="1"/>
      <c r="NJ165" s="1"/>
      <c r="NK165" s="1"/>
      <c r="NL165" s="1"/>
      <c r="NM165" s="1"/>
      <c r="NN165" s="1"/>
      <c r="NO165" s="1"/>
      <c r="NP165" s="1"/>
      <c r="NQ165" s="1"/>
      <c r="NR165" s="1"/>
      <c r="NS165" s="1"/>
      <c r="NT165" s="1"/>
      <c r="NU165" s="1"/>
      <c r="NV165" s="1"/>
      <c r="NW165" s="1"/>
      <c r="NX165" s="1"/>
      <c r="NY165" s="1"/>
      <c r="NZ165" s="1"/>
      <c r="OA165" s="1"/>
      <c r="OB165" s="1"/>
      <c r="OC165" s="1"/>
      <c r="OD165" s="1"/>
      <c r="OE165" s="1"/>
      <c r="OF165" s="1"/>
      <c r="OG165" s="1"/>
      <c r="OH165" s="1"/>
      <c r="OI165" s="1"/>
      <c r="OJ165" s="1"/>
      <c r="OK165" s="1"/>
      <c r="OL165" s="1"/>
      <c r="OM165" s="1"/>
      <c r="ON165" s="1"/>
      <c r="OO165" s="1"/>
      <c r="OP165" s="1"/>
      <c r="OQ165" s="1"/>
      <c r="OR165" s="1"/>
      <c r="OS165" s="1"/>
      <c r="OT165" s="1"/>
      <c r="OU165" s="1"/>
      <c r="OV165" s="1"/>
      <c r="OW165" s="1"/>
      <c r="OX165" s="1"/>
      <c r="OY165" s="1"/>
      <c r="OZ165" s="1"/>
      <c r="PA165" s="1"/>
      <c r="PB165" s="1"/>
      <c r="PC165" s="1"/>
      <c r="PD165" s="1"/>
      <c r="PE165" s="1"/>
      <c r="PF165" s="1"/>
      <c r="PG165" s="1"/>
      <c r="PH165" s="1"/>
      <c r="PI165" s="1"/>
      <c r="PJ165" s="1"/>
      <c r="PK165" s="1"/>
      <c r="PL165" s="1"/>
      <c r="PM165" s="1"/>
      <c r="PN165" s="1"/>
      <c r="PO165" s="1"/>
      <c r="PP165" s="1"/>
      <c r="PQ165" s="1"/>
      <c r="PR165" s="1"/>
      <c r="PS165" s="1"/>
      <c r="PT165" s="1"/>
      <c r="PU165" s="1"/>
      <c r="PV165" s="1"/>
      <c r="PW165" s="1"/>
      <c r="PX165" s="1"/>
      <c r="PY165" s="1"/>
      <c r="PZ165" s="1"/>
      <c r="QA165" s="1"/>
      <c r="QB165" s="1"/>
      <c r="QC165" s="1"/>
      <c r="QD165" s="1"/>
      <c r="QE165" s="1"/>
      <c r="QF165" s="1"/>
      <c r="QG165" s="1"/>
      <c r="QH165" s="1"/>
      <c r="QI165" s="1"/>
      <c r="QJ165" s="1"/>
      <c r="QK165" s="1"/>
      <c r="QL165" s="1"/>
      <c r="QM165" s="1"/>
      <c r="QN165" s="1"/>
      <c r="QO165" s="1"/>
      <c r="QP165" s="1"/>
      <c r="QQ165" s="1"/>
      <c r="QR165" s="1"/>
      <c r="QS165" s="1"/>
      <c r="QT165" s="1"/>
      <c r="QU165" s="1"/>
      <c r="QV165" s="1"/>
      <c r="QW165" s="1"/>
      <c r="QX165" s="1"/>
      <c r="QY165" s="1"/>
      <c r="QZ165" s="1"/>
      <c r="RA165" s="1"/>
      <c r="RB165" s="1"/>
      <c r="RC165" s="1"/>
      <c r="RD165" s="1"/>
      <c r="RE165" s="1"/>
      <c r="RF165" s="1"/>
      <c r="RG165" s="1"/>
      <c r="RH165" s="1"/>
      <c r="RI165" s="1"/>
      <c r="RJ165" s="1"/>
      <c r="RK165" s="1"/>
      <c r="RL165" s="1"/>
      <c r="RM165" s="1"/>
      <c r="RN165" s="1"/>
      <c r="RO165" s="1"/>
      <c r="RP165" s="1"/>
      <c r="RQ165" s="1"/>
      <c r="RR165" s="1"/>
      <c r="RS165" s="1"/>
      <c r="RT165" s="1"/>
      <c r="RU165" s="1"/>
      <c r="RV165" s="1"/>
      <c r="RW165" s="1"/>
      <c r="RX165" s="1"/>
      <c r="RY165" s="1"/>
      <c r="RZ165" s="1"/>
      <c r="SA165" s="1"/>
      <c r="SB165" s="1"/>
      <c r="SC165" s="1"/>
      <c r="SD165" s="1"/>
      <c r="SE165" s="1"/>
      <c r="SF165" s="1"/>
      <c r="SG165" s="1"/>
      <c r="SH165" s="1"/>
      <c r="SI165" s="1"/>
      <c r="SJ165" s="1"/>
      <c r="SK165" s="1"/>
      <c r="SL165" s="1"/>
      <c r="SM165" s="1"/>
      <c r="SN165" s="1"/>
      <c r="SO165" s="1"/>
      <c r="SP165" s="1"/>
      <c r="SQ165" s="1"/>
      <c r="SR165" s="1"/>
      <c r="SS165" s="1"/>
      <c r="ST165" s="1"/>
      <c r="SU165" s="1"/>
      <c r="SV165" s="1"/>
      <c r="SW165" s="1"/>
      <c r="SX165" s="1"/>
      <c r="SY165" s="1"/>
      <c r="SZ165" s="1"/>
      <c r="TA165" s="1"/>
      <c r="TB165" s="1"/>
      <c r="TC165" s="1"/>
      <c r="TD165" s="1"/>
      <c r="TE165" s="1"/>
      <c r="TF165" s="1"/>
      <c r="TG165" s="1"/>
      <c r="TH165" s="1"/>
      <c r="TI165" s="1"/>
      <c r="TJ165" s="1"/>
      <c r="TK165" s="1"/>
      <c r="TL165" s="1"/>
      <c r="TM165" s="1"/>
      <c r="TN165" s="1"/>
      <c r="TO165" s="1"/>
      <c r="TP165" s="1"/>
      <c r="TQ165" s="1"/>
      <c r="TR165" s="1"/>
      <c r="TS165" s="1"/>
      <c r="TT165" s="1"/>
      <c r="TU165" s="1"/>
      <c r="TV165" s="1"/>
      <c r="TW165" s="1"/>
      <c r="TX165" s="1"/>
      <c r="TY165" s="1"/>
      <c r="TZ165" s="1"/>
      <c r="UA165" s="1"/>
      <c r="UB165" s="1"/>
      <c r="UC165" s="1"/>
      <c r="UD165" s="1"/>
      <c r="UE165" s="1"/>
      <c r="UF165" s="1"/>
      <c r="UG165" s="1"/>
      <c r="UH165" s="1"/>
      <c r="UI165" s="1"/>
      <c r="UJ165" s="1"/>
      <c r="UK165" s="1"/>
      <c r="UL165" s="1"/>
      <c r="UM165" s="1"/>
      <c r="UN165" s="1"/>
      <c r="UO165" s="1"/>
      <c r="UP165" s="1"/>
      <c r="UQ165" s="1"/>
      <c r="UR165" s="1"/>
      <c r="US165" s="1"/>
      <c r="UT165" s="1"/>
      <c r="UU165" s="1"/>
      <c r="UV165" s="1"/>
      <c r="UW165" s="1"/>
      <c r="UX165" s="1"/>
      <c r="UY165" s="1"/>
      <c r="UZ165" s="1"/>
      <c r="VA165" s="1"/>
      <c r="VB165" s="1"/>
      <c r="VC165" s="1"/>
      <c r="VD165" s="1"/>
      <c r="VE165" s="1"/>
      <c r="VF165" s="1"/>
      <c r="VG165" s="1"/>
      <c r="VH165" s="1"/>
      <c r="VI165" s="1"/>
      <c r="VJ165" s="1"/>
      <c r="VK165" s="1"/>
      <c r="VL165" s="1"/>
      <c r="VM165" s="1"/>
      <c r="VN165" s="1"/>
      <c r="VO165" s="1"/>
      <c r="VP165" s="1"/>
      <c r="VQ165" s="1"/>
      <c r="VR165" s="1"/>
      <c r="VS165" s="1"/>
      <c r="VT165" s="1"/>
      <c r="VU165" s="1"/>
      <c r="VV165" s="1"/>
      <c r="VW165" s="1"/>
      <c r="VX165" s="1"/>
      <c r="VY165" s="1"/>
      <c r="VZ165" s="1"/>
      <c r="WA165" s="1"/>
      <c r="WB165" s="1"/>
      <c r="WC165" s="1"/>
      <c r="WD165" s="1"/>
      <c r="WE165" s="1"/>
      <c r="WF165" s="1"/>
      <c r="WG165" s="1"/>
      <c r="WH165" s="1"/>
      <c r="WI165" s="1"/>
      <c r="WJ165" s="1"/>
      <c r="WK165" s="1"/>
      <c r="WL165" s="1"/>
      <c r="WM165" s="1"/>
      <c r="WN165" s="1"/>
      <c r="WO165" s="1"/>
      <c r="WP165" s="1"/>
      <c r="WQ165" s="1"/>
      <c r="WR165" s="1"/>
      <c r="WS165" s="1"/>
      <c r="WT165" s="1"/>
      <c r="WU165" s="1"/>
      <c r="WV165" s="1"/>
      <c r="WW165" s="1"/>
      <c r="WX165" s="1"/>
      <c r="WY165" s="1"/>
      <c r="WZ165" s="1"/>
      <c r="XA165" s="1"/>
      <c r="XB165" s="1"/>
      <c r="XC165" s="1"/>
      <c r="XD165" s="1"/>
      <c r="XE165" s="1"/>
      <c r="XF165" s="1"/>
      <c r="XG165" s="1"/>
      <c r="XH165" s="1"/>
      <c r="XI165" s="1"/>
      <c r="XJ165" s="1"/>
      <c r="XK165" s="1"/>
      <c r="XL165" s="1"/>
      <c r="XM165" s="1"/>
      <c r="XN165" s="1"/>
      <c r="XO165" s="1"/>
      <c r="XP165" s="1"/>
      <c r="XQ165" s="1"/>
      <c r="XR165" s="1"/>
      <c r="XS165" s="1"/>
      <c r="XT165" s="1"/>
      <c r="XU165" s="1"/>
      <c r="XV165" s="1"/>
      <c r="XW165" s="1"/>
      <c r="XX165" s="1"/>
      <c r="XY165" s="1"/>
      <c r="XZ165" s="1"/>
      <c r="YA165" s="1"/>
      <c r="YB165" s="1"/>
      <c r="YC165" s="1"/>
      <c r="YD165" s="1"/>
      <c r="YE165" s="1"/>
      <c r="YF165" s="1"/>
      <c r="YG165" s="1"/>
      <c r="YH165" s="1"/>
      <c r="YI165" s="1"/>
      <c r="YJ165" s="1"/>
      <c r="YK165" s="1"/>
      <c r="YL165" s="1"/>
      <c r="YM165" s="1"/>
      <c r="YN165" s="1"/>
      <c r="YO165" s="1"/>
      <c r="YP165" s="1"/>
      <c r="YQ165" s="1"/>
      <c r="YR165" s="1"/>
      <c r="YS165" s="1"/>
      <c r="YT165" s="1"/>
      <c r="YU165" s="1"/>
      <c r="YV165" s="1"/>
      <c r="YW165" s="1"/>
      <c r="YX165" s="1"/>
      <c r="YY165" s="1"/>
      <c r="YZ165" s="1"/>
      <c r="ZA165" s="1"/>
      <c r="ZB165" s="1"/>
      <c r="ZC165" s="1"/>
      <c r="ZD165" s="1"/>
      <c r="ZE165" s="1"/>
      <c r="ZF165" s="1"/>
      <c r="ZG165" s="1"/>
      <c r="ZH165" s="1"/>
      <c r="ZI165" s="1"/>
      <c r="ZJ165" s="1"/>
      <c r="ZK165" s="1"/>
      <c r="ZL165" s="1"/>
      <c r="ZM165" s="1"/>
      <c r="ZN165" s="1"/>
      <c r="ZO165" s="1"/>
      <c r="ZP165" s="1"/>
      <c r="ZQ165" s="1"/>
      <c r="ZR165" s="1"/>
      <c r="ZS165" s="1"/>
      <c r="ZT165" s="1"/>
      <c r="ZU165" s="1"/>
      <c r="ZV165" s="1"/>
      <c r="ZW165" s="1"/>
      <c r="ZX165" s="1"/>
      <c r="ZY165" s="1"/>
      <c r="ZZ165" s="1"/>
      <c r="AAA165" s="1"/>
      <c r="AAB165" s="1"/>
      <c r="AAC165" s="1"/>
      <c r="AAD165" s="1"/>
      <c r="AAE165" s="1"/>
      <c r="AAF165" s="1"/>
      <c r="AAG165" s="1"/>
      <c r="AAH165" s="1"/>
      <c r="AAI165" s="1"/>
      <c r="AAJ165" s="1"/>
      <c r="AAK165" s="1"/>
      <c r="AAL165" s="1"/>
      <c r="AAM165" s="1"/>
      <c r="AAN165" s="1"/>
      <c r="AAO165" s="1"/>
      <c r="AAP165" s="1"/>
      <c r="AAQ165" s="1"/>
      <c r="AAR165" s="1"/>
      <c r="AAS165" s="1"/>
      <c r="AAT165" s="1"/>
      <c r="AAU165" s="1"/>
      <c r="AAV165" s="1"/>
      <c r="AAW165" s="1"/>
      <c r="AAX165" s="1"/>
      <c r="AAY165" s="1"/>
      <c r="AAZ165" s="1"/>
      <c r="ABA165" s="1"/>
      <c r="ABB165" s="1"/>
      <c r="ABC165" s="1"/>
      <c r="ABD165" s="1"/>
      <c r="ABE165" s="1"/>
      <c r="ABF165" s="1"/>
      <c r="ABG165" s="1"/>
      <c r="ABH165" s="1"/>
      <c r="ABI165" s="1"/>
      <c r="ABJ165" s="1"/>
      <c r="ABK165" s="1"/>
      <c r="ABL165" s="1"/>
      <c r="ABM165" s="1"/>
      <c r="ABN165" s="1"/>
      <c r="ABO165" s="1"/>
      <c r="ABP165" s="1"/>
      <c r="ABQ165" s="1"/>
      <c r="ABR165" s="1"/>
      <c r="ABS165" s="1"/>
      <c r="ABT165" s="1"/>
      <c r="ABU165" s="1"/>
      <c r="ABV165" s="1"/>
      <c r="ABW165" s="1"/>
      <c r="ABX165" s="1"/>
      <c r="ABY165" s="1"/>
      <c r="ABZ165" s="1"/>
      <c r="ACA165" s="1"/>
      <c r="ACB165" s="1"/>
      <c r="ACC165" s="1"/>
      <c r="ACD165" s="1"/>
      <c r="ACE165" s="1"/>
      <c r="ACF165" s="1"/>
      <c r="ACG165" s="1"/>
      <c r="ACH165" s="1"/>
      <c r="ACI165" s="1"/>
      <c r="ACJ165" s="1"/>
      <c r="ACK165" s="1"/>
      <c r="ACL165" s="1"/>
      <c r="ACM165" s="1"/>
      <c r="ACN165" s="1"/>
      <c r="ACO165" s="1"/>
      <c r="ACP165" s="1"/>
      <c r="ACQ165" s="1"/>
      <c r="ACR165" s="1"/>
      <c r="ACS165" s="1"/>
      <c r="ACT165" s="1"/>
      <c r="ACU165" s="1"/>
      <c r="ACV165" s="1"/>
      <c r="ACW165" s="1"/>
      <c r="ACX165" s="1"/>
      <c r="ACY165" s="1"/>
      <c r="ACZ165" s="1"/>
      <c r="ADA165" s="1"/>
      <c r="ADB165" s="1"/>
      <c r="ADC165" s="1"/>
      <c r="ADD165" s="1"/>
      <c r="ADE165" s="1"/>
      <c r="ADF165" s="1"/>
      <c r="ADG165" s="1"/>
      <c r="ADH165" s="1"/>
      <c r="ADI165" s="1"/>
      <c r="ADJ165" s="1"/>
      <c r="ADK165" s="1"/>
      <c r="ADL165" s="1"/>
      <c r="ADM165" s="1"/>
      <c r="ADN165" s="1"/>
      <c r="ADO165" s="1"/>
      <c r="ADP165" s="1"/>
      <c r="ADQ165" s="1"/>
      <c r="ADR165" s="1"/>
      <c r="ADS165" s="1"/>
      <c r="ADT165" s="1"/>
      <c r="ADU165" s="1"/>
      <c r="ADV165" s="1"/>
      <c r="ADW165" s="1"/>
      <c r="ADX165" s="1"/>
      <c r="ADY165" s="1"/>
      <c r="ADZ165" s="1"/>
      <c r="AEA165" s="1"/>
      <c r="AEB165" s="1"/>
      <c r="AEC165" s="1"/>
      <c r="AED165" s="1"/>
      <c r="AEE165" s="1"/>
      <c r="AEF165" s="1"/>
      <c r="AEG165" s="1"/>
      <c r="AEH165" s="1"/>
      <c r="AEI165" s="1"/>
      <c r="AEJ165" s="1"/>
      <c r="AEK165" s="1"/>
      <c r="AEL165" s="1"/>
      <c r="AEM165" s="1"/>
      <c r="AEN165" s="1"/>
      <c r="AEO165" s="1"/>
      <c r="AEP165" s="1"/>
      <c r="AEQ165" s="1"/>
      <c r="AER165" s="1"/>
      <c r="AES165" s="1"/>
      <c r="AET165" s="1"/>
      <c r="AEU165" s="1"/>
      <c r="AEV165" s="1"/>
      <c r="AEW165" s="1"/>
      <c r="AEX165" s="1"/>
      <c r="AEY165" s="1"/>
      <c r="AEZ165" s="1"/>
      <c r="AFA165" s="1"/>
      <c r="AFB165" s="1"/>
      <c r="AFC165" s="1"/>
      <c r="AFD165" s="1"/>
      <c r="AFE165" s="1"/>
      <c r="AFF165" s="1"/>
      <c r="AFG165" s="1"/>
      <c r="AFH165" s="1"/>
      <c r="AFI165" s="1"/>
      <c r="AFJ165" s="1"/>
      <c r="AFK165" s="1"/>
      <c r="AFL165" s="1"/>
      <c r="AFM165" s="1"/>
      <c r="AFN165" s="1"/>
      <c r="AFO165" s="1"/>
      <c r="AFP165" s="1"/>
      <c r="AFQ165" s="1"/>
      <c r="AFR165" s="1"/>
      <c r="AFS165" s="1"/>
      <c r="AFT165" s="1"/>
      <c r="AFU165" s="1"/>
      <c r="AFV165" s="1"/>
      <c r="AFW165" s="1"/>
      <c r="AFX165" s="1"/>
      <c r="AFY165" s="1"/>
      <c r="AFZ165" s="1"/>
      <c r="AGA165" s="1"/>
      <c r="AGB165" s="1"/>
      <c r="AGC165" s="1"/>
      <c r="AGD165" s="1"/>
      <c r="AGE165" s="1"/>
      <c r="AGF165" s="1"/>
      <c r="AGG165" s="1"/>
      <c r="AGH165" s="1"/>
      <c r="AGI165" s="1"/>
      <c r="AGJ165" s="1"/>
      <c r="AGK165" s="1"/>
      <c r="AGL165" s="1"/>
      <c r="AGM165" s="1"/>
      <c r="AGN165" s="1"/>
      <c r="AGO165" s="1"/>
      <c r="AGP165" s="1"/>
      <c r="AGQ165" s="1"/>
      <c r="AGR165" s="1"/>
      <c r="AGS165" s="1"/>
      <c r="AGT165" s="1"/>
      <c r="AGU165" s="1"/>
      <c r="AGV165" s="1"/>
      <c r="AGW165" s="1"/>
      <c r="AGX165" s="1"/>
      <c r="AGY165" s="1"/>
      <c r="AGZ165" s="1"/>
      <c r="AHA165" s="1"/>
      <c r="AHB165" s="1"/>
      <c r="AHC165" s="1"/>
      <c r="AHD165" s="1"/>
      <c r="AHE165" s="1"/>
      <c r="AHF165" s="1"/>
      <c r="AHG165" s="1"/>
      <c r="AHH165" s="1"/>
      <c r="AHI165" s="1"/>
      <c r="AHJ165" s="1"/>
      <c r="AHK165" s="1"/>
      <c r="AHL165" s="1"/>
      <c r="AHM165" s="1"/>
      <c r="AHN165" s="1"/>
      <c r="AHO165" s="1"/>
      <c r="AHP165" s="1"/>
      <c r="AHQ165" s="1"/>
      <c r="AHR165" s="1"/>
      <c r="AHS165" s="1"/>
      <c r="AHT165" s="1"/>
      <c r="AHU165" s="1"/>
      <c r="AHV165" s="1"/>
      <c r="AHW165" s="1"/>
      <c r="AHX165" s="1"/>
      <c r="AHY165" s="1"/>
      <c r="AHZ165" s="1"/>
      <c r="AIA165" s="1"/>
      <c r="AIB165" s="1"/>
      <c r="AIC165" s="1"/>
      <c r="AID165" s="1"/>
      <c r="AIE165" s="1"/>
      <c r="AIF165" s="1"/>
      <c r="AIG165" s="1"/>
      <c r="AIH165" s="1"/>
      <c r="AII165" s="1"/>
      <c r="AIJ165" s="1"/>
      <c r="AIK165" s="1"/>
      <c r="AIL165" s="1"/>
      <c r="AIM165" s="1"/>
      <c r="AIN165" s="1"/>
      <c r="AIO165" s="1"/>
      <c r="AIP165" s="1"/>
      <c r="AIQ165" s="1"/>
      <c r="AIR165" s="1"/>
      <c r="AIS165" s="1"/>
      <c r="AIT165" s="1"/>
      <c r="AIU165" s="1"/>
      <c r="AIV165" s="1"/>
      <c r="AIW165" s="1"/>
      <c r="AIX165" s="1"/>
      <c r="AIY165" s="1"/>
      <c r="AIZ165" s="1"/>
      <c r="AJA165" s="1"/>
      <c r="AJB165" s="1"/>
      <c r="AJC165" s="1"/>
      <c r="AJD165" s="1"/>
      <c r="AJE165" s="1"/>
      <c r="AJF165" s="1"/>
      <c r="AJG165" s="1"/>
      <c r="AJH165" s="1"/>
      <c r="AJI165" s="1"/>
      <c r="AJJ165" s="1"/>
      <c r="AJK165" s="1"/>
      <c r="AJL165" s="1"/>
      <c r="AJM165" s="1"/>
      <c r="AJN165" s="1"/>
      <c r="AJO165" s="1"/>
      <c r="AJP165" s="1"/>
      <c r="AJQ165" s="1"/>
      <c r="AJR165" s="1"/>
      <c r="AJS165" s="1"/>
      <c r="AJT165" s="1"/>
      <c r="AJU165" s="1"/>
      <c r="AJV165" s="1"/>
      <c r="AJW165" s="1"/>
      <c r="AJX165" s="1"/>
      <c r="AJY165" s="1"/>
      <c r="AJZ165" s="1"/>
      <c r="AKA165" s="1"/>
      <c r="AKB165" s="1"/>
      <c r="AKC165" s="1"/>
      <c r="AKD165" s="1"/>
      <c r="AKE165" s="1"/>
      <c r="AKF165" s="1"/>
      <c r="AKG165" s="1"/>
      <c r="AKH165" s="1"/>
      <c r="AKI165" s="1"/>
      <c r="AKJ165" s="1"/>
      <c r="AKK165" s="1"/>
      <c r="AKL165" s="1"/>
      <c r="AKM165" s="1"/>
      <c r="AKN165" s="1"/>
      <c r="AKO165" s="1"/>
      <c r="AKP165" s="1"/>
      <c r="AKQ165" s="1"/>
      <c r="AKR165" s="1"/>
      <c r="AKS165" s="1"/>
      <c r="AKT165" s="1"/>
      <c r="AKU165" s="1"/>
      <c r="AKV165" s="1"/>
      <c r="AKW165" s="1"/>
      <c r="AKX165" s="1"/>
      <c r="AKY165" s="1"/>
      <c r="AKZ165" s="1"/>
      <c r="ALA165" s="1"/>
      <c r="ALB165" s="1"/>
      <c r="ALC165" s="1"/>
      <c r="ALD165" s="1"/>
      <c r="ALE165" s="1"/>
      <c r="ALF165" s="1"/>
      <c r="ALG165" s="1"/>
      <c r="ALH165" s="1"/>
      <c r="ALI165" s="1"/>
      <c r="ALJ165" s="1"/>
      <c r="ALK165" s="1"/>
      <c r="ALL165" s="1"/>
      <c r="ALM165" s="1"/>
      <c r="ALN165" s="1"/>
      <c r="ALO165" s="1"/>
      <c r="ALP165" s="1"/>
      <c r="ALQ165" s="1"/>
      <c r="ALR165" s="1"/>
      <c r="ALS165" s="1"/>
      <c r="ALT165" s="1"/>
      <c r="ALU165" s="1"/>
      <c r="ALV165" s="1"/>
      <c r="ALW165" s="1"/>
      <c r="ALX165" s="1"/>
      <c r="ALY165" s="1"/>
      <c r="ALZ165" s="1"/>
      <c r="AMA165" s="1"/>
      <c r="AMB165" s="1"/>
      <c r="AMC165" s="1"/>
      <c r="AMD165" s="1"/>
      <c r="AME165" s="1"/>
      <c r="AMF165" s="1"/>
      <c r="AMG165" s="1"/>
      <c r="AMH165" s="1"/>
      <c r="AMI165" s="1"/>
      <c r="AMJ165" s="1"/>
    </row>
    <row r="166" customFormat="false" ht="10.5" hidden="false" customHeight="true" outlineLevel="0" collapsed="false">
      <c r="A166" s="221"/>
      <c r="B166" s="221"/>
      <c r="C166" s="221"/>
      <c r="D166" s="221"/>
      <c r="E166" s="221"/>
      <c r="F166" s="221"/>
      <c r="G166" s="222"/>
      <c r="H166" s="222"/>
      <c r="I166" s="222"/>
      <c r="J166" s="222"/>
      <c r="K166" s="222"/>
      <c r="L166" s="222"/>
      <c r="M166" s="222"/>
      <c r="N166" s="222"/>
      <c r="O166" s="222"/>
      <c r="P166" s="222"/>
      <c r="Q166" s="222"/>
      <c r="R166" s="222"/>
      <c r="S166" s="222"/>
      <c r="T166" s="222"/>
      <c r="U166" s="222"/>
      <c r="V166" s="222"/>
      <c r="W166" s="222"/>
      <c r="X166" s="222"/>
      <c r="Y166" s="222"/>
      <c r="Z166" s="222"/>
      <c r="AA166" s="222"/>
      <c r="AB166" s="222"/>
      <c r="AC166" s="222"/>
      <c r="AD166" s="222"/>
      <c r="AE166" s="222"/>
      <c r="AF166" s="222"/>
      <c r="AG166" s="222"/>
      <c r="AH166" s="222"/>
      <c r="AI166" s="140" t="n">
        <f aca="false">SUM(A166:AH166)</f>
        <v>0</v>
      </c>
      <c r="AJ166" s="140"/>
      <c r="AK166" s="140"/>
      <c r="AL166" s="140"/>
      <c r="AM166" s="140"/>
      <c r="AN166" s="140"/>
      <c r="AO166" s="140"/>
      <c r="BE166" s="1"/>
      <c r="BF166" s="1"/>
      <c r="BG166" s="1"/>
      <c r="BH166" s="1"/>
      <c r="BI166" s="1"/>
      <c r="BJ166" s="1"/>
      <c r="BK166" s="1"/>
      <c r="BL166" s="1"/>
      <c r="BM166" s="1"/>
      <c r="BN166" s="1"/>
      <c r="BO166" s="1"/>
      <c r="BP166" s="1"/>
      <c r="BQ166" s="1"/>
      <c r="BR166" s="1"/>
      <c r="BS166" s="1"/>
      <c r="BT166" s="1"/>
      <c r="BU166" s="1"/>
      <c r="BV166" s="1"/>
      <c r="BW166" s="1"/>
      <c r="BX166" s="1"/>
      <c r="BY166" s="1"/>
      <c r="BZ166" s="1"/>
      <c r="CA166" s="1"/>
      <c r="CB166" s="1"/>
      <c r="CC166" s="1"/>
      <c r="CD166" s="1"/>
      <c r="CE166" s="1"/>
      <c r="CF166" s="1"/>
      <c r="CG166" s="1"/>
      <c r="CH166" s="1"/>
      <c r="CI166" s="1"/>
      <c r="CJ166" s="1"/>
      <c r="CK166" s="1"/>
      <c r="CL166" s="1"/>
      <c r="CM166" s="1"/>
      <c r="CN166" s="1"/>
      <c r="CO166" s="1"/>
      <c r="CP166" s="1"/>
      <c r="CQ166" s="1"/>
      <c r="CR166" s="1"/>
      <c r="CS166" s="1"/>
      <c r="CT166" s="1"/>
      <c r="CU166" s="1"/>
      <c r="CV166" s="1"/>
      <c r="CW166" s="1"/>
      <c r="CX166" s="1"/>
      <c r="CY166" s="1"/>
      <c r="CZ166" s="1"/>
      <c r="DA166" s="1"/>
      <c r="DB166" s="1"/>
      <c r="DC166" s="1"/>
      <c r="DD166" s="1"/>
      <c r="DE166" s="1"/>
      <c r="DF166" s="1"/>
      <c r="DG166" s="1"/>
      <c r="DH166" s="1"/>
      <c r="DI166" s="1"/>
      <c r="DJ166" s="1"/>
      <c r="DK166" s="1"/>
      <c r="DL166" s="1"/>
      <c r="DM166" s="1"/>
      <c r="DN166" s="1"/>
      <c r="DO166" s="1"/>
      <c r="DP166" s="1"/>
      <c r="DQ166" s="1"/>
      <c r="DR166" s="1"/>
      <c r="DS166" s="1"/>
      <c r="DT166" s="1"/>
      <c r="DU166" s="1"/>
      <c r="DV166" s="1"/>
      <c r="DW166" s="1"/>
      <c r="DX166" s="1"/>
      <c r="DY166" s="1"/>
      <c r="DZ166" s="1"/>
      <c r="EA166" s="1"/>
      <c r="EB166" s="1"/>
      <c r="EC166" s="1"/>
      <c r="ED166" s="1"/>
      <c r="EE166" s="1"/>
      <c r="EF166" s="1"/>
      <c r="EG166" s="1"/>
      <c r="EH166" s="1"/>
      <c r="EI166" s="1"/>
      <c r="EJ166" s="1"/>
      <c r="EK166" s="1"/>
      <c r="EL166" s="1"/>
      <c r="EM166" s="1"/>
      <c r="EN166" s="1"/>
      <c r="EO166" s="1"/>
      <c r="EP166" s="1"/>
      <c r="EQ166" s="1"/>
      <c r="ER166" s="1"/>
      <c r="ES166" s="1"/>
      <c r="ET166" s="1"/>
      <c r="EU166" s="1"/>
      <c r="EV166" s="1"/>
      <c r="EW166" s="1"/>
      <c r="EX166" s="1"/>
      <c r="EY166" s="1"/>
      <c r="EZ166" s="1"/>
      <c r="FA166" s="1"/>
      <c r="FB166" s="1"/>
      <c r="FC166" s="1"/>
      <c r="FD166" s="1"/>
      <c r="FE166" s="1"/>
      <c r="FF166" s="1"/>
      <c r="FG166" s="1"/>
      <c r="FH166" s="1"/>
      <c r="FI166" s="1"/>
      <c r="FJ166" s="1"/>
      <c r="FK166" s="1"/>
      <c r="FL166" s="1"/>
      <c r="FM166" s="1"/>
      <c r="FN166" s="1"/>
      <c r="FO166" s="1"/>
      <c r="FP166" s="1"/>
      <c r="FQ166" s="1"/>
      <c r="FR166" s="1"/>
      <c r="FS166" s="1"/>
      <c r="FT166" s="1"/>
      <c r="FU166" s="1"/>
      <c r="FV166" s="1"/>
      <c r="FW166" s="1"/>
      <c r="FX166" s="1"/>
      <c r="FY166" s="1"/>
      <c r="FZ166" s="1"/>
      <c r="GA166" s="1"/>
      <c r="GB166" s="1"/>
      <c r="GC166" s="1"/>
      <c r="GD166" s="1"/>
      <c r="GE166" s="1"/>
      <c r="GF166" s="1"/>
      <c r="GG166" s="1"/>
      <c r="GH166" s="1"/>
      <c r="GI166" s="1"/>
      <c r="GJ166" s="1"/>
      <c r="GK166" s="1"/>
      <c r="GL166" s="1"/>
      <c r="GM166" s="1"/>
      <c r="GN166" s="1"/>
      <c r="GO166" s="1"/>
      <c r="GP166" s="1"/>
      <c r="GQ166" s="1"/>
      <c r="GR166" s="1"/>
      <c r="GS166" s="1"/>
      <c r="GT166" s="1"/>
      <c r="GU166" s="1"/>
      <c r="GV166" s="1"/>
      <c r="GW166" s="1"/>
      <c r="GX166" s="1"/>
      <c r="GY166" s="1"/>
      <c r="GZ166" s="1"/>
      <c r="HA166" s="1"/>
      <c r="HB166" s="1"/>
      <c r="HC166" s="1"/>
      <c r="HD166" s="1"/>
      <c r="HE166" s="1"/>
      <c r="HF166" s="1"/>
      <c r="HG166" s="1"/>
      <c r="HH166" s="1"/>
      <c r="HI166" s="1"/>
      <c r="HJ166" s="1"/>
      <c r="HK166" s="1"/>
      <c r="HL166" s="1"/>
      <c r="HM166" s="1"/>
      <c r="HN166" s="1"/>
      <c r="HO166" s="1"/>
      <c r="HP166" s="1"/>
      <c r="HQ166" s="1"/>
      <c r="HR166" s="1"/>
      <c r="HS166" s="1"/>
      <c r="HT166" s="1"/>
      <c r="HU166" s="1"/>
      <c r="HV166" s="1"/>
      <c r="HW166" s="1"/>
      <c r="HX166" s="1"/>
      <c r="HY166" s="1"/>
      <c r="HZ166" s="1"/>
      <c r="IA166" s="1"/>
      <c r="IB166" s="1"/>
      <c r="IC166" s="1"/>
      <c r="ID166" s="1"/>
      <c r="IE166" s="1"/>
      <c r="IF166" s="1"/>
      <c r="IG166" s="1"/>
      <c r="IH166" s="1"/>
      <c r="II166" s="1"/>
      <c r="IJ166" s="1"/>
      <c r="IK166" s="1"/>
      <c r="IL166" s="1"/>
      <c r="IM166" s="1"/>
      <c r="IN166" s="1"/>
      <c r="IO166" s="1"/>
      <c r="IP166" s="1"/>
      <c r="IQ166" s="1"/>
      <c r="IR166" s="1"/>
      <c r="IS166" s="1"/>
      <c r="IT166" s="1"/>
      <c r="IU166" s="1"/>
      <c r="IV166" s="1"/>
      <c r="IW166" s="1"/>
      <c r="IX166" s="1"/>
      <c r="IY166" s="1"/>
      <c r="IZ166" s="1"/>
      <c r="JA166" s="1"/>
      <c r="JB166" s="1"/>
      <c r="JC166" s="1"/>
      <c r="JD166" s="1"/>
      <c r="JE166" s="1"/>
      <c r="JF166" s="1"/>
      <c r="JG166" s="1"/>
      <c r="JH166" s="1"/>
      <c r="JI166" s="1"/>
      <c r="JJ166" s="1"/>
      <c r="JK166" s="1"/>
      <c r="JL166" s="1"/>
      <c r="JM166" s="1"/>
      <c r="JN166" s="1"/>
      <c r="JO166" s="1"/>
      <c r="JP166" s="1"/>
      <c r="JQ166" s="1"/>
      <c r="JR166" s="1"/>
      <c r="JS166" s="1"/>
      <c r="JT166" s="1"/>
      <c r="JU166" s="1"/>
      <c r="JV166" s="1"/>
      <c r="JW166" s="1"/>
      <c r="JX166" s="1"/>
      <c r="JY166" s="1"/>
      <c r="JZ166" s="1"/>
      <c r="KA166" s="1"/>
      <c r="KB166" s="1"/>
      <c r="KC166" s="1"/>
      <c r="KD166" s="1"/>
      <c r="KE166" s="1"/>
      <c r="KF166" s="1"/>
      <c r="KG166" s="1"/>
      <c r="KH166" s="1"/>
      <c r="KI166" s="1"/>
      <c r="KJ166" s="1"/>
      <c r="KK166" s="1"/>
      <c r="KL166" s="1"/>
      <c r="KM166" s="1"/>
      <c r="KN166" s="1"/>
      <c r="KO166" s="1"/>
      <c r="KP166" s="1"/>
      <c r="KQ166" s="1"/>
      <c r="KR166" s="1"/>
      <c r="KS166" s="1"/>
      <c r="KT166" s="1"/>
      <c r="KU166" s="1"/>
      <c r="KV166" s="1"/>
      <c r="KW166" s="1"/>
      <c r="KX166" s="1"/>
      <c r="KY166" s="1"/>
      <c r="KZ166" s="1"/>
      <c r="LA166" s="1"/>
      <c r="LB166" s="1"/>
      <c r="LC166" s="1"/>
      <c r="LD166" s="1"/>
      <c r="LE166" s="1"/>
      <c r="LF166" s="1"/>
      <c r="LG166" s="1"/>
      <c r="LH166" s="1"/>
      <c r="LI166" s="1"/>
      <c r="LJ166" s="1"/>
      <c r="LK166" s="1"/>
      <c r="LL166" s="1"/>
      <c r="LM166" s="1"/>
      <c r="LN166" s="1"/>
      <c r="LO166" s="1"/>
      <c r="LP166" s="1"/>
      <c r="LQ166" s="1"/>
      <c r="LR166" s="1"/>
      <c r="LS166" s="1"/>
      <c r="LT166" s="1"/>
      <c r="LU166" s="1"/>
      <c r="LV166" s="1"/>
      <c r="LW166" s="1"/>
      <c r="LX166" s="1"/>
      <c r="LY166" s="1"/>
      <c r="LZ166" s="1"/>
      <c r="MA166" s="1"/>
      <c r="MB166" s="1"/>
      <c r="MC166" s="1"/>
      <c r="MD166" s="1"/>
      <c r="ME166" s="1"/>
      <c r="MF166" s="1"/>
      <c r="MG166" s="1"/>
      <c r="MH166" s="1"/>
      <c r="MI166" s="1"/>
      <c r="MJ166" s="1"/>
      <c r="MK166" s="1"/>
      <c r="ML166" s="1"/>
      <c r="MM166" s="1"/>
      <c r="MN166" s="1"/>
      <c r="MO166" s="1"/>
      <c r="MP166" s="1"/>
      <c r="MQ166" s="1"/>
      <c r="MR166" s="1"/>
      <c r="MS166" s="1"/>
      <c r="MT166" s="1"/>
      <c r="MU166" s="1"/>
      <c r="MV166" s="1"/>
      <c r="MW166" s="1"/>
      <c r="MX166" s="1"/>
      <c r="MY166" s="1"/>
      <c r="MZ166" s="1"/>
      <c r="NA166" s="1"/>
      <c r="NB166" s="1"/>
      <c r="NC166" s="1"/>
      <c r="ND166" s="1"/>
      <c r="NE166" s="1"/>
      <c r="NF166" s="1"/>
      <c r="NG166" s="1"/>
      <c r="NH166" s="1"/>
      <c r="NI166" s="1"/>
      <c r="NJ166" s="1"/>
      <c r="NK166" s="1"/>
      <c r="NL166" s="1"/>
      <c r="NM166" s="1"/>
      <c r="NN166" s="1"/>
      <c r="NO166" s="1"/>
      <c r="NP166" s="1"/>
      <c r="NQ166" s="1"/>
      <c r="NR166" s="1"/>
      <c r="NS166" s="1"/>
      <c r="NT166" s="1"/>
      <c r="NU166" s="1"/>
      <c r="NV166" s="1"/>
      <c r="NW166" s="1"/>
      <c r="NX166" s="1"/>
      <c r="NY166" s="1"/>
      <c r="NZ166" s="1"/>
      <c r="OA166" s="1"/>
      <c r="OB166" s="1"/>
      <c r="OC166" s="1"/>
      <c r="OD166" s="1"/>
      <c r="OE166" s="1"/>
      <c r="OF166" s="1"/>
      <c r="OG166" s="1"/>
      <c r="OH166" s="1"/>
      <c r="OI166" s="1"/>
      <c r="OJ166" s="1"/>
      <c r="OK166" s="1"/>
      <c r="OL166" s="1"/>
      <c r="OM166" s="1"/>
      <c r="ON166" s="1"/>
      <c r="OO166" s="1"/>
      <c r="OP166" s="1"/>
      <c r="OQ166" s="1"/>
      <c r="OR166" s="1"/>
      <c r="OS166" s="1"/>
      <c r="OT166" s="1"/>
      <c r="OU166" s="1"/>
      <c r="OV166" s="1"/>
      <c r="OW166" s="1"/>
      <c r="OX166" s="1"/>
      <c r="OY166" s="1"/>
      <c r="OZ166" s="1"/>
      <c r="PA166" s="1"/>
      <c r="PB166" s="1"/>
      <c r="PC166" s="1"/>
      <c r="PD166" s="1"/>
      <c r="PE166" s="1"/>
      <c r="PF166" s="1"/>
      <c r="PG166" s="1"/>
      <c r="PH166" s="1"/>
      <c r="PI166" s="1"/>
      <c r="PJ166" s="1"/>
      <c r="PK166" s="1"/>
      <c r="PL166" s="1"/>
      <c r="PM166" s="1"/>
      <c r="PN166" s="1"/>
      <c r="PO166" s="1"/>
      <c r="PP166" s="1"/>
      <c r="PQ166" s="1"/>
      <c r="PR166" s="1"/>
      <c r="PS166" s="1"/>
      <c r="PT166" s="1"/>
      <c r="PU166" s="1"/>
      <c r="PV166" s="1"/>
      <c r="PW166" s="1"/>
      <c r="PX166" s="1"/>
      <c r="PY166" s="1"/>
      <c r="PZ166" s="1"/>
      <c r="QA166" s="1"/>
      <c r="QB166" s="1"/>
      <c r="QC166" s="1"/>
      <c r="QD166" s="1"/>
      <c r="QE166" s="1"/>
      <c r="QF166" s="1"/>
      <c r="QG166" s="1"/>
      <c r="QH166" s="1"/>
      <c r="QI166" s="1"/>
      <c r="QJ166" s="1"/>
      <c r="QK166" s="1"/>
      <c r="QL166" s="1"/>
      <c r="QM166" s="1"/>
      <c r="QN166" s="1"/>
      <c r="QO166" s="1"/>
      <c r="QP166" s="1"/>
      <c r="QQ166" s="1"/>
      <c r="QR166" s="1"/>
      <c r="QS166" s="1"/>
      <c r="QT166" s="1"/>
      <c r="QU166" s="1"/>
      <c r="QV166" s="1"/>
      <c r="QW166" s="1"/>
      <c r="QX166" s="1"/>
      <c r="QY166" s="1"/>
      <c r="QZ166" s="1"/>
      <c r="RA166" s="1"/>
      <c r="RB166" s="1"/>
      <c r="RC166" s="1"/>
      <c r="RD166" s="1"/>
      <c r="RE166" s="1"/>
      <c r="RF166" s="1"/>
      <c r="RG166" s="1"/>
      <c r="RH166" s="1"/>
      <c r="RI166" s="1"/>
      <c r="RJ166" s="1"/>
      <c r="RK166" s="1"/>
      <c r="RL166" s="1"/>
      <c r="RM166" s="1"/>
      <c r="RN166" s="1"/>
      <c r="RO166" s="1"/>
      <c r="RP166" s="1"/>
      <c r="RQ166" s="1"/>
      <c r="RR166" s="1"/>
      <c r="RS166" s="1"/>
      <c r="RT166" s="1"/>
      <c r="RU166" s="1"/>
      <c r="RV166" s="1"/>
      <c r="RW166" s="1"/>
      <c r="RX166" s="1"/>
      <c r="RY166" s="1"/>
      <c r="RZ166" s="1"/>
      <c r="SA166" s="1"/>
      <c r="SB166" s="1"/>
      <c r="SC166" s="1"/>
      <c r="SD166" s="1"/>
      <c r="SE166" s="1"/>
      <c r="SF166" s="1"/>
      <c r="SG166" s="1"/>
      <c r="SH166" s="1"/>
      <c r="SI166" s="1"/>
      <c r="SJ166" s="1"/>
      <c r="SK166" s="1"/>
      <c r="SL166" s="1"/>
      <c r="SM166" s="1"/>
      <c r="SN166" s="1"/>
      <c r="SO166" s="1"/>
      <c r="SP166" s="1"/>
      <c r="SQ166" s="1"/>
      <c r="SR166" s="1"/>
      <c r="SS166" s="1"/>
      <c r="ST166" s="1"/>
      <c r="SU166" s="1"/>
      <c r="SV166" s="1"/>
      <c r="SW166" s="1"/>
      <c r="SX166" s="1"/>
      <c r="SY166" s="1"/>
      <c r="SZ166" s="1"/>
      <c r="TA166" s="1"/>
      <c r="TB166" s="1"/>
      <c r="TC166" s="1"/>
      <c r="TD166" s="1"/>
      <c r="TE166" s="1"/>
      <c r="TF166" s="1"/>
      <c r="TG166" s="1"/>
      <c r="TH166" s="1"/>
      <c r="TI166" s="1"/>
      <c r="TJ166" s="1"/>
      <c r="TK166" s="1"/>
      <c r="TL166" s="1"/>
      <c r="TM166" s="1"/>
      <c r="TN166" s="1"/>
      <c r="TO166" s="1"/>
      <c r="TP166" s="1"/>
      <c r="TQ166" s="1"/>
      <c r="TR166" s="1"/>
      <c r="TS166" s="1"/>
      <c r="TT166" s="1"/>
      <c r="TU166" s="1"/>
      <c r="TV166" s="1"/>
      <c r="TW166" s="1"/>
      <c r="TX166" s="1"/>
      <c r="TY166" s="1"/>
      <c r="TZ166" s="1"/>
      <c r="UA166" s="1"/>
      <c r="UB166" s="1"/>
      <c r="UC166" s="1"/>
      <c r="UD166" s="1"/>
      <c r="UE166" s="1"/>
      <c r="UF166" s="1"/>
      <c r="UG166" s="1"/>
      <c r="UH166" s="1"/>
      <c r="UI166" s="1"/>
      <c r="UJ166" s="1"/>
      <c r="UK166" s="1"/>
      <c r="UL166" s="1"/>
      <c r="UM166" s="1"/>
      <c r="UN166" s="1"/>
      <c r="UO166" s="1"/>
      <c r="UP166" s="1"/>
      <c r="UQ166" s="1"/>
      <c r="UR166" s="1"/>
      <c r="US166" s="1"/>
      <c r="UT166" s="1"/>
      <c r="UU166" s="1"/>
      <c r="UV166" s="1"/>
      <c r="UW166" s="1"/>
      <c r="UX166" s="1"/>
      <c r="UY166" s="1"/>
      <c r="UZ166" s="1"/>
      <c r="VA166" s="1"/>
      <c r="VB166" s="1"/>
      <c r="VC166" s="1"/>
      <c r="VD166" s="1"/>
      <c r="VE166" s="1"/>
      <c r="VF166" s="1"/>
      <c r="VG166" s="1"/>
      <c r="VH166" s="1"/>
      <c r="VI166" s="1"/>
      <c r="VJ166" s="1"/>
      <c r="VK166" s="1"/>
      <c r="VL166" s="1"/>
      <c r="VM166" s="1"/>
      <c r="VN166" s="1"/>
      <c r="VO166" s="1"/>
      <c r="VP166" s="1"/>
      <c r="VQ166" s="1"/>
      <c r="VR166" s="1"/>
      <c r="VS166" s="1"/>
      <c r="VT166" s="1"/>
      <c r="VU166" s="1"/>
      <c r="VV166" s="1"/>
      <c r="VW166" s="1"/>
      <c r="VX166" s="1"/>
      <c r="VY166" s="1"/>
      <c r="VZ166" s="1"/>
      <c r="WA166" s="1"/>
      <c r="WB166" s="1"/>
      <c r="WC166" s="1"/>
      <c r="WD166" s="1"/>
      <c r="WE166" s="1"/>
      <c r="WF166" s="1"/>
      <c r="WG166" s="1"/>
      <c r="WH166" s="1"/>
      <c r="WI166" s="1"/>
      <c r="WJ166" s="1"/>
      <c r="WK166" s="1"/>
      <c r="WL166" s="1"/>
      <c r="WM166" s="1"/>
      <c r="WN166" s="1"/>
      <c r="WO166" s="1"/>
      <c r="WP166" s="1"/>
      <c r="WQ166" s="1"/>
      <c r="WR166" s="1"/>
      <c r="WS166" s="1"/>
      <c r="WT166" s="1"/>
      <c r="WU166" s="1"/>
      <c r="WV166" s="1"/>
      <c r="WW166" s="1"/>
      <c r="WX166" s="1"/>
      <c r="WY166" s="1"/>
      <c r="WZ166" s="1"/>
      <c r="XA166" s="1"/>
      <c r="XB166" s="1"/>
      <c r="XC166" s="1"/>
      <c r="XD166" s="1"/>
      <c r="XE166" s="1"/>
      <c r="XF166" s="1"/>
      <c r="XG166" s="1"/>
      <c r="XH166" s="1"/>
      <c r="XI166" s="1"/>
      <c r="XJ166" s="1"/>
      <c r="XK166" s="1"/>
      <c r="XL166" s="1"/>
      <c r="XM166" s="1"/>
      <c r="XN166" s="1"/>
      <c r="XO166" s="1"/>
      <c r="XP166" s="1"/>
      <c r="XQ166" s="1"/>
      <c r="XR166" s="1"/>
      <c r="XS166" s="1"/>
      <c r="XT166" s="1"/>
      <c r="XU166" s="1"/>
      <c r="XV166" s="1"/>
      <c r="XW166" s="1"/>
      <c r="XX166" s="1"/>
      <c r="XY166" s="1"/>
      <c r="XZ166" s="1"/>
      <c r="YA166" s="1"/>
      <c r="YB166" s="1"/>
      <c r="YC166" s="1"/>
      <c r="YD166" s="1"/>
      <c r="YE166" s="1"/>
      <c r="YF166" s="1"/>
      <c r="YG166" s="1"/>
      <c r="YH166" s="1"/>
      <c r="YI166" s="1"/>
      <c r="YJ166" s="1"/>
      <c r="YK166" s="1"/>
      <c r="YL166" s="1"/>
      <c r="YM166" s="1"/>
      <c r="YN166" s="1"/>
      <c r="YO166" s="1"/>
      <c r="YP166" s="1"/>
      <c r="YQ166" s="1"/>
      <c r="YR166" s="1"/>
      <c r="YS166" s="1"/>
      <c r="YT166" s="1"/>
      <c r="YU166" s="1"/>
      <c r="YV166" s="1"/>
      <c r="YW166" s="1"/>
      <c r="YX166" s="1"/>
      <c r="YY166" s="1"/>
      <c r="YZ166" s="1"/>
      <c r="ZA166" s="1"/>
      <c r="ZB166" s="1"/>
      <c r="ZC166" s="1"/>
      <c r="ZD166" s="1"/>
      <c r="ZE166" s="1"/>
      <c r="ZF166" s="1"/>
      <c r="ZG166" s="1"/>
      <c r="ZH166" s="1"/>
      <c r="ZI166" s="1"/>
      <c r="ZJ166" s="1"/>
      <c r="ZK166" s="1"/>
      <c r="ZL166" s="1"/>
      <c r="ZM166" s="1"/>
      <c r="ZN166" s="1"/>
      <c r="ZO166" s="1"/>
      <c r="ZP166" s="1"/>
      <c r="ZQ166" s="1"/>
      <c r="ZR166" s="1"/>
      <c r="ZS166" s="1"/>
      <c r="ZT166" s="1"/>
      <c r="ZU166" s="1"/>
      <c r="ZV166" s="1"/>
      <c r="ZW166" s="1"/>
      <c r="ZX166" s="1"/>
      <c r="ZY166" s="1"/>
      <c r="ZZ166" s="1"/>
      <c r="AAA166" s="1"/>
      <c r="AAB166" s="1"/>
      <c r="AAC166" s="1"/>
      <c r="AAD166" s="1"/>
      <c r="AAE166" s="1"/>
      <c r="AAF166" s="1"/>
      <c r="AAG166" s="1"/>
      <c r="AAH166" s="1"/>
      <c r="AAI166" s="1"/>
      <c r="AAJ166" s="1"/>
      <c r="AAK166" s="1"/>
      <c r="AAL166" s="1"/>
      <c r="AAM166" s="1"/>
      <c r="AAN166" s="1"/>
      <c r="AAO166" s="1"/>
      <c r="AAP166" s="1"/>
      <c r="AAQ166" s="1"/>
      <c r="AAR166" s="1"/>
      <c r="AAS166" s="1"/>
      <c r="AAT166" s="1"/>
      <c r="AAU166" s="1"/>
      <c r="AAV166" s="1"/>
      <c r="AAW166" s="1"/>
      <c r="AAX166" s="1"/>
      <c r="AAY166" s="1"/>
      <c r="AAZ166" s="1"/>
      <c r="ABA166" s="1"/>
      <c r="ABB166" s="1"/>
      <c r="ABC166" s="1"/>
      <c r="ABD166" s="1"/>
      <c r="ABE166" s="1"/>
      <c r="ABF166" s="1"/>
      <c r="ABG166" s="1"/>
      <c r="ABH166" s="1"/>
      <c r="ABI166" s="1"/>
      <c r="ABJ166" s="1"/>
      <c r="ABK166" s="1"/>
      <c r="ABL166" s="1"/>
      <c r="ABM166" s="1"/>
      <c r="ABN166" s="1"/>
      <c r="ABO166" s="1"/>
      <c r="ABP166" s="1"/>
      <c r="ABQ166" s="1"/>
      <c r="ABR166" s="1"/>
      <c r="ABS166" s="1"/>
      <c r="ABT166" s="1"/>
      <c r="ABU166" s="1"/>
      <c r="ABV166" s="1"/>
      <c r="ABW166" s="1"/>
      <c r="ABX166" s="1"/>
      <c r="ABY166" s="1"/>
      <c r="ABZ166" s="1"/>
      <c r="ACA166" s="1"/>
      <c r="ACB166" s="1"/>
      <c r="ACC166" s="1"/>
      <c r="ACD166" s="1"/>
      <c r="ACE166" s="1"/>
      <c r="ACF166" s="1"/>
      <c r="ACG166" s="1"/>
      <c r="ACH166" s="1"/>
      <c r="ACI166" s="1"/>
      <c r="ACJ166" s="1"/>
      <c r="ACK166" s="1"/>
      <c r="ACL166" s="1"/>
      <c r="ACM166" s="1"/>
      <c r="ACN166" s="1"/>
      <c r="ACO166" s="1"/>
      <c r="ACP166" s="1"/>
      <c r="ACQ166" s="1"/>
      <c r="ACR166" s="1"/>
      <c r="ACS166" s="1"/>
      <c r="ACT166" s="1"/>
      <c r="ACU166" s="1"/>
      <c r="ACV166" s="1"/>
      <c r="ACW166" s="1"/>
      <c r="ACX166" s="1"/>
      <c r="ACY166" s="1"/>
      <c r="ACZ166" s="1"/>
      <c r="ADA166" s="1"/>
      <c r="ADB166" s="1"/>
      <c r="ADC166" s="1"/>
      <c r="ADD166" s="1"/>
      <c r="ADE166" s="1"/>
      <c r="ADF166" s="1"/>
      <c r="ADG166" s="1"/>
      <c r="ADH166" s="1"/>
      <c r="ADI166" s="1"/>
      <c r="ADJ166" s="1"/>
      <c r="ADK166" s="1"/>
      <c r="ADL166" s="1"/>
      <c r="ADM166" s="1"/>
      <c r="ADN166" s="1"/>
      <c r="ADO166" s="1"/>
      <c r="ADP166" s="1"/>
      <c r="ADQ166" s="1"/>
      <c r="ADR166" s="1"/>
      <c r="ADS166" s="1"/>
      <c r="ADT166" s="1"/>
      <c r="ADU166" s="1"/>
      <c r="ADV166" s="1"/>
      <c r="ADW166" s="1"/>
      <c r="ADX166" s="1"/>
      <c r="ADY166" s="1"/>
      <c r="ADZ166" s="1"/>
      <c r="AEA166" s="1"/>
      <c r="AEB166" s="1"/>
      <c r="AEC166" s="1"/>
      <c r="AED166" s="1"/>
      <c r="AEE166" s="1"/>
      <c r="AEF166" s="1"/>
      <c r="AEG166" s="1"/>
      <c r="AEH166" s="1"/>
      <c r="AEI166" s="1"/>
      <c r="AEJ166" s="1"/>
      <c r="AEK166" s="1"/>
      <c r="AEL166" s="1"/>
      <c r="AEM166" s="1"/>
      <c r="AEN166" s="1"/>
      <c r="AEO166" s="1"/>
      <c r="AEP166" s="1"/>
      <c r="AEQ166" s="1"/>
      <c r="AER166" s="1"/>
      <c r="AES166" s="1"/>
      <c r="AET166" s="1"/>
      <c r="AEU166" s="1"/>
      <c r="AEV166" s="1"/>
      <c r="AEW166" s="1"/>
      <c r="AEX166" s="1"/>
      <c r="AEY166" s="1"/>
      <c r="AEZ166" s="1"/>
      <c r="AFA166" s="1"/>
      <c r="AFB166" s="1"/>
      <c r="AFC166" s="1"/>
      <c r="AFD166" s="1"/>
      <c r="AFE166" s="1"/>
      <c r="AFF166" s="1"/>
      <c r="AFG166" s="1"/>
      <c r="AFH166" s="1"/>
      <c r="AFI166" s="1"/>
      <c r="AFJ166" s="1"/>
      <c r="AFK166" s="1"/>
      <c r="AFL166" s="1"/>
      <c r="AFM166" s="1"/>
      <c r="AFN166" s="1"/>
      <c r="AFO166" s="1"/>
      <c r="AFP166" s="1"/>
      <c r="AFQ166" s="1"/>
      <c r="AFR166" s="1"/>
      <c r="AFS166" s="1"/>
      <c r="AFT166" s="1"/>
      <c r="AFU166" s="1"/>
      <c r="AFV166" s="1"/>
      <c r="AFW166" s="1"/>
      <c r="AFX166" s="1"/>
      <c r="AFY166" s="1"/>
      <c r="AFZ166" s="1"/>
      <c r="AGA166" s="1"/>
      <c r="AGB166" s="1"/>
      <c r="AGC166" s="1"/>
      <c r="AGD166" s="1"/>
      <c r="AGE166" s="1"/>
      <c r="AGF166" s="1"/>
      <c r="AGG166" s="1"/>
      <c r="AGH166" s="1"/>
      <c r="AGI166" s="1"/>
      <c r="AGJ166" s="1"/>
      <c r="AGK166" s="1"/>
      <c r="AGL166" s="1"/>
      <c r="AGM166" s="1"/>
      <c r="AGN166" s="1"/>
      <c r="AGO166" s="1"/>
      <c r="AGP166" s="1"/>
      <c r="AGQ166" s="1"/>
      <c r="AGR166" s="1"/>
      <c r="AGS166" s="1"/>
      <c r="AGT166" s="1"/>
      <c r="AGU166" s="1"/>
      <c r="AGV166" s="1"/>
      <c r="AGW166" s="1"/>
      <c r="AGX166" s="1"/>
      <c r="AGY166" s="1"/>
      <c r="AGZ166" s="1"/>
      <c r="AHA166" s="1"/>
      <c r="AHB166" s="1"/>
      <c r="AHC166" s="1"/>
      <c r="AHD166" s="1"/>
      <c r="AHE166" s="1"/>
      <c r="AHF166" s="1"/>
      <c r="AHG166" s="1"/>
      <c r="AHH166" s="1"/>
      <c r="AHI166" s="1"/>
      <c r="AHJ166" s="1"/>
      <c r="AHK166" s="1"/>
      <c r="AHL166" s="1"/>
      <c r="AHM166" s="1"/>
      <c r="AHN166" s="1"/>
      <c r="AHO166" s="1"/>
      <c r="AHP166" s="1"/>
      <c r="AHQ166" s="1"/>
      <c r="AHR166" s="1"/>
      <c r="AHS166" s="1"/>
      <c r="AHT166" s="1"/>
      <c r="AHU166" s="1"/>
      <c r="AHV166" s="1"/>
      <c r="AHW166" s="1"/>
      <c r="AHX166" s="1"/>
      <c r="AHY166" s="1"/>
      <c r="AHZ166" s="1"/>
      <c r="AIA166" s="1"/>
      <c r="AIB166" s="1"/>
      <c r="AIC166" s="1"/>
      <c r="AID166" s="1"/>
      <c r="AIE166" s="1"/>
      <c r="AIF166" s="1"/>
      <c r="AIG166" s="1"/>
      <c r="AIH166" s="1"/>
      <c r="AII166" s="1"/>
      <c r="AIJ166" s="1"/>
      <c r="AIK166" s="1"/>
      <c r="AIL166" s="1"/>
      <c r="AIM166" s="1"/>
      <c r="AIN166" s="1"/>
      <c r="AIO166" s="1"/>
      <c r="AIP166" s="1"/>
      <c r="AIQ166" s="1"/>
      <c r="AIR166" s="1"/>
      <c r="AIS166" s="1"/>
      <c r="AIT166" s="1"/>
      <c r="AIU166" s="1"/>
      <c r="AIV166" s="1"/>
      <c r="AIW166" s="1"/>
      <c r="AIX166" s="1"/>
      <c r="AIY166" s="1"/>
      <c r="AIZ166" s="1"/>
      <c r="AJA166" s="1"/>
      <c r="AJB166" s="1"/>
      <c r="AJC166" s="1"/>
      <c r="AJD166" s="1"/>
      <c r="AJE166" s="1"/>
      <c r="AJF166" s="1"/>
      <c r="AJG166" s="1"/>
      <c r="AJH166" s="1"/>
      <c r="AJI166" s="1"/>
      <c r="AJJ166" s="1"/>
      <c r="AJK166" s="1"/>
      <c r="AJL166" s="1"/>
      <c r="AJM166" s="1"/>
      <c r="AJN166" s="1"/>
      <c r="AJO166" s="1"/>
      <c r="AJP166" s="1"/>
      <c r="AJQ166" s="1"/>
      <c r="AJR166" s="1"/>
      <c r="AJS166" s="1"/>
      <c r="AJT166" s="1"/>
      <c r="AJU166" s="1"/>
      <c r="AJV166" s="1"/>
      <c r="AJW166" s="1"/>
      <c r="AJX166" s="1"/>
      <c r="AJY166" s="1"/>
      <c r="AJZ166" s="1"/>
      <c r="AKA166" s="1"/>
      <c r="AKB166" s="1"/>
      <c r="AKC166" s="1"/>
      <c r="AKD166" s="1"/>
      <c r="AKE166" s="1"/>
      <c r="AKF166" s="1"/>
      <c r="AKG166" s="1"/>
      <c r="AKH166" s="1"/>
      <c r="AKI166" s="1"/>
      <c r="AKJ166" s="1"/>
      <c r="AKK166" s="1"/>
      <c r="AKL166" s="1"/>
      <c r="AKM166" s="1"/>
      <c r="AKN166" s="1"/>
      <c r="AKO166" s="1"/>
      <c r="AKP166" s="1"/>
      <c r="AKQ166" s="1"/>
      <c r="AKR166" s="1"/>
      <c r="AKS166" s="1"/>
      <c r="AKT166" s="1"/>
      <c r="AKU166" s="1"/>
      <c r="AKV166" s="1"/>
      <c r="AKW166" s="1"/>
      <c r="AKX166" s="1"/>
      <c r="AKY166" s="1"/>
      <c r="AKZ166" s="1"/>
      <c r="ALA166" s="1"/>
      <c r="ALB166" s="1"/>
      <c r="ALC166" s="1"/>
      <c r="ALD166" s="1"/>
      <c r="ALE166" s="1"/>
      <c r="ALF166" s="1"/>
      <c r="ALG166" s="1"/>
      <c r="ALH166" s="1"/>
      <c r="ALI166" s="1"/>
      <c r="ALJ166" s="1"/>
      <c r="ALK166" s="1"/>
      <c r="ALL166" s="1"/>
      <c r="ALM166" s="1"/>
      <c r="ALN166" s="1"/>
      <c r="ALO166" s="1"/>
      <c r="ALP166" s="1"/>
      <c r="ALQ166" s="1"/>
      <c r="ALR166" s="1"/>
      <c r="ALS166" s="1"/>
      <c r="ALT166" s="1"/>
      <c r="ALU166" s="1"/>
      <c r="ALV166" s="1"/>
      <c r="ALW166" s="1"/>
      <c r="ALX166" s="1"/>
      <c r="ALY166" s="1"/>
      <c r="ALZ166" s="1"/>
      <c r="AMA166" s="1"/>
      <c r="AMB166" s="1"/>
      <c r="AMC166" s="1"/>
      <c r="AMD166" s="1"/>
      <c r="AME166" s="1"/>
      <c r="AMF166" s="1"/>
      <c r="AMG166" s="1"/>
      <c r="AMH166" s="1"/>
      <c r="AMI166" s="1"/>
      <c r="AMJ166" s="1"/>
    </row>
    <row r="167" customFormat="false" ht="2.25" hidden="false" customHeight="true" outlineLevel="0" collapsed="false">
      <c r="A167" s="38"/>
      <c r="AO167" s="40"/>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c r="CE167" s="1"/>
      <c r="CF167" s="1"/>
      <c r="CG167" s="1"/>
      <c r="CH167" s="1"/>
      <c r="CI167" s="1"/>
      <c r="CJ167" s="1"/>
      <c r="CK167" s="1"/>
      <c r="CL167" s="1"/>
      <c r="CM167" s="1"/>
      <c r="CN167" s="1"/>
      <c r="CO167" s="1"/>
      <c r="CP167" s="1"/>
      <c r="CQ167" s="1"/>
      <c r="CR167" s="1"/>
      <c r="CS167" s="1"/>
      <c r="CT167" s="1"/>
      <c r="CU167" s="1"/>
      <c r="CV167" s="1"/>
      <c r="CW167" s="1"/>
      <c r="CX167" s="1"/>
      <c r="CY167" s="1"/>
      <c r="CZ167" s="1"/>
      <c r="DA167" s="1"/>
      <c r="DB167" s="1"/>
      <c r="DC167" s="1"/>
      <c r="DD167" s="1"/>
      <c r="DE167" s="1"/>
      <c r="DF167" s="1"/>
      <c r="DG167" s="1"/>
      <c r="DH167" s="1"/>
      <c r="DI167" s="1"/>
      <c r="DJ167" s="1"/>
      <c r="DK167" s="1"/>
      <c r="DL167" s="1"/>
      <c r="DM167" s="1"/>
      <c r="DN167" s="1"/>
      <c r="DO167" s="1"/>
      <c r="DP167" s="1"/>
      <c r="DQ167" s="1"/>
      <c r="DR167" s="1"/>
      <c r="DS167" s="1"/>
      <c r="DT167" s="1"/>
      <c r="DU167" s="1"/>
      <c r="DV167" s="1"/>
      <c r="DW167" s="1"/>
      <c r="DX167" s="1"/>
      <c r="DY167" s="1"/>
      <c r="DZ167" s="1"/>
      <c r="EA167" s="1"/>
      <c r="EB167" s="1"/>
      <c r="EC167" s="1"/>
      <c r="ED167" s="1"/>
      <c r="EE167" s="1"/>
      <c r="EF167" s="1"/>
      <c r="EG167" s="1"/>
      <c r="EH167" s="1"/>
      <c r="EI167" s="1"/>
      <c r="EJ167" s="1"/>
      <c r="EK167" s="1"/>
      <c r="EL167" s="1"/>
      <c r="EM167" s="1"/>
      <c r="EN167" s="1"/>
      <c r="EO167" s="1"/>
      <c r="EP167" s="1"/>
      <c r="EQ167" s="1"/>
      <c r="ER167" s="1"/>
      <c r="ES167" s="1"/>
      <c r="ET167" s="1"/>
      <c r="EU167" s="1"/>
      <c r="EV167" s="1"/>
      <c r="EW167" s="1"/>
      <c r="EX167" s="1"/>
      <c r="EY167" s="1"/>
      <c r="EZ167" s="1"/>
      <c r="FA167" s="1"/>
      <c r="FB167" s="1"/>
      <c r="FC167" s="1"/>
      <c r="FD167" s="1"/>
      <c r="FE167" s="1"/>
      <c r="FF167" s="1"/>
      <c r="FG167" s="1"/>
      <c r="FH167" s="1"/>
      <c r="FI167" s="1"/>
      <c r="FJ167" s="1"/>
      <c r="FK167" s="1"/>
      <c r="FL167" s="1"/>
      <c r="FM167" s="1"/>
      <c r="FN167" s="1"/>
      <c r="FO167" s="1"/>
      <c r="FP167" s="1"/>
      <c r="FQ167" s="1"/>
      <c r="FR167" s="1"/>
      <c r="FS167" s="1"/>
      <c r="FT167" s="1"/>
      <c r="FU167" s="1"/>
      <c r="FV167" s="1"/>
      <c r="FW167" s="1"/>
      <c r="FX167" s="1"/>
      <c r="FY167" s="1"/>
      <c r="FZ167" s="1"/>
      <c r="GA167" s="1"/>
      <c r="GB167" s="1"/>
      <c r="GC167" s="1"/>
      <c r="GD167" s="1"/>
      <c r="GE167" s="1"/>
      <c r="GF167" s="1"/>
      <c r="GG167" s="1"/>
      <c r="GH167" s="1"/>
      <c r="GI167" s="1"/>
      <c r="GJ167" s="1"/>
      <c r="GK167" s="1"/>
      <c r="GL167" s="1"/>
      <c r="GM167" s="1"/>
      <c r="GN167" s="1"/>
      <c r="GO167" s="1"/>
      <c r="GP167" s="1"/>
      <c r="GQ167" s="1"/>
      <c r="GR167" s="1"/>
      <c r="GS167" s="1"/>
      <c r="GT167" s="1"/>
      <c r="GU167" s="1"/>
      <c r="GV167" s="1"/>
      <c r="GW167" s="1"/>
      <c r="GX167" s="1"/>
      <c r="GY167" s="1"/>
      <c r="GZ167" s="1"/>
      <c r="HA167" s="1"/>
      <c r="HB167" s="1"/>
      <c r="HC167" s="1"/>
      <c r="HD167" s="1"/>
      <c r="HE167" s="1"/>
      <c r="HF167" s="1"/>
      <c r="HG167" s="1"/>
      <c r="HH167" s="1"/>
      <c r="HI167" s="1"/>
      <c r="HJ167" s="1"/>
      <c r="HK167" s="1"/>
      <c r="HL167" s="1"/>
      <c r="HM167" s="1"/>
      <c r="HN167" s="1"/>
      <c r="HO167" s="1"/>
      <c r="HP167" s="1"/>
      <c r="HQ167" s="1"/>
      <c r="HR167" s="1"/>
      <c r="HS167" s="1"/>
      <c r="HT167" s="1"/>
      <c r="HU167" s="1"/>
      <c r="HV167" s="1"/>
      <c r="HW167" s="1"/>
      <c r="HX167" s="1"/>
      <c r="HY167" s="1"/>
      <c r="HZ167" s="1"/>
      <c r="IA167" s="1"/>
      <c r="IB167" s="1"/>
      <c r="IC167" s="1"/>
      <c r="ID167" s="1"/>
      <c r="IE167" s="1"/>
      <c r="IF167" s="1"/>
      <c r="IG167" s="1"/>
      <c r="IH167" s="1"/>
      <c r="II167" s="1"/>
      <c r="IJ167" s="1"/>
      <c r="IK167" s="1"/>
      <c r="IL167" s="1"/>
      <c r="IM167" s="1"/>
      <c r="IN167" s="1"/>
      <c r="IO167" s="1"/>
      <c r="IP167" s="1"/>
      <c r="IQ167" s="1"/>
      <c r="IR167" s="1"/>
      <c r="IS167" s="1"/>
      <c r="IT167" s="1"/>
      <c r="IU167" s="1"/>
      <c r="IV167" s="1"/>
      <c r="IW167" s="1"/>
      <c r="IX167" s="1"/>
      <c r="IY167" s="1"/>
      <c r="IZ167" s="1"/>
      <c r="JA167" s="1"/>
      <c r="JB167" s="1"/>
      <c r="JC167" s="1"/>
      <c r="JD167" s="1"/>
      <c r="JE167" s="1"/>
      <c r="JF167" s="1"/>
      <c r="JG167" s="1"/>
      <c r="JH167" s="1"/>
      <c r="JI167" s="1"/>
      <c r="JJ167" s="1"/>
      <c r="JK167" s="1"/>
      <c r="JL167" s="1"/>
      <c r="JM167" s="1"/>
      <c r="JN167" s="1"/>
      <c r="JO167" s="1"/>
      <c r="JP167" s="1"/>
      <c r="JQ167" s="1"/>
      <c r="JR167" s="1"/>
      <c r="JS167" s="1"/>
      <c r="JT167" s="1"/>
      <c r="JU167" s="1"/>
      <c r="JV167" s="1"/>
      <c r="JW167" s="1"/>
      <c r="JX167" s="1"/>
      <c r="JY167" s="1"/>
      <c r="JZ167" s="1"/>
      <c r="KA167" s="1"/>
      <c r="KB167" s="1"/>
      <c r="KC167" s="1"/>
      <c r="KD167" s="1"/>
      <c r="KE167" s="1"/>
      <c r="KF167" s="1"/>
      <c r="KG167" s="1"/>
      <c r="KH167" s="1"/>
      <c r="KI167" s="1"/>
      <c r="KJ167" s="1"/>
      <c r="KK167" s="1"/>
      <c r="KL167" s="1"/>
      <c r="KM167" s="1"/>
      <c r="KN167" s="1"/>
      <c r="KO167" s="1"/>
      <c r="KP167" s="1"/>
      <c r="KQ167" s="1"/>
      <c r="KR167" s="1"/>
      <c r="KS167" s="1"/>
      <c r="KT167" s="1"/>
      <c r="KU167" s="1"/>
      <c r="KV167" s="1"/>
      <c r="KW167" s="1"/>
      <c r="KX167" s="1"/>
      <c r="KY167" s="1"/>
      <c r="KZ167" s="1"/>
      <c r="LA167" s="1"/>
      <c r="LB167" s="1"/>
      <c r="LC167" s="1"/>
      <c r="LD167" s="1"/>
      <c r="LE167" s="1"/>
      <c r="LF167" s="1"/>
      <c r="LG167" s="1"/>
      <c r="LH167" s="1"/>
      <c r="LI167" s="1"/>
      <c r="LJ167" s="1"/>
      <c r="LK167" s="1"/>
      <c r="LL167" s="1"/>
      <c r="LM167" s="1"/>
      <c r="LN167" s="1"/>
      <c r="LO167" s="1"/>
      <c r="LP167" s="1"/>
      <c r="LQ167" s="1"/>
      <c r="LR167" s="1"/>
      <c r="LS167" s="1"/>
      <c r="LT167" s="1"/>
      <c r="LU167" s="1"/>
      <c r="LV167" s="1"/>
      <c r="LW167" s="1"/>
      <c r="LX167" s="1"/>
      <c r="LY167" s="1"/>
      <c r="LZ167" s="1"/>
      <c r="MA167" s="1"/>
      <c r="MB167" s="1"/>
      <c r="MC167" s="1"/>
      <c r="MD167" s="1"/>
      <c r="ME167" s="1"/>
      <c r="MF167" s="1"/>
      <c r="MG167" s="1"/>
      <c r="MH167" s="1"/>
      <c r="MI167" s="1"/>
      <c r="MJ167" s="1"/>
      <c r="MK167" s="1"/>
      <c r="ML167" s="1"/>
      <c r="MM167" s="1"/>
      <c r="MN167" s="1"/>
      <c r="MO167" s="1"/>
      <c r="MP167" s="1"/>
      <c r="MQ167" s="1"/>
      <c r="MR167" s="1"/>
      <c r="MS167" s="1"/>
      <c r="MT167" s="1"/>
      <c r="MU167" s="1"/>
      <c r="MV167" s="1"/>
      <c r="MW167" s="1"/>
      <c r="MX167" s="1"/>
      <c r="MY167" s="1"/>
      <c r="MZ167" s="1"/>
      <c r="NA167" s="1"/>
      <c r="NB167" s="1"/>
      <c r="NC167" s="1"/>
      <c r="ND167" s="1"/>
      <c r="NE167" s="1"/>
      <c r="NF167" s="1"/>
      <c r="NG167" s="1"/>
      <c r="NH167" s="1"/>
      <c r="NI167" s="1"/>
      <c r="NJ167" s="1"/>
      <c r="NK167" s="1"/>
      <c r="NL167" s="1"/>
      <c r="NM167" s="1"/>
      <c r="NN167" s="1"/>
      <c r="NO167" s="1"/>
      <c r="NP167" s="1"/>
      <c r="NQ167" s="1"/>
      <c r="NR167" s="1"/>
      <c r="NS167" s="1"/>
      <c r="NT167" s="1"/>
      <c r="NU167" s="1"/>
      <c r="NV167" s="1"/>
      <c r="NW167" s="1"/>
      <c r="NX167" s="1"/>
      <c r="NY167" s="1"/>
      <c r="NZ167" s="1"/>
      <c r="OA167" s="1"/>
      <c r="OB167" s="1"/>
      <c r="OC167" s="1"/>
      <c r="OD167" s="1"/>
      <c r="OE167" s="1"/>
      <c r="OF167" s="1"/>
      <c r="OG167" s="1"/>
      <c r="OH167" s="1"/>
      <c r="OI167" s="1"/>
      <c r="OJ167" s="1"/>
      <c r="OK167" s="1"/>
      <c r="OL167" s="1"/>
      <c r="OM167" s="1"/>
      <c r="ON167" s="1"/>
      <c r="OO167" s="1"/>
      <c r="OP167" s="1"/>
      <c r="OQ167" s="1"/>
      <c r="OR167" s="1"/>
      <c r="OS167" s="1"/>
      <c r="OT167" s="1"/>
      <c r="OU167" s="1"/>
      <c r="OV167" s="1"/>
      <c r="OW167" s="1"/>
      <c r="OX167" s="1"/>
      <c r="OY167" s="1"/>
      <c r="OZ167" s="1"/>
      <c r="PA167" s="1"/>
      <c r="PB167" s="1"/>
      <c r="PC167" s="1"/>
      <c r="PD167" s="1"/>
      <c r="PE167" s="1"/>
      <c r="PF167" s="1"/>
      <c r="PG167" s="1"/>
      <c r="PH167" s="1"/>
      <c r="PI167" s="1"/>
      <c r="PJ167" s="1"/>
      <c r="PK167" s="1"/>
      <c r="PL167" s="1"/>
      <c r="PM167" s="1"/>
      <c r="PN167" s="1"/>
      <c r="PO167" s="1"/>
      <c r="PP167" s="1"/>
      <c r="PQ167" s="1"/>
      <c r="PR167" s="1"/>
      <c r="PS167" s="1"/>
      <c r="PT167" s="1"/>
      <c r="PU167" s="1"/>
      <c r="PV167" s="1"/>
      <c r="PW167" s="1"/>
      <c r="PX167" s="1"/>
      <c r="PY167" s="1"/>
      <c r="PZ167" s="1"/>
      <c r="QA167" s="1"/>
      <c r="QB167" s="1"/>
      <c r="QC167" s="1"/>
      <c r="QD167" s="1"/>
      <c r="QE167" s="1"/>
      <c r="QF167" s="1"/>
      <c r="QG167" s="1"/>
      <c r="QH167" s="1"/>
      <c r="QI167" s="1"/>
      <c r="QJ167" s="1"/>
      <c r="QK167" s="1"/>
      <c r="QL167" s="1"/>
      <c r="QM167" s="1"/>
      <c r="QN167" s="1"/>
      <c r="QO167" s="1"/>
      <c r="QP167" s="1"/>
      <c r="QQ167" s="1"/>
      <c r="QR167" s="1"/>
      <c r="QS167" s="1"/>
      <c r="QT167" s="1"/>
      <c r="QU167" s="1"/>
      <c r="QV167" s="1"/>
      <c r="QW167" s="1"/>
      <c r="QX167" s="1"/>
      <c r="QY167" s="1"/>
      <c r="QZ167" s="1"/>
      <c r="RA167" s="1"/>
      <c r="RB167" s="1"/>
      <c r="RC167" s="1"/>
      <c r="RD167" s="1"/>
      <c r="RE167" s="1"/>
      <c r="RF167" s="1"/>
      <c r="RG167" s="1"/>
      <c r="RH167" s="1"/>
      <c r="RI167" s="1"/>
      <c r="RJ167" s="1"/>
      <c r="RK167" s="1"/>
      <c r="RL167" s="1"/>
      <c r="RM167" s="1"/>
      <c r="RN167" s="1"/>
      <c r="RO167" s="1"/>
      <c r="RP167" s="1"/>
      <c r="RQ167" s="1"/>
      <c r="RR167" s="1"/>
      <c r="RS167" s="1"/>
      <c r="RT167" s="1"/>
      <c r="RU167" s="1"/>
      <c r="RV167" s="1"/>
      <c r="RW167" s="1"/>
      <c r="RX167" s="1"/>
      <c r="RY167" s="1"/>
      <c r="RZ167" s="1"/>
      <c r="SA167" s="1"/>
      <c r="SB167" s="1"/>
      <c r="SC167" s="1"/>
      <c r="SD167" s="1"/>
      <c r="SE167" s="1"/>
      <c r="SF167" s="1"/>
      <c r="SG167" s="1"/>
      <c r="SH167" s="1"/>
      <c r="SI167" s="1"/>
      <c r="SJ167" s="1"/>
      <c r="SK167" s="1"/>
      <c r="SL167" s="1"/>
      <c r="SM167" s="1"/>
      <c r="SN167" s="1"/>
      <c r="SO167" s="1"/>
      <c r="SP167" s="1"/>
      <c r="SQ167" s="1"/>
      <c r="SR167" s="1"/>
      <c r="SS167" s="1"/>
      <c r="ST167" s="1"/>
      <c r="SU167" s="1"/>
      <c r="SV167" s="1"/>
      <c r="SW167" s="1"/>
      <c r="SX167" s="1"/>
      <c r="SY167" s="1"/>
      <c r="SZ167" s="1"/>
      <c r="TA167" s="1"/>
      <c r="TB167" s="1"/>
      <c r="TC167" s="1"/>
      <c r="TD167" s="1"/>
      <c r="TE167" s="1"/>
      <c r="TF167" s="1"/>
      <c r="TG167" s="1"/>
      <c r="TH167" s="1"/>
      <c r="TI167" s="1"/>
      <c r="TJ167" s="1"/>
      <c r="TK167" s="1"/>
      <c r="TL167" s="1"/>
      <c r="TM167" s="1"/>
      <c r="TN167" s="1"/>
      <c r="TO167" s="1"/>
      <c r="TP167" s="1"/>
      <c r="TQ167" s="1"/>
      <c r="TR167" s="1"/>
      <c r="TS167" s="1"/>
      <c r="TT167" s="1"/>
      <c r="TU167" s="1"/>
      <c r="TV167" s="1"/>
      <c r="TW167" s="1"/>
      <c r="TX167" s="1"/>
      <c r="TY167" s="1"/>
      <c r="TZ167" s="1"/>
      <c r="UA167" s="1"/>
      <c r="UB167" s="1"/>
      <c r="UC167" s="1"/>
      <c r="UD167" s="1"/>
      <c r="UE167" s="1"/>
      <c r="UF167" s="1"/>
      <c r="UG167" s="1"/>
      <c r="UH167" s="1"/>
      <c r="UI167" s="1"/>
      <c r="UJ167" s="1"/>
      <c r="UK167" s="1"/>
      <c r="UL167" s="1"/>
      <c r="UM167" s="1"/>
      <c r="UN167" s="1"/>
      <c r="UO167" s="1"/>
      <c r="UP167" s="1"/>
      <c r="UQ167" s="1"/>
      <c r="UR167" s="1"/>
      <c r="US167" s="1"/>
      <c r="UT167" s="1"/>
      <c r="UU167" s="1"/>
      <c r="UV167" s="1"/>
      <c r="UW167" s="1"/>
      <c r="UX167" s="1"/>
      <c r="UY167" s="1"/>
      <c r="UZ167" s="1"/>
      <c r="VA167" s="1"/>
      <c r="VB167" s="1"/>
      <c r="VC167" s="1"/>
      <c r="VD167" s="1"/>
      <c r="VE167" s="1"/>
      <c r="VF167" s="1"/>
      <c r="VG167" s="1"/>
      <c r="VH167" s="1"/>
      <c r="VI167" s="1"/>
      <c r="VJ167" s="1"/>
      <c r="VK167" s="1"/>
      <c r="VL167" s="1"/>
      <c r="VM167" s="1"/>
      <c r="VN167" s="1"/>
      <c r="VO167" s="1"/>
      <c r="VP167" s="1"/>
      <c r="VQ167" s="1"/>
      <c r="VR167" s="1"/>
      <c r="VS167" s="1"/>
      <c r="VT167" s="1"/>
      <c r="VU167" s="1"/>
      <c r="VV167" s="1"/>
      <c r="VW167" s="1"/>
      <c r="VX167" s="1"/>
      <c r="VY167" s="1"/>
      <c r="VZ167" s="1"/>
      <c r="WA167" s="1"/>
      <c r="WB167" s="1"/>
      <c r="WC167" s="1"/>
      <c r="WD167" s="1"/>
      <c r="WE167" s="1"/>
      <c r="WF167" s="1"/>
      <c r="WG167" s="1"/>
      <c r="WH167" s="1"/>
      <c r="WI167" s="1"/>
      <c r="WJ167" s="1"/>
      <c r="WK167" s="1"/>
      <c r="WL167" s="1"/>
      <c r="WM167" s="1"/>
      <c r="WN167" s="1"/>
      <c r="WO167" s="1"/>
      <c r="WP167" s="1"/>
      <c r="WQ167" s="1"/>
      <c r="WR167" s="1"/>
      <c r="WS167" s="1"/>
      <c r="WT167" s="1"/>
      <c r="WU167" s="1"/>
      <c r="WV167" s="1"/>
      <c r="WW167" s="1"/>
      <c r="WX167" s="1"/>
      <c r="WY167" s="1"/>
      <c r="WZ167" s="1"/>
      <c r="XA167" s="1"/>
      <c r="XB167" s="1"/>
      <c r="XC167" s="1"/>
      <c r="XD167" s="1"/>
      <c r="XE167" s="1"/>
      <c r="XF167" s="1"/>
      <c r="XG167" s="1"/>
      <c r="XH167" s="1"/>
      <c r="XI167" s="1"/>
      <c r="XJ167" s="1"/>
      <c r="XK167" s="1"/>
      <c r="XL167" s="1"/>
      <c r="XM167" s="1"/>
      <c r="XN167" s="1"/>
      <c r="XO167" s="1"/>
      <c r="XP167" s="1"/>
      <c r="XQ167" s="1"/>
      <c r="XR167" s="1"/>
      <c r="XS167" s="1"/>
      <c r="XT167" s="1"/>
      <c r="XU167" s="1"/>
      <c r="XV167" s="1"/>
      <c r="XW167" s="1"/>
      <c r="XX167" s="1"/>
      <c r="XY167" s="1"/>
      <c r="XZ167" s="1"/>
      <c r="YA167" s="1"/>
      <c r="YB167" s="1"/>
      <c r="YC167" s="1"/>
      <c r="YD167" s="1"/>
      <c r="YE167" s="1"/>
      <c r="YF167" s="1"/>
      <c r="YG167" s="1"/>
      <c r="YH167" s="1"/>
      <c r="YI167" s="1"/>
      <c r="YJ167" s="1"/>
      <c r="YK167" s="1"/>
      <c r="YL167" s="1"/>
      <c r="YM167" s="1"/>
      <c r="YN167" s="1"/>
      <c r="YO167" s="1"/>
      <c r="YP167" s="1"/>
      <c r="YQ167" s="1"/>
      <c r="YR167" s="1"/>
      <c r="YS167" s="1"/>
      <c r="YT167" s="1"/>
      <c r="YU167" s="1"/>
      <c r="YV167" s="1"/>
      <c r="YW167" s="1"/>
      <c r="YX167" s="1"/>
      <c r="YY167" s="1"/>
      <c r="YZ167" s="1"/>
      <c r="ZA167" s="1"/>
      <c r="ZB167" s="1"/>
      <c r="ZC167" s="1"/>
      <c r="ZD167" s="1"/>
      <c r="ZE167" s="1"/>
      <c r="ZF167" s="1"/>
      <c r="ZG167" s="1"/>
      <c r="ZH167" s="1"/>
      <c r="ZI167" s="1"/>
      <c r="ZJ167" s="1"/>
      <c r="ZK167" s="1"/>
      <c r="ZL167" s="1"/>
      <c r="ZM167" s="1"/>
      <c r="ZN167" s="1"/>
      <c r="ZO167" s="1"/>
      <c r="ZP167" s="1"/>
      <c r="ZQ167" s="1"/>
      <c r="ZR167" s="1"/>
      <c r="ZS167" s="1"/>
      <c r="ZT167" s="1"/>
      <c r="ZU167" s="1"/>
      <c r="ZV167" s="1"/>
      <c r="ZW167" s="1"/>
      <c r="ZX167" s="1"/>
      <c r="ZY167" s="1"/>
      <c r="ZZ167" s="1"/>
      <c r="AAA167" s="1"/>
      <c r="AAB167" s="1"/>
      <c r="AAC167" s="1"/>
      <c r="AAD167" s="1"/>
      <c r="AAE167" s="1"/>
      <c r="AAF167" s="1"/>
      <c r="AAG167" s="1"/>
      <c r="AAH167" s="1"/>
      <c r="AAI167" s="1"/>
      <c r="AAJ167" s="1"/>
      <c r="AAK167" s="1"/>
      <c r="AAL167" s="1"/>
      <c r="AAM167" s="1"/>
      <c r="AAN167" s="1"/>
      <c r="AAO167" s="1"/>
      <c r="AAP167" s="1"/>
      <c r="AAQ167" s="1"/>
      <c r="AAR167" s="1"/>
      <c r="AAS167" s="1"/>
      <c r="AAT167" s="1"/>
      <c r="AAU167" s="1"/>
      <c r="AAV167" s="1"/>
      <c r="AAW167" s="1"/>
      <c r="AAX167" s="1"/>
      <c r="AAY167" s="1"/>
      <c r="AAZ167" s="1"/>
      <c r="ABA167" s="1"/>
      <c r="ABB167" s="1"/>
      <c r="ABC167" s="1"/>
      <c r="ABD167" s="1"/>
      <c r="ABE167" s="1"/>
      <c r="ABF167" s="1"/>
      <c r="ABG167" s="1"/>
      <c r="ABH167" s="1"/>
      <c r="ABI167" s="1"/>
      <c r="ABJ167" s="1"/>
      <c r="ABK167" s="1"/>
      <c r="ABL167" s="1"/>
      <c r="ABM167" s="1"/>
      <c r="ABN167" s="1"/>
      <c r="ABO167" s="1"/>
      <c r="ABP167" s="1"/>
      <c r="ABQ167" s="1"/>
      <c r="ABR167" s="1"/>
      <c r="ABS167" s="1"/>
      <c r="ABT167" s="1"/>
      <c r="ABU167" s="1"/>
      <c r="ABV167" s="1"/>
      <c r="ABW167" s="1"/>
      <c r="ABX167" s="1"/>
      <c r="ABY167" s="1"/>
      <c r="ABZ167" s="1"/>
      <c r="ACA167" s="1"/>
      <c r="ACB167" s="1"/>
      <c r="ACC167" s="1"/>
      <c r="ACD167" s="1"/>
      <c r="ACE167" s="1"/>
      <c r="ACF167" s="1"/>
      <c r="ACG167" s="1"/>
      <c r="ACH167" s="1"/>
      <c r="ACI167" s="1"/>
      <c r="ACJ167" s="1"/>
      <c r="ACK167" s="1"/>
      <c r="ACL167" s="1"/>
      <c r="ACM167" s="1"/>
      <c r="ACN167" s="1"/>
      <c r="ACO167" s="1"/>
      <c r="ACP167" s="1"/>
      <c r="ACQ167" s="1"/>
      <c r="ACR167" s="1"/>
      <c r="ACS167" s="1"/>
      <c r="ACT167" s="1"/>
      <c r="ACU167" s="1"/>
      <c r="ACV167" s="1"/>
      <c r="ACW167" s="1"/>
      <c r="ACX167" s="1"/>
      <c r="ACY167" s="1"/>
      <c r="ACZ167" s="1"/>
      <c r="ADA167" s="1"/>
      <c r="ADB167" s="1"/>
      <c r="ADC167" s="1"/>
      <c r="ADD167" s="1"/>
      <c r="ADE167" s="1"/>
      <c r="ADF167" s="1"/>
      <c r="ADG167" s="1"/>
      <c r="ADH167" s="1"/>
      <c r="ADI167" s="1"/>
      <c r="ADJ167" s="1"/>
      <c r="ADK167" s="1"/>
      <c r="ADL167" s="1"/>
      <c r="ADM167" s="1"/>
      <c r="ADN167" s="1"/>
      <c r="ADO167" s="1"/>
      <c r="ADP167" s="1"/>
      <c r="ADQ167" s="1"/>
      <c r="ADR167" s="1"/>
      <c r="ADS167" s="1"/>
      <c r="ADT167" s="1"/>
      <c r="ADU167" s="1"/>
      <c r="ADV167" s="1"/>
      <c r="ADW167" s="1"/>
      <c r="ADX167" s="1"/>
      <c r="ADY167" s="1"/>
      <c r="ADZ167" s="1"/>
      <c r="AEA167" s="1"/>
      <c r="AEB167" s="1"/>
      <c r="AEC167" s="1"/>
      <c r="AED167" s="1"/>
      <c r="AEE167" s="1"/>
      <c r="AEF167" s="1"/>
      <c r="AEG167" s="1"/>
      <c r="AEH167" s="1"/>
      <c r="AEI167" s="1"/>
      <c r="AEJ167" s="1"/>
      <c r="AEK167" s="1"/>
      <c r="AEL167" s="1"/>
      <c r="AEM167" s="1"/>
      <c r="AEN167" s="1"/>
      <c r="AEO167" s="1"/>
      <c r="AEP167" s="1"/>
      <c r="AEQ167" s="1"/>
      <c r="AER167" s="1"/>
      <c r="AES167" s="1"/>
      <c r="AET167" s="1"/>
      <c r="AEU167" s="1"/>
      <c r="AEV167" s="1"/>
      <c r="AEW167" s="1"/>
      <c r="AEX167" s="1"/>
      <c r="AEY167" s="1"/>
      <c r="AEZ167" s="1"/>
      <c r="AFA167" s="1"/>
      <c r="AFB167" s="1"/>
      <c r="AFC167" s="1"/>
      <c r="AFD167" s="1"/>
      <c r="AFE167" s="1"/>
      <c r="AFF167" s="1"/>
      <c r="AFG167" s="1"/>
      <c r="AFH167" s="1"/>
      <c r="AFI167" s="1"/>
      <c r="AFJ167" s="1"/>
      <c r="AFK167" s="1"/>
      <c r="AFL167" s="1"/>
      <c r="AFM167" s="1"/>
      <c r="AFN167" s="1"/>
      <c r="AFO167" s="1"/>
      <c r="AFP167" s="1"/>
      <c r="AFQ167" s="1"/>
      <c r="AFR167" s="1"/>
      <c r="AFS167" s="1"/>
      <c r="AFT167" s="1"/>
      <c r="AFU167" s="1"/>
      <c r="AFV167" s="1"/>
      <c r="AFW167" s="1"/>
      <c r="AFX167" s="1"/>
      <c r="AFY167" s="1"/>
      <c r="AFZ167" s="1"/>
      <c r="AGA167" s="1"/>
      <c r="AGB167" s="1"/>
      <c r="AGC167" s="1"/>
      <c r="AGD167" s="1"/>
      <c r="AGE167" s="1"/>
      <c r="AGF167" s="1"/>
      <c r="AGG167" s="1"/>
      <c r="AGH167" s="1"/>
      <c r="AGI167" s="1"/>
      <c r="AGJ167" s="1"/>
      <c r="AGK167" s="1"/>
      <c r="AGL167" s="1"/>
      <c r="AGM167" s="1"/>
      <c r="AGN167" s="1"/>
      <c r="AGO167" s="1"/>
      <c r="AGP167" s="1"/>
      <c r="AGQ167" s="1"/>
      <c r="AGR167" s="1"/>
      <c r="AGS167" s="1"/>
      <c r="AGT167" s="1"/>
      <c r="AGU167" s="1"/>
      <c r="AGV167" s="1"/>
      <c r="AGW167" s="1"/>
      <c r="AGX167" s="1"/>
      <c r="AGY167" s="1"/>
      <c r="AGZ167" s="1"/>
      <c r="AHA167" s="1"/>
      <c r="AHB167" s="1"/>
      <c r="AHC167" s="1"/>
      <c r="AHD167" s="1"/>
      <c r="AHE167" s="1"/>
      <c r="AHF167" s="1"/>
      <c r="AHG167" s="1"/>
      <c r="AHH167" s="1"/>
      <c r="AHI167" s="1"/>
      <c r="AHJ167" s="1"/>
      <c r="AHK167" s="1"/>
      <c r="AHL167" s="1"/>
      <c r="AHM167" s="1"/>
      <c r="AHN167" s="1"/>
      <c r="AHO167" s="1"/>
      <c r="AHP167" s="1"/>
      <c r="AHQ167" s="1"/>
      <c r="AHR167" s="1"/>
      <c r="AHS167" s="1"/>
      <c r="AHT167" s="1"/>
      <c r="AHU167" s="1"/>
      <c r="AHV167" s="1"/>
      <c r="AHW167" s="1"/>
      <c r="AHX167" s="1"/>
      <c r="AHY167" s="1"/>
      <c r="AHZ167" s="1"/>
      <c r="AIA167" s="1"/>
      <c r="AIB167" s="1"/>
      <c r="AIC167" s="1"/>
      <c r="AID167" s="1"/>
      <c r="AIE167" s="1"/>
      <c r="AIF167" s="1"/>
      <c r="AIG167" s="1"/>
      <c r="AIH167" s="1"/>
      <c r="AII167" s="1"/>
      <c r="AIJ167" s="1"/>
      <c r="AIK167" s="1"/>
      <c r="AIL167" s="1"/>
      <c r="AIM167" s="1"/>
      <c r="AIN167" s="1"/>
      <c r="AIO167" s="1"/>
      <c r="AIP167" s="1"/>
      <c r="AIQ167" s="1"/>
      <c r="AIR167" s="1"/>
      <c r="AIS167" s="1"/>
      <c r="AIT167" s="1"/>
      <c r="AIU167" s="1"/>
      <c r="AIV167" s="1"/>
      <c r="AIW167" s="1"/>
      <c r="AIX167" s="1"/>
      <c r="AIY167" s="1"/>
      <c r="AIZ167" s="1"/>
      <c r="AJA167" s="1"/>
      <c r="AJB167" s="1"/>
      <c r="AJC167" s="1"/>
      <c r="AJD167" s="1"/>
      <c r="AJE167" s="1"/>
      <c r="AJF167" s="1"/>
      <c r="AJG167" s="1"/>
      <c r="AJH167" s="1"/>
      <c r="AJI167" s="1"/>
      <c r="AJJ167" s="1"/>
      <c r="AJK167" s="1"/>
      <c r="AJL167" s="1"/>
      <c r="AJM167" s="1"/>
      <c r="AJN167" s="1"/>
      <c r="AJO167" s="1"/>
      <c r="AJP167" s="1"/>
      <c r="AJQ167" s="1"/>
      <c r="AJR167" s="1"/>
      <c r="AJS167" s="1"/>
      <c r="AJT167" s="1"/>
      <c r="AJU167" s="1"/>
      <c r="AJV167" s="1"/>
      <c r="AJW167" s="1"/>
      <c r="AJX167" s="1"/>
      <c r="AJY167" s="1"/>
      <c r="AJZ167" s="1"/>
      <c r="AKA167" s="1"/>
      <c r="AKB167" s="1"/>
      <c r="AKC167" s="1"/>
      <c r="AKD167" s="1"/>
      <c r="AKE167" s="1"/>
      <c r="AKF167" s="1"/>
      <c r="AKG167" s="1"/>
      <c r="AKH167" s="1"/>
      <c r="AKI167" s="1"/>
      <c r="AKJ167" s="1"/>
      <c r="AKK167" s="1"/>
      <c r="AKL167" s="1"/>
      <c r="AKM167" s="1"/>
      <c r="AKN167" s="1"/>
      <c r="AKO167" s="1"/>
      <c r="AKP167" s="1"/>
      <c r="AKQ167" s="1"/>
      <c r="AKR167" s="1"/>
      <c r="AKS167" s="1"/>
      <c r="AKT167" s="1"/>
      <c r="AKU167" s="1"/>
      <c r="AKV167" s="1"/>
      <c r="AKW167" s="1"/>
      <c r="AKX167" s="1"/>
      <c r="AKY167" s="1"/>
      <c r="AKZ167" s="1"/>
      <c r="ALA167" s="1"/>
      <c r="ALB167" s="1"/>
      <c r="ALC167" s="1"/>
      <c r="ALD167" s="1"/>
      <c r="ALE167" s="1"/>
      <c r="ALF167" s="1"/>
      <c r="ALG167" s="1"/>
      <c r="ALH167" s="1"/>
      <c r="ALI167" s="1"/>
      <c r="ALJ167" s="1"/>
      <c r="ALK167" s="1"/>
      <c r="ALL167" s="1"/>
      <c r="ALM167" s="1"/>
      <c r="ALN167" s="1"/>
      <c r="ALO167" s="1"/>
      <c r="ALP167" s="1"/>
      <c r="ALQ167" s="1"/>
      <c r="ALR167" s="1"/>
      <c r="ALS167" s="1"/>
      <c r="ALT167" s="1"/>
      <c r="ALU167" s="1"/>
      <c r="ALV167" s="1"/>
      <c r="ALW167" s="1"/>
      <c r="ALX167" s="1"/>
      <c r="ALY167" s="1"/>
      <c r="ALZ167" s="1"/>
      <c r="AMA167" s="1"/>
      <c r="AMB167" s="1"/>
      <c r="AMC167" s="1"/>
      <c r="AMD167" s="1"/>
      <c r="AME167" s="1"/>
      <c r="AMF167" s="1"/>
      <c r="AMG167" s="1"/>
      <c r="AMH167" s="1"/>
      <c r="AMI167" s="1"/>
      <c r="AMJ167" s="1"/>
    </row>
    <row r="168" s="89" customFormat="true" ht="10.5" hidden="false" customHeight="true" outlineLevel="0" collapsed="false">
      <c r="A168" s="223" t="s">
        <v>283</v>
      </c>
      <c r="B168" s="223"/>
      <c r="C168" s="223"/>
      <c r="D168" s="223"/>
      <c r="E168" s="223"/>
      <c r="F168" s="224" t="n">
        <f aca="false">SUM(AH153:AO158)</f>
        <v>8906</v>
      </c>
      <c r="G168" s="224"/>
      <c r="H168" s="224"/>
      <c r="I168" s="224"/>
      <c r="J168" s="224"/>
      <c r="K168" s="225"/>
      <c r="L168" s="225"/>
      <c r="M168" s="225"/>
      <c r="N168" s="225"/>
      <c r="O168" s="225"/>
      <c r="P168" s="201" t="s">
        <v>295</v>
      </c>
      <c r="Q168" s="201"/>
      <c r="R168" s="201"/>
      <c r="S168" s="201"/>
      <c r="T168" s="224" t="n">
        <f aca="false">SUM(AI161:AO166)</f>
        <v>4550</v>
      </c>
      <c r="U168" s="224"/>
      <c r="V168" s="224"/>
      <c r="W168" s="224"/>
      <c r="X168" s="224"/>
      <c r="Y168" s="93" t="s">
        <v>296</v>
      </c>
      <c r="Z168" s="93"/>
      <c r="AA168" s="93"/>
      <c r="AB168" s="93"/>
      <c r="AC168" s="93"/>
      <c r="AD168" s="93"/>
      <c r="AE168" s="93"/>
      <c r="AF168" s="93"/>
      <c r="AG168" s="93"/>
      <c r="AH168" s="93"/>
      <c r="AI168" s="93"/>
      <c r="AJ168" s="226" t="n">
        <f aca="false">F168-T168</f>
        <v>4356</v>
      </c>
      <c r="AK168" s="226"/>
      <c r="AL168" s="226"/>
      <c r="AM168" s="226"/>
      <c r="AN168" s="226"/>
      <c r="AO168" s="226"/>
      <c r="AP168" s="7"/>
      <c r="AQ168" s="7"/>
      <c r="AR168" s="7"/>
      <c r="AS168" s="7"/>
      <c r="AT168" s="7"/>
      <c r="AU168" s="7"/>
      <c r="AV168" s="7"/>
      <c r="AW168" s="7"/>
      <c r="AX168" s="7"/>
      <c r="AY168" s="7"/>
      <c r="AZ168" s="7"/>
      <c r="BA168" s="7"/>
      <c r="BB168" s="7"/>
      <c r="BC168" s="7"/>
    </row>
    <row r="169" customFormat="false" ht="10.5" hidden="false" customHeight="true" outlineLevel="0" collapsed="false">
      <c r="A169" s="227"/>
      <c r="B169" s="227"/>
      <c r="C169" s="227"/>
      <c r="D169" s="227"/>
      <c r="E169" s="227"/>
      <c r="F169" s="227"/>
      <c r="G169" s="227"/>
      <c r="H169" s="227"/>
      <c r="I169" s="227"/>
      <c r="J169" s="227"/>
      <c r="K169" s="227"/>
      <c r="L169" s="227"/>
      <c r="M169" s="227"/>
      <c r="N169" s="227"/>
      <c r="O169" s="227"/>
      <c r="P169" s="227"/>
      <c r="Q169" s="227"/>
      <c r="R169" s="227"/>
      <c r="S169" s="227"/>
      <c r="T169" s="227"/>
      <c r="U169" s="227"/>
      <c r="V169" s="227"/>
      <c r="W169" s="227"/>
      <c r="X169" s="227"/>
      <c r="Y169" s="227"/>
      <c r="Z169" s="227"/>
      <c r="AA169" s="227"/>
      <c r="AB169" s="227"/>
      <c r="AC169" s="227"/>
      <c r="AD169" s="227"/>
      <c r="AE169" s="227"/>
      <c r="AF169" s="227"/>
      <c r="AG169" s="227"/>
      <c r="AH169" s="227"/>
      <c r="AI169" s="227"/>
      <c r="AJ169" s="227"/>
      <c r="AK169" s="227"/>
      <c r="AL169" s="227"/>
      <c r="AM169" s="227"/>
      <c r="AN169" s="227"/>
      <c r="AO169" s="227"/>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c r="CE169" s="1"/>
      <c r="CF169" s="1"/>
      <c r="CG169" s="1"/>
      <c r="CH169" s="1"/>
      <c r="CI169" s="1"/>
      <c r="CJ169" s="1"/>
      <c r="CK169" s="1"/>
      <c r="CL169" s="1"/>
      <c r="CM169" s="1"/>
      <c r="CN169" s="1"/>
      <c r="CO169" s="1"/>
      <c r="CP169" s="1"/>
      <c r="CQ169" s="1"/>
      <c r="CR169" s="1"/>
      <c r="CS169" s="1"/>
      <c r="CT169" s="1"/>
      <c r="CU169" s="1"/>
      <c r="CV169" s="1"/>
      <c r="CW169" s="1"/>
      <c r="CX169" s="1"/>
      <c r="CY169" s="1"/>
      <c r="CZ169" s="1"/>
      <c r="DA169" s="1"/>
      <c r="DB169" s="1"/>
      <c r="DC169" s="1"/>
      <c r="DD169" s="1"/>
      <c r="DE169" s="1"/>
      <c r="DF169" s="1"/>
      <c r="DG169" s="1"/>
      <c r="DH169" s="1"/>
      <c r="DI169" s="1"/>
      <c r="DJ169" s="1"/>
      <c r="DK169" s="1"/>
      <c r="DL169" s="1"/>
      <c r="DM169" s="1"/>
      <c r="DN169" s="1"/>
      <c r="DO169" s="1"/>
      <c r="DP169" s="1"/>
      <c r="DQ169" s="1"/>
      <c r="DR169" s="1"/>
      <c r="DS169" s="1"/>
      <c r="DT169" s="1"/>
      <c r="DU169" s="1"/>
      <c r="DV169" s="1"/>
      <c r="DW169" s="1"/>
      <c r="DX169" s="1"/>
      <c r="DY169" s="1"/>
      <c r="DZ169" s="1"/>
      <c r="EA169" s="1"/>
      <c r="EB169" s="1"/>
      <c r="EC169" s="1"/>
      <c r="ED169" s="1"/>
      <c r="EE169" s="1"/>
      <c r="EF169" s="1"/>
      <c r="EG169" s="1"/>
      <c r="EH169" s="1"/>
      <c r="EI169" s="1"/>
      <c r="EJ169" s="1"/>
      <c r="EK169" s="1"/>
      <c r="EL169" s="1"/>
      <c r="EM169" s="1"/>
      <c r="EN169" s="1"/>
      <c r="EO169" s="1"/>
      <c r="EP169" s="1"/>
      <c r="EQ169" s="1"/>
      <c r="ER169" s="1"/>
      <c r="ES169" s="1"/>
      <c r="ET169" s="1"/>
      <c r="EU169" s="1"/>
      <c r="EV169" s="1"/>
      <c r="EW169" s="1"/>
      <c r="EX169" s="1"/>
      <c r="EY169" s="1"/>
      <c r="EZ169" s="1"/>
      <c r="FA169" s="1"/>
      <c r="FB169" s="1"/>
      <c r="FC169" s="1"/>
      <c r="FD169" s="1"/>
      <c r="FE169" s="1"/>
      <c r="FF169" s="1"/>
      <c r="FG169" s="1"/>
      <c r="FH169" s="1"/>
      <c r="FI169" s="1"/>
      <c r="FJ169" s="1"/>
      <c r="FK169" s="1"/>
      <c r="FL169" s="1"/>
      <c r="FM169" s="1"/>
      <c r="FN169" s="1"/>
      <c r="FO169" s="1"/>
      <c r="FP169" s="1"/>
      <c r="FQ169" s="1"/>
      <c r="FR169" s="1"/>
      <c r="FS169" s="1"/>
      <c r="FT169" s="1"/>
      <c r="FU169" s="1"/>
      <c r="FV169" s="1"/>
      <c r="FW169" s="1"/>
      <c r="FX169" s="1"/>
      <c r="FY169" s="1"/>
      <c r="FZ169" s="1"/>
      <c r="GA169" s="1"/>
      <c r="GB169" s="1"/>
      <c r="GC169" s="1"/>
      <c r="GD169" s="1"/>
      <c r="GE169" s="1"/>
      <c r="GF169" s="1"/>
      <c r="GG169" s="1"/>
      <c r="GH169" s="1"/>
      <c r="GI169" s="1"/>
      <c r="GJ169" s="1"/>
      <c r="GK169" s="1"/>
      <c r="GL169" s="1"/>
      <c r="GM169" s="1"/>
      <c r="GN169" s="1"/>
      <c r="GO169" s="1"/>
      <c r="GP169" s="1"/>
      <c r="GQ169" s="1"/>
      <c r="GR169" s="1"/>
      <c r="GS169" s="1"/>
      <c r="GT169" s="1"/>
      <c r="GU169" s="1"/>
      <c r="GV169" s="1"/>
      <c r="GW169" s="1"/>
      <c r="GX169" s="1"/>
      <c r="GY169" s="1"/>
      <c r="GZ169" s="1"/>
      <c r="HA169" s="1"/>
      <c r="HB169" s="1"/>
      <c r="HC169" s="1"/>
      <c r="HD169" s="1"/>
      <c r="HE169" s="1"/>
      <c r="HF169" s="1"/>
      <c r="HG169" s="1"/>
      <c r="HH169" s="1"/>
      <c r="HI169" s="1"/>
      <c r="HJ169" s="1"/>
      <c r="HK169" s="1"/>
      <c r="HL169" s="1"/>
      <c r="HM169" s="1"/>
      <c r="HN169" s="1"/>
      <c r="HO169" s="1"/>
      <c r="HP169" s="1"/>
      <c r="HQ169" s="1"/>
      <c r="HR169" s="1"/>
      <c r="HS169" s="1"/>
      <c r="HT169" s="1"/>
      <c r="HU169" s="1"/>
      <c r="HV169" s="1"/>
      <c r="HW169" s="1"/>
      <c r="HX169" s="1"/>
      <c r="HY169" s="1"/>
      <c r="HZ169" s="1"/>
      <c r="IA169" s="1"/>
      <c r="IB169" s="1"/>
      <c r="IC169" s="1"/>
      <c r="ID169" s="1"/>
      <c r="IE169" s="1"/>
      <c r="IF169" s="1"/>
      <c r="IG169" s="1"/>
      <c r="IH169" s="1"/>
      <c r="II169" s="1"/>
      <c r="IJ169" s="1"/>
      <c r="IK169" s="1"/>
      <c r="IL169" s="1"/>
      <c r="IM169" s="1"/>
      <c r="IN169" s="1"/>
      <c r="IO169" s="1"/>
      <c r="IP169" s="1"/>
      <c r="IQ169" s="1"/>
      <c r="IR169" s="1"/>
      <c r="IS169" s="1"/>
      <c r="IT169" s="1"/>
      <c r="IU169" s="1"/>
      <c r="IV169" s="1"/>
      <c r="IW169" s="1"/>
      <c r="IX169" s="1"/>
      <c r="IY169" s="1"/>
      <c r="IZ169" s="1"/>
      <c r="JA169" s="1"/>
      <c r="JB169" s="1"/>
      <c r="JC169" s="1"/>
      <c r="JD169" s="1"/>
      <c r="JE169" s="1"/>
      <c r="JF169" s="1"/>
      <c r="JG169" s="1"/>
      <c r="JH169" s="1"/>
      <c r="JI169" s="1"/>
      <c r="JJ169" s="1"/>
      <c r="JK169" s="1"/>
      <c r="JL169" s="1"/>
      <c r="JM169" s="1"/>
      <c r="JN169" s="1"/>
      <c r="JO169" s="1"/>
      <c r="JP169" s="1"/>
      <c r="JQ169" s="1"/>
      <c r="JR169" s="1"/>
      <c r="JS169" s="1"/>
      <c r="JT169" s="1"/>
      <c r="JU169" s="1"/>
      <c r="JV169" s="1"/>
      <c r="JW169" s="1"/>
      <c r="JX169" s="1"/>
      <c r="JY169" s="1"/>
      <c r="JZ169" s="1"/>
      <c r="KA169" s="1"/>
      <c r="KB169" s="1"/>
      <c r="KC169" s="1"/>
      <c r="KD169" s="1"/>
      <c r="KE169" s="1"/>
      <c r="KF169" s="1"/>
      <c r="KG169" s="1"/>
      <c r="KH169" s="1"/>
      <c r="KI169" s="1"/>
      <c r="KJ169" s="1"/>
      <c r="KK169" s="1"/>
      <c r="KL169" s="1"/>
      <c r="KM169" s="1"/>
      <c r="KN169" s="1"/>
      <c r="KO169" s="1"/>
      <c r="KP169" s="1"/>
      <c r="KQ169" s="1"/>
      <c r="KR169" s="1"/>
      <c r="KS169" s="1"/>
      <c r="KT169" s="1"/>
      <c r="KU169" s="1"/>
      <c r="KV169" s="1"/>
      <c r="KW169" s="1"/>
      <c r="KX169" s="1"/>
      <c r="KY169" s="1"/>
      <c r="KZ169" s="1"/>
      <c r="LA169" s="1"/>
      <c r="LB169" s="1"/>
      <c r="LC169" s="1"/>
      <c r="LD169" s="1"/>
      <c r="LE169" s="1"/>
      <c r="LF169" s="1"/>
      <c r="LG169" s="1"/>
      <c r="LH169" s="1"/>
      <c r="LI169" s="1"/>
      <c r="LJ169" s="1"/>
      <c r="LK169" s="1"/>
      <c r="LL169" s="1"/>
      <c r="LM169" s="1"/>
      <c r="LN169" s="1"/>
      <c r="LO169" s="1"/>
      <c r="LP169" s="1"/>
      <c r="LQ169" s="1"/>
      <c r="LR169" s="1"/>
      <c r="LS169" s="1"/>
      <c r="LT169" s="1"/>
      <c r="LU169" s="1"/>
      <c r="LV169" s="1"/>
      <c r="LW169" s="1"/>
      <c r="LX169" s="1"/>
      <c r="LY169" s="1"/>
      <c r="LZ169" s="1"/>
      <c r="MA169" s="1"/>
      <c r="MB169" s="1"/>
      <c r="MC169" s="1"/>
      <c r="MD169" s="1"/>
      <c r="ME169" s="1"/>
      <c r="MF169" s="1"/>
      <c r="MG169" s="1"/>
      <c r="MH169" s="1"/>
      <c r="MI169" s="1"/>
      <c r="MJ169" s="1"/>
      <c r="MK169" s="1"/>
      <c r="ML169" s="1"/>
      <c r="MM169" s="1"/>
      <c r="MN169" s="1"/>
      <c r="MO169" s="1"/>
      <c r="MP169" s="1"/>
      <c r="MQ169" s="1"/>
      <c r="MR169" s="1"/>
      <c r="MS169" s="1"/>
      <c r="MT169" s="1"/>
      <c r="MU169" s="1"/>
      <c r="MV169" s="1"/>
      <c r="MW169" s="1"/>
      <c r="MX169" s="1"/>
      <c r="MY169" s="1"/>
      <c r="MZ169" s="1"/>
      <c r="NA169" s="1"/>
      <c r="NB169" s="1"/>
      <c r="NC169" s="1"/>
      <c r="ND169" s="1"/>
      <c r="NE169" s="1"/>
      <c r="NF169" s="1"/>
      <c r="NG169" s="1"/>
      <c r="NH169" s="1"/>
      <c r="NI169" s="1"/>
      <c r="NJ169" s="1"/>
      <c r="NK169" s="1"/>
      <c r="NL169" s="1"/>
      <c r="NM169" s="1"/>
      <c r="NN169" s="1"/>
      <c r="NO169" s="1"/>
      <c r="NP169" s="1"/>
      <c r="NQ169" s="1"/>
      <c r="NR169" s="1"/>
      <c r="NS169" s="1"/>
      <c r="NT169" s="1"/>
      <c r="NU169" s="1"/>
      <c r="NV169" s="1"/>
      <c r="NW169" s="1"/>
      <c r="NX169" s="1"/>
      <c r="NY169" s="1"/>
      <c r="NZ169" s="1"/>
      <c r="OA169" s="1"/>
      <c r="OB169" s="1"/>
      <c r="OC169" s="1"/>
      <c r="OD169" s="1"/>
      <c r="OE169" s="1"/>
      <c r="OF169" s="1"/>
      <c r="OG169" s="1"/>
      <c r="OH169" s="1"/>
      <c r="OI169" s="1"/>
      <c r="OJ169" s="1"/>
      <c r="OK169" s="1"/>
      <c r="OL169" s="1"/>
      <c r="OM169" s="1"/>
      <c r="ON169" s="1"/>
      <c r="OO169" s="1"/>
      <c r="OP169" s="1"/>
      <c r="OQ169" s="1"/>
      <c r="OR169" s="1"/>
      <c r="OS169" s="1"/>
      <c r="OT169" s="1"/>
      <c r="OU169" s="1"/>
      <c r="OV169" s="1"/>
      <c r="OW169" s="1"/>
      <c r="OX169" s="1"/>
      <c r="OY169" s="1"/>
      <c r="OZ169" s="1"/>
      <c r="PA169" s="1"/>
      <c r="PB169" s="1"/>
      <c r="PC169" s="1"/>
      <c r="PD169" s="1"/>
      <c r="PE169" s="1"/>
      <c r="PF169" s="1"/>
      <c r="PG169" s="1"/>
      <c r="PH169" s="1"/>
      <c r="PI169" s="1"/>
      <c r="PJ169" s="1"/>
      <c r="PK169" s="1"/>
      <c r="PL169" s="1"/>
      <c r="PM169" s="1"/>
      <c r="PN169" s="1"/>
      <c r="PO169" s="1"/>
      <c r="PP169" s="1"/>
      <c r="PQ169" s="1"/>
      <c r="PR169" s="1"/>
      <c r="PS169" s="1"/>
      <c r="PT169" s="1"/>
      <c r="PU169" s="1"/>
      <c r="PV169" s="1"/>
      <c r="PW169" s="1"/>
      <c r="PX169" s="1"/>
      <c r="PY169" s="1"/>
      <c r="PZ169" s="1"/>
      <c r="QA169" s="1"/>
      <c r="QB169" s="1"/>
      <c r="QC169" s="1"/>
      <c r="QD169" s="1"/>
      <c r="QE169" s="1"/>
      <c r="QF169" s="1"/>
      <c r="QG169" s="1"/>
      <c r="QH169" s="1"/>
      <c r="QI169" s="1"/>
      <c r="QJ169" s="1"/>
      <c r="QK169" s="1"/>
      <c r="QL169" s="1"/>
      <c r="QM169" s="1"/>
      <c r="QN169" s="1"/>
      <c r="QO169" s="1"/>
      <c r="QP169" s="1"/>
      <c r="QQ169" s="1"/>
      <c r="QR169" s="1"/>
      <c r="QS169" s="1"/>
      <c r="QT169" s="1"/>
      <c r="QU169" s="1"/>
      <c r="QV169" s="1"/>
      <c r="QW169" s="1"/>
      <c r="QX169" s="1"/>
      <c r="QY169" s="1"/>
      <c r="QZ169" s="1"/>
      <c r="RA169" s="1"/>
      <c r="RB169" s="1"/>
      <c r="RC169" s="1"/>
      <c r="RD169" s="1"/>
      <c r="RE169" s="1"/>
      <c r="RF169" s="1"/>
      <c r="RG169" s="1"/>
      <c r="RH169" s="1"/>
      <c r="RI169" s="1"/>
      <c r="RJ169" s="1"/>
      <c r="RK169" s="1"/>
      <c r="RL169" s="1"/>
      <c r="RM169" s="1"/>
      <c r="RN169" s="1"/>
      <c r="RO169" s="1"/>
      <c r="RP169" s="1"/>
      <c r="RQ169" s="1"/>
      <c r="RR169" s="1"/>
      <c r="RS169" s="1"/>
      <c r="RT169" s="1"/>
      <c r="RU169" s="1"/>
      <c r="RV169" s="1"/>
      <c r="RW169" s="1"/>
      <c r="RX169" s="1"/>
      <c r="RY169" s="1"/>
      <c r="RZ169" s="1"/>
      <c r="SA169" s="1"/>
      <c r="SB169" s="1"/>
      <c r="SC169" s="1"/>
      <c r="SD169" s="1"/>
      <c r="SE169" s="1"/>
      <c r="SF169" s="1"/>
      <c r="SG169" s="1"/>
      <c r="SH169" s="1"/>
      <c r="SI169" s="1"/>
      <c r="SJ169" s="1"/>
      <c r="SK169" s="1"/>
      <c r="SL169" s="1"/>
      <c r="SM169" s="1"/>
      <c r="SN169" s="1"/>
      <c r="SO169" s="1"/>
      <c r="SP169" s="1"/>
      <c r="SQ169" s="1"/>
      <c r="SR169" s="1"/>
      <c r="SS169" s="1"/>
      <c r="ST169" s="1"/>
      <c r="SU169" s="1"/>
      <c r="SV169" s="1"/>
      <c r="SW169" s="1"/>
      <c r="SX169" s="1"/>
      <c r="SY169" s="1"/>
      <c r="SZ169" s="1"/>
      <c r="TA169" s="1"/>
      <c r="TB169" s="1"/>
      <c r="TC169" s="1"/>
      <c r="TD169" s="1"/>
      <c r="TE169" s="1"/>
      <c r="TF169" s="1"/>
      <c r="TG169" s="1"/>
      <c r="TH169" s="1"/>
      <c r="TI169" s="1"/>
      <c r="TJ169" s="1"/>
      <c r="TK169" s="1"/>
      <c r="TL169" s="1"/>
      <c r="TM169" s="1"/>
      <c r="TN169" s="1"/>
      <c r="TO169" s="1"/>
      <c r="TP169" s="1"/>
      <c r="TQ169" s="1"/>
      <c r="TR169" s="1"/>
      <c r="TS169" s="1"/>
      <c r="TT169" s="1"/>
      <c r="TU169" s="1"/>
      <c r="TV169" s="1"/>
      <c r="TW169" s="1"/>
      <c r="TX169" s="1"/>
      <c r="TY169" s="1"/>
      <c r="TZ169" s="1"/>
      <c r="UA169" s="1"/>
      <c r="UB169" s="1"/>
      <c r="UC169" s="1"/>
      <c r="UD169" s="1"/>
      <c r="UE169" s="1"/>
      <c r="UF169" s="1"/>
      <c r="UG169" s="1"/>
      <c r="UH169" s="1"/>
      <c r="UI169" s="1"/>
      <c r="UJ169" s="1"/>
      <c r="UK169" s="1"/>
      <c r="UL169" s="1"/>
      <c r="UM169" s="1"/>
      <c r="UN169" s="1"/>
      <c r="UO169" s="1"/>
      <c r="UP169" s="1"/>
      <c r="UQ169" s="1"/>
      <c r="UR169" s="1"/>
      <c r="US169" s="1"/>
      <c r="UT169" s="1"/>
      <c r="UU169" s="1"/>
      <c r="UV169" s="1"/>
      <c r="UW169" s="1"/>
      <c r="UX169" s="1"/>
      <c r="UY169" s="1"/>
      <c r="UZ169" s="1"/>
      <c r="VA169" s="1"/>
      <c r="VB169" s="1"/>
      <c r="VC169" s="1"/>
      <c r="VD169" s="1"/>
      <c r="VE169" s="1"/>
      <c r="VF169" s="1"/>
      <c r="VG169" s="1"/>
      <c r="VH169" s="1"/>
      <c r="VI169" s="1"/>
      <c r="VJ169" s="1"/>
      <c r="VK169" s="1"/>
      <c r="VL169" s="1"/>
      <c r="VM169" s="1"/>
      <c r="VN169" s="1"/>
      <c r="VO169" s="1"/>
      <c r="VP169" s="1"/>
      <c r="VQ169" s="1"/>
      <c r="VR169" s="1"/>
      <c r="VS169" s="1"/>
      <c r="VT169" s="1"/>
      <c r="VU169" s="1"/>
      <c r="VV169" s="1"/>
      <c r="VW169" s="1"/>
      <c r="VX169" s="1"/>
      <c r="VY169" s="1"/>
      <c r="VZ169" s="1"/>
      <c r="WA169" s="1"/>
      <c r="WB169" s="1"/>
      <c r="WC169" s="1"/>
      <c r="WD169" s="1"/>
      <c r="WE169" s="1"/>
      <c r="WF169" s="1"/>
      <c r="WG169" s="1"/>
      <c r="WH169" s="1"/>
      <c r="WI169" s="1"/>
      <c r="WJ169" s="1"/>
      <c r="WK169" s="1"/>
      <c r="WL169" s="1"/>
      <c r="WM169" s="1"/>
      <c r="WN169" s="1"/>
      <c r="WO169" s="1"/>
      <c r="WP169" s="1"/>
      <c r="WQ169" s="1"/>
      <c r="WR169" s="1"/>
      <c r="WS169" s="1"/>
      <c r="WT169" s="1"/>
      <c r="WU169" s="1"/>
      <c r="WV169" s="1"/>
      <c r="WW169" s="1"/>
      <c r="WX169" s="1"/>
      <c r="WY169" s="1"/>
      <c r="WZ169" s="1"/>
      <c r="XA169" s="1"/>
      <c r="XB169" s="1"/>
      <c r="XC169" s="1"/>
      <c r="XD169" s="1"/>
      <c r="XE169" s="1"/>
      <c r="XF169" s="1"/>
      <c r="XG169" s="1"/>
      <c r="XH169" s="1"/>
      <c r="XI169" s="1"/>
      <c r="XJ169" s="1"/>
      <c r="XK169" s="1"/>
      <c r="XL169" s="1"/>
      <c r="XM169" s="1"/>
      <c r="XN169" s="1"/>
      <c r="XO169" s="1"/>
      <c r="XP169" s="1"/>
      <c r="XQ169" s="1"/>
      <c r="XR169" s="1"/>
      <c r="XS169" s="1"/>
      <c r="XT169" s="1"/>
      <c r="XU169" s="1"/>
      <c r="XV169" s="1"/>
      <c r="XW169" s="1"/>
      <c r="XX169" s="1"/>
      <c r="XY169" s="1"/>
      <c r="XZ169" s="1"/>
      <c r="YA169" s="1"/>
      <c r="YB169" s="1"/>
      <c r="YC169" s="1"/>
      <c r="YD169" s="1"/>
      <c r="YE169" s="1"/>
      <c r="YF169" s="1"/>
      <c r="YG169" s="1"/>
      <c r="YH169" s="1"/>
      <c r="YI169" s="1"/>
      <c r="YJ169" s="1"/>
      <c r="YK169" s="1"/>
      <c r="YL169" s="1"/>
      <c r="YM169" s="1"/>
      <c r="YN169" s="1"/>
      <c r="YO169" s="1"/>
      <c r="YP169" s="1"/>
      <c r="YQ169" s="1"/>
      <c r="YR169" s="1"/>
      <c r="YS169" s="1"/>
      <c r="YT169" s="1"/>
      <c r="YU169" s="1"/>
      <c r="YV169" s="1"/>
      <c r="YW169" s="1"/>
      <c r="YX169" s="1"/>
      <c r="YY169" s="1"/>
      <c r="YZ169" s="1"/>
      <c r="ZA169" s="1"/>
      <c r="ZB169" s="1"/>
      <c r="ZC169" s="1"/>
      <c r="ZD169" s="1"/>
      <c r="ZE169" s="1"/>
      <c r="ZF169" s="1"/>
      <c r="ZG169" s="1"/>
      <c r="ZH169" s="1"/>
      <c r="ZI169" s="1"/>
      <c r="ZJ169" s="1"/>
      <c r="ZK169" s="1"/>
      <c r="ZL169" s="1"/>
      <c r="ZM169" s="1"/>
      <c r="ZN169" s="1"/>
      <c r="ZO169" s="1"/>
      <c r="ZP169" s="1"/>
      <c r="ZQ169" s="1"/>
      <c r="ZR169" s="1"/>
      <c r="ZS169" s="1"/>
      <c r="ZT169" s="1"/>
      <c r="ZU169" s="1"/>
      <c r="ZV169" s="1"/>
      <c r="ZW169" s="1"/>
      <c r="ZX169" s="1"/>
      <c r="ZY169" s="1"/>
      <c r="ZZ169" s="1"/>
      <c r="AAA169" s="1"/>
      <c r="AAB169" s="1"/>
      <c r="AAC169" s="1"/>
      <c r="AAD169" s="1"/>
      <c r="AAE169" s="1"/>
      <c r="AAF169" s="1"/>
      <c r="AAG169" s="1"/>
      <c r="AAH169" s="1"/>
      <c r="AAI169" s="1"/>
      <c r="AAJ169" s="1"/>
      <c r="AAK169" s="1"/>
      <c r="AAL169" s="1"/>
      <c r="AAM169" s="1"/>
      <c r="AAN169" s="1"/>
      <c r="AAO169" s="1"/>
      <c r="AAP169" s="1"/>
      <c r="AAQ169" s="1"/>
      <c r="AAR169" s="1"/>
      <c r="AAS169" s="1"/>
      <c r="AAT169" s="1"/>
      <c r="AAU169" s="1"/>
      <c r="AAV169" s="1"/>
      <c r="AAW169" s="1"/>
      <c r="AAX169" s="1"/>
      <c r="AAY169" s="1"/>
      <c r="AAZ169" s="1"/>
      <c r="ABA169" s="1"/>
      <c r="ABB169" s="1"/>
      <c r="ABC169" s="1"/>
      <c r="ABD169" s="1"/>
      <c r="ABE169" s="1"/>
      <c r="ABF169" s="1"/>
      <c r="ABG169" s="1"/>
      <c r="ABH169" s="1"/>
      <c r="ABI169" s="1"/>
      <c r="ABJ169" s="1"/>
      <c r="ABK169" s="1"/>
      <c r="ABL169" s="1"/>
      <c r="ABM169" s="1"/>
      <c r="ABN169" s="1"/>
      <c r="ABO169" s="1"/>
      <c r="ABP169" s="1"/>
      <c r="ABQ169" s="1"/>
      <c r="ABR169" s="1"/>
      <c r="ABS169" s="1"/>
      <c r="ABT169" s="1"/>
      <c r="ABU169" s="1"/>
      <c r="ABV169" s="1"/>
      <c r="ABW169" s="1"/>
      <c r="ABX169" s="1"/>
      <c r="ABY169" s="1"/>
      <c r="ABZ169" s="1"/>
      <c r="ACA169" s="1"/>
      <c r="ACB169" s="1"/>
      <c r="ACC169" s="1"/>
      <c r="ACD169" s="1"/>
      <c r="ACE169" s="1"/>
      <c r="ACF169" s="1"/>
      <c r="ACG169" s="1"/>
      <c r="ACH169" s="1"/>
      <c r="ACI169" s="1"/>
      <c r="ACJ169" s="1"/>
      <c r="ACK169" s="1"/>
      <c r="ACL169" s="1"/>
      <c r="ACM169" s="1"/>
      <c r="ACN169" s="1"/>
      <c r="ACO169" s="1"/>
      <c r="ACP169" s="1"/>
      <c r="ACQ169" s="1"/>
      <c r="ACR169" s="1"/>
      <c r="ACS169" s="1"/>
      <c r="ACT169" s="1"/>
      <c r="ACU169" s="1"/>
      <c r="ACV169" s="1"/>
      <c r="ACW169" s="1"/>
      <c r="ACX169" s="1"/>
      <c r="ACY169" s="1"/>
      <c r="ACZ169" s="1"/>
      <c r="ADA169" s="1"/>
      <c r="ADB169" s="1"/>
      <c r="ADC169" s="1"/>
      <c r="ADD169" s="1"/>
      <c r="ADE169" s="1"/>
      <c r="ADF169" s="1"/>
      <c r="ADG169" s="1"/>
      <c r="ADH169" s="1"/>
      <c r="ADI169" s="1"/>
      <c r="ADJ169" s="1"/>
      <c r="ADK169" s="1"/>
      <c r="ADL169" s="1"/>
      <c r="ADM169" s="1"/>
      <c r="ADN169" s="1"/>
      <c r="ADO169" s="1"/>
      <c r="ADP169" s="1"/>
      <c r="ADQ169" s="1"/>
      <c r="ADR169" s="1"/>
      <c r="ADS169" s="1"/>
      <c r="ADT169" s="1"/>
      <c r="ADU169" s="1"/>
      <c r="ADV169" s="1"/>
      <c r="ADW169" s="1"/>
      <c r="ADX169" s="1"/>
      <c r="ADY169" s="1"/>
      <c r="ADZ169" s="1"/>
      <c r="AEA169" s="1"/>
      <c r="AEB169" s="1"/>
      <c r="AEC169" s="1"/>
      <c r="AED169" s="1"/>
      <c r="AEE169" s="1"/>
      <c r="AEF169" s="1"/>
      <c r="AEG169" s="1"/>
      <c r="AEH169" s="1"/>
      <c r="AEI169" s="1"/>
      <c r="AEJ169" s="1"/>
      <c r="AEK169" s="1"/>
      <c r="AEL169" s="1"/>
      <c r="AEM169" s="1"/>
      <c r="AEN169" s="1"/>
      <c r="AEO169" s="1"/>
      <c r="AEP169" s="1"/>
      <c r="AEQ169" s="1"/>
      <c r="AER169" s="1"/>
      <c r="AES169" s="1"/>
      <c r="AET169" s="1"/>
      <c r="AEU169" s="1"/>
      <c r="AEV169" s="1"/>
      <c r="AEW169" s="1"/>
      <c r="AEX169" s="1"/>
      <c r="AEY169" s="1"/>
      <c r="AEZ169" s="1"/>
      <c r="AFA169" s="1"/>
      <c r="AFB169" s="1"/>
      <c r="AFC169" s="1"/>
      <c r="AFD169" s="1"/>
      <c r="AFE169" s="1"/>
      <c r="AFF169" s="1"/>
      <c r="AFG169" s="1"/>
      <c r="AFH169" s="1"/>
      <c r="AFI169" s="1"/>
      <c r="AFJ169" s="1"/>
      <c r="AFK169" s="1"/>
      <c r="AFL169" s="1"/>
      <c r="AFM169" s="1"/>
      <c r="AFN169" s="1"/>
      <c r="AFO169" s="1"/>
      <c r="AFP169" s="1"/>
      <c r="AFQ169" s="1"/>
      <c r="AFR169" s="1"/>
      <c r="AFS169" s="1"/>
      <c r="AFT169" s="1"/>
      <c r="AFU169" s="1"/>
      <c r="AFV169" s="1"/>
      <c r="AFW169" s="1"/>
      <c r="AFX169" s="1"/>
      <c r="AFY169" s="1"/>
      <c r="AFZ169" s="1"/>
      <c r="AGA169" s="1"/>
      <c r="AGB169" s="1"/>
      <c r="AGC169" s="1"/>
      <c r="AGD169" s="1"/>
      <c r="AGE169" s="1"/>
      <c r="AGF169" s="1"/>
      <c r="AGG169" s="1"/>
      <c r="AGH169" s="1"/>
      <c r="AGI169" s="1"/>
      <c r="AGJ169" s="1"/>
      <c r="AGK169" s="1"/>
      <c r="AGL169" s="1"/>
      <c r="AGM169" s="1"/>
      <c r="AGN169" s="1"/>
      <c r="AGO169" s="1"/>
      <c r="AGP169" s="1"/>
      <c r="AGQ169" s="1"/>
      <c r="AGR169" s="1"/>
      <c r="AGS169" s="1"/>
      <c r="AGT169" s="1"/>
      <c r="AGU169" s="1"/>
      <c r="AGV169" s="1"/>
      <c r="AGW169" s="1"/>
      <c r="AGX169" s="1"/>
      <c r="AGY169" s="1"/>
      <c r="AGZ169" s="1"/>
      <c r="AHA169" s="1"/>
      <c r="AHB169" s="1"/>
      <c r="AHC169" s="1"/>
      <c r="AHD169" s="1"/>
      <c r="AHE169" s="1"/>
      <c r="AHF169" s="1"/>
      <c r="AHG169" s="1"/>
      <c r="AHH169" s="1"/>
      <c r="AHI169" s="1"/>
      <c r="AHJ169" s="1"/>
      <c r="AHK169" s="1"/>
      <c r="AHL169" s="1"/>
      <c r="AHM169" s="1"/>
      <c r="AHN169" s="1"/>
      <c r="AHO169" s="1"/>
      <c r="AHP169" s="1"/>
      <c r="AHQ169" s="1"/>
      <c r="AHR169" s="1"/>
      <c r="AHS169" s="1"/>
      <c r="AHT169" s="1"/>
      <c r="AHU169" s="1"/>
      <c r="AHV169" s="1"/>
      <c r="AHW169" s="1"/>
      <c r="AHX169" s="1"/>
      <c r="AHY169" s="1"/>
      <c r="AHZ169" s="1"/>
      <c r="AIA169" s="1"/>
      <c r="AIB169" s="1"/>
      <c r="AIC169" s="1"/>
      <c r="AID169" s="1"/>
      <c r="AIE169" s="1"/>
      <c r="AIF169" s="1"/>
      <c r="AIG169" s="1"/>
      <c r="AIH169" s="1"/>
      <c r="AII169" s="1"/>
      <c r="AIJ169" s="1"/>
      <c r="AIK169" s="1"/>
      <c r="AIL169" s="1"/>
      <c r="AIM169" s="1"/>
      <c r="AIN169" s="1"/>
      <c r="AIO169" s="1"/>
      <c r="AIP169" s="1"/>
      <c r="AIQ169" s="1"/>
      <c r="AIR169" s="1"/>
      <c r="AIS169" s="1"/>
      <c r="AIT169" s="1"/>
      <c r="AIU169" s="1"/>
      <c r="AIV169" s="1"/>
      <c r="AIW169" s="1"/>
      <c r="AIX169" s="1"/>
      <c r="AIY169" s="1"/>
      <c r="AIZ169" s="1"/>
      <c r="AJA169" s="1"/>
      <c r="AJB169" s="1"/>
      <c r="AJC169" s="1"/>
      <c r="AJD169" s="1"/>
      <c r="AJE169" s="1"/>
      <c r="AJF169" s="1"/>
      <c r="AJG169" s="1"/>
      <c r="AJH169" s="1"/>
      <c r="AJI169" s="1"/>
      <c r="AJJ169" s="1"/>
      <c r="AJK169" s="1"/>
      <c r="AJL169" s="1"/>
      <c r="AJM169" s="1"/>
      <c r="AJN169" s="1"/>
      <c r="AJO169" s="1"/>
      <c r="AJP169" s="1"/>
      <c r="AJQ169" s="1"/>
      <c r="AJR169" s="1"/>
      <c r="AJS169" s="1"/>
      <c r="AJT169" s="1"/>
      <c r="AJU169" s="1"/>
      <c r="AJV169" s="1"/>
      <c r="AJW169" s="1"/>
      <c r="AJX169" s="1"/>
      <c r="AJY169" s="1"/>
      <c r="AJZ169" s="1"/>
      <c r="AKA169" s="1"/>
      <c r="AKB169" s="1"/>
      <c r="AKC169" s="1"/>
      <c r="AKD169" s="1"/>
      <c r="AKE169" s="1"/>
      <c r="AKF169" s="1"/>
      <c r="AKG169" s="1"/>
      <c r="AKH169" s="1"/>
      <c r="AKI169" s="1"/>
      <c r="AKJ169" s="1"/>
      <c r="AKK169" s="1"/>
      <c r="AKL169" s="1"/>
      <c r="AKM169" s="1"/>
      <c r="AKN169" s="1"/>
      <c r="AKO169" s="1"/>
      <c r="AKP169" s="1"/>
      <c r="AKQ169" s="1"/>
      <c r="AKR169" s="1"/>
      <c r="AKS169" s="1"/>
      <c r="AKT169" s="1"/>
      <c r="AKU169" s="1"/>
      <c r="AKV169" s="1"/>
      <c r="AKW169" s="1"/>
      <c r="AKX169" s="1"/>
      <c r="AKY169" s="1"/>
      <c r="AKZ169" s="1"/>
      <c r="ALA169" s="1"/>
      <c r="ALB169" s="1"/>
      <c r="ALC169" s="1"/>
      <c r="ALD169" s="1"/>
      <c r="ALE169" s="1"/>
      <c r="ALF169" s="1"/>
      <c r="ALG169" s="1"/>
      <c r="ALH169" s="1"/>
      <c r="ALI169" s="1"/>
      <c r="ALJ169" s="1"/>
      <c r="ALK169" s="1"/>
      <c r="ALL169" s="1"/>
      <c r="ALM169" s="1"/>
      <c r="ALN169" s="1"/>
      <c r="ALO169" s="1"/>
      <c r="ALP169" s="1"/>
      <c r="ALQ169" s="1"/>
      <c r="ALR169" s="1"/>
      <c r="ALS169" s="1"/>
      <c r="ALT169" s="1"/>
      <c r="ALU169" s="1"/>
      <c r="ALV169" s="1"/>
      <c r="ALW169" s="1"/>
      <c r="ALX169" s="1"/>
      <c r="ALY169" s="1"/>
      <c r="ALZ169" s="1"/>
      <c r="AMA169" s="1"/>
      <c r="AMB169" s="1"/>
      <c r="AMC169" s="1"/>
      <c r="AMD169" s="1"/>
      <c r="AME169" s="1"/>
      <c r="AMF169" s="1"/>
      <c r="AMG169" s="1"/>
      <c r="AMH169" s="1"/>
      <c r="AMI169" s="1"/>
      <c r="AMJ169" s="1"/>
    </row>
    <row r="170" customFormat="false" ht="12" hidden="false" customHeight="true" outlineLevel="0" collapsed="false">
      <c r="A170" s="48" t="s">
        <v>297</v>
      </c>
      <c r="B170" s="48"/>
      <c r="C170" s="48"/>
      <c r="D170" s="48"/>
      <c r="E170" s="48"/>
      <c r="F170" s="48"/>
      <c r="G170" s="48"/>
      <c r="H170" s="48"/>
      <c r="I170" s="48"/>
      <c r="J170" s="48"/>
      <c r="K170" s="48"/>
      <c r="L170" s="48"/>
      <c r="M170" s="48"/>
      <c r="N170" s="48"/>
      <c r="O170" s="48"/>
      <c r="P170" s="48"/>
      <c r="Q170" s="48"/>
      <c r="R170" s="48"/>
      <c r="S170" s="48"/>
      <c r="T170" s="48"/>
      <c r="U170" s="48"/>
      <c r="V170" s="48"/>
      <c r="W170" s="48"/>
      <c r="X170" s="48"/>
      <c r="Y170" s="48"/>
      <c r="Z170" s="48"/>
      <c r="AA170" s="48"/>
      <c r="AB170" s="48"/>
      <c r="AC170" s="48"/>
      <c r="AD170" s="48"/>
      <c r="AE170" s="48"/>
      <c r="AF170" s="48"/>
      <c r="AG170" s="48"/>
      <c r="AH170" s="48"/>
      <c r="AI170" s="48"/>
      <c r="AJ170" s="48"/>
      <c r="AK170" s="48"/>
      <c r="AL170" s="48"/>
      <c r="AM170" s="48"/>
      <c r="AN170" s="48"/>
      <c r="AO170" s="48"/>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c r="CE170" s="1"/>
      <c r="CF170" s="1"/>
      <c r="CG170" s="1"/>
      <c r="CH170" s="1"/>
      <c r="CI170" s="1"/>
      <c r="CJ170" s="1"/>
      <c r="CK170" s="1"/>
      <c r="CL170" s="1"/>
      <c r="CM170" s="1"/>
      <c r="CN170" s="1"/>
      <c r="CO170" s="1"/>
      <c r="CP170" s="1"/>
      <c r="CQ170" s="1"/>
      <c r="CR170" s="1"/>
      <c r="CS170" s="1"/>
      <c r="CT170" s="1"/>
      <c r="CU170" s="1"/>
      <c r="CV170" s="1"/>
      <c r="CW170" s="1"/>
      <c r="CX170" s="1"/>
      <c r="CY170" s="1"/>
      <c r="CZ170" s="1"/>
      <c r="DA170" s="1"/>
      <c r="DB170" s="1"/>
      <c r="DC170" s="1"/>
      <c r="DD170" s="1"/>
      <c r="DE170" s="1"/>
      <c r="DF170" s="1"/>
      <c r="DG170" s="1"/>
      <c r="DH170" s="1"/>
      <c r="DI170" s="1"/>
      <c r="DJ170" s="1"/>
      <c r="DK170" s="1"/>
      <c r="DL170" s="1"/>
      <c r="DM170" s="1"/>
      <c r="DN170" s="1"/>
      <c r="DO170" s="1"/>
      <c r="DP170" s="1"/>
      <c r="DQ170" s="1"/>
      <c r="DR170" s="1"/>
      <c r="DS170" s="1"/>
      <c r="DT170" s="1"/>
      <c r="DU170" s="1"/>
      <c r="DV170" s="1"/>
      <c r="DW170" s="1"/>
      <c r="DX170" s="1"/>
      <c r="DY170" s="1"/>
      <c r="DZ170" s="1"/>
      <c r="EA170" s="1"/>
      <c r="EB170" s="1"/>
      <c r="EC170" s="1"/>
      <c r="ED170" s="1"/>
      <c r="EE170" s="1"/>
      <c r="EF170" s="1"/>
      <c r="EG170" s="1"/>
      <c r="EH170" s="1"/>
      <c r="EI170" s="1"/>
      <c r="EJ170" s="1"/>
      <c r="EK170" s="1"/>
      <c r="EL170" s="1"/>
      <c r="EM170" s="1"/>
      <c r="EN170" s="1"/>
      <c r="EO170" s="1"/>
      <c r="EP170" s="1"/>
      <c r="EQ170" s="1"/>
      <c r="ER170" s="1"/>
      <c r="ES170" s="1"/>
      <c r="ET170" s="1"/>
      <c r="EU170" s="1"/>
      <c r="EV170" s="1"/>
      <c r="EW170" s="1"/>
      <c r="EX170" s="1"/>
      <c r="EY170" s="1"/>
      <c r="EZ170" s="1"/>
      <c r="FA170" s="1"/>
      <c r="FB170" s="1"/>
      <c r="FC170" s="1"/>
      <c r="FD170" s="1"/>
      <c r="FE170" s="1"/>
      <c r="FF170" s="1"/>
      <c r="FG170" s="1"/>
      <c r="FH170" s="1"/>
      <c r="FI170" s="1"/>
      <c r="FJ170" s="1"/>
      <c r="FK170" s="1"/>
      <c r="FL170" s="1"/>
      <c r="FM170" s="1"/>
      <c r="FN170" s="1"/>
      <c r="FO170" s="1"/>
      <c r="FP170" s="1"/>
      <c r="FQ170" s="1"/>
      <c r="FR170" s="1"/>
      <c r="FS170" s="1"/>
      <c r="FT170" s="1"/>
      <c r="FU170" s="1"/>
      <c r="FV170" s="1"/>
      <c r="FW170" s="1"/>
      <c r="FX170" s="1"/>
      <c r="FY170" s="1"/>
      <c r="FZ170" s="1"/>
      <c r="GA170" s="1"/>
      <c r="GB170" s="1"/>
      <c r="GC170" s="1"/>
      <c r="GD170" s="1"/>
      <c r="GE170" s="1"/>
      <c r="GF170" s="1"/>
      <c r="GG170" s="1"/>
      <c r="GH170" s="1"/>
      <c r="GI170" s="1"/>
      <c r="GJ170" s="1"/>
      <c r="GK170" s="1"/>
      <c r="GL170" s="1"/>
      <c r="GM170" s="1"/>
      <c r="GN170" s="1"/>
      <c r="GO170" s="1"/>
      <c r="GP170" s="1"/>
      <c r="GQ170" s="1"/>
      <c r="GR170" s="1"/>
      <c r="GS170" s="1"/>
      <c r="GT170" s="1"/>
      <c r="GU170" s="1"/>
      <c r="GV170" s="1"/>
      <c r="GW170" s="1"/>
      <c r="GX170" s="1"/>
      <c r="GY170" s="1"/>
      <c r="GZ170" s="1"/>
      <c r="HA170" s="1"/>
      <c r="HB170" s="1"/>
      <c r="HC170" s="1"/>
      <c r="HD170" s="1"/>
      <c r="HE170" s="1"/>
      <c r="HF170" s="1"/>
      <c r="HG170" s="1"/>
      <c r="HH170" s="1"/>
      <c r="HI170" s="1"/>
      <c r="HJ170" s="1"/>
      <c r="HK170" s="1"/>
      <c r="HL170" s="1"/>
      <c r="HM170" s="1"/>
      <c r="HN170" s="1"/>
      <c r="HO170" s="1"/>
      <c r="HP170" s="1"/>
      <c r="HQ170" s="1"/>
      <c r="HR170" s="1"/>
      <c r="HS170" s="1"/>
      <c r="HT170" s="1"/>
      <c r="HU170" s="1"/>
      <c r="HV170" s="1"/>
      <c r="HW170" s="1"/>
      <c r="HX170" s="1"/>
      <c r="HY170" s="1"/>
      <c r="HZ170" s="1"/>
      <c r="IA170" s="1"/>
      <c r="IB170" s="1"/>
      <c r="IC170" s="1"/>
      <c r="ID170" s="1"/>
      <c r="IE170" s="1"/>
      <c r="IF170" s="1"/>
      <c r="IG170" s="1"/>
      <c r="IH170" s="1"/>
      <c r="II170" s="1"/>
      <c r="IJ170" s="1"/>
      <c r="IK170" s="1"/>
      <c r="IL170" s="1"/>
      <c r="IM170" s="1"/>
      <c r="IN170" s="1"/>
      <c r="IO170" s="1"/>
      <c r="IP170" s="1"/>
      <c r="IQ170" s="1"/>
      <c r="IR170" s="1"/>
      <c r="IS170" s="1"/>
      <c r="IT170" s="1"/>
      <c r="IU170" s="1"/>
      <c r="IV170" s="1"/>
      <c r="IW170" s="1"/>
      <c r="IX170" s="1"/>
      <c r="IY170" s="1"/>
      <c r="IZ170" s="1"/>
      <c r="JA170" s="1"/>
      <c r="JB170" s="1"/>
      <c r="JC170" s="1"/>
      <c r="JD170" s="1"/>
      <c r="JE170" s="1"/>
      <c r="JF170" s="1"/>
      <c r="JG170" s="1"/>
      <c r="JH170" s="1"/>
      <c r="JI170" s="1"/>
      <c r="JJ170" s="1"/>
      <c r="JK170" s="1"/>
      <c r="JL170" s="1"/>
      <c r="JM170" s="1"/>
      <c r="JN170" s="1"/>
      <c r="JO170" s="1"/>
      <c r="JP170" s="1"/>
      <c r="JQ170" s="1"/>
      <c r="JR170" s="1"/>
      <c r="JS170" s="1"/>
      <c r="JT170" s="1"/>
      <c r="JU170" s="1"/>
      <c r="JV170" s="1"/>
      <c r="JW170" s="1"/>
      <c r="JX170" s="1"/>
      <c r="JY170" s="1"/>
      <c r="JZ170" s="1"/>
      <c r="KA170" s="1"/>
      <c r="KB170" s="1"/>
      <c r="KC170" s="1"/>
      <c r="KD170" s="1"/>
      <c r="KE170" s="1"/>
      <c r="KF170" s="1"/>
      <c r="KG170" s="1"/>
      <c r="KH170" s="1"/>
      <c r="KI170" s="1"/>
      <c r="KJ170" s="1"/>
      <c r="KK170" s="1"/>
      <c r="KL170" s="1"/>
      <c r="KM170" s="1"/>
      <c r="KN170" s="1"/>
      <c r="KO170" s="1"/>
      <c r="KP170" s="1"/>
      <c r="KQ170" s="1"/>
      <c r="KR170" s="1"/>
      <c r="KS170" s="1"/>
      <c r="KT170" s="1"/>
      <c r="KU170" s="1"/>
      <c r="KV170" s="1"/>
      <c r="KW170" s="1"/>
      <c r="KX170" s="1"/>
      <c r="KY170" s="1"/>
      <c r="KZ170" s="1"/>
      <c r="LA170" s="1"/>
      <c r="LB170" s="1"/>
      <c r="LC170" s="1"/>
      <c r="LD170" s="1"/>
      <c r="LE170" s="1"/>
      <c r="LF170" s="1"/>
      <c r="LG170" s="1"/>
      <c r="LH170" s="1"/>
      <c r="LI170" s="1"/>
      <c r="LJ170" s="1"/>
      <c r="LK170" s="1"/>
      <c r="LL170" s="1"/>
      <c r="LM170" s="1"/>
      <c r="LN170" s="1"/>
      <c r="LO170" s="1"/>
      <c r="LP170" s="1"/>
      <c r="LQ170" s="1"/>
      <c r="LR170" s="1"/>
      <c r="LS170" s="1"/>
      <c r="LT170" s="1"/>
      <c r="LU170" s="1"/>
      <c r="LV170" s="1"/>
      <c r="LW170" s="1"/>
      <c r="LX170" s="1"/>
      <c r="LY170" s="1"/>
      <c r="LZ170" s="1"/>
      <c r="MA170" s="1"/>
      <c r="MB170" s="1"/>
      <c r="MC170" s="1"/>
      <c r="MD170" s="1"/>
      <c r="ME170" s="1"/>
      <c r="MF170" s="1"/>
      <c r="MG170" s="1"/>
      <c r="MH170" s="1"/>
      <c r="MI170" s="1"/>
      <c r="MJ170" s="1"/>
      <c r="MK170" s="1"/>
      <c r="ML170" s="1"/>
      <c r="MM170" s="1"/>
      <c r="MN170" s="1"/>
      <c r="MO170" s="1"/>
      <c r="MP170" s="1"/>
      <c r="MQ170" s="1"/>
      <c r="MR170" s="1"/>
      <c r="MS170" s="1"/>
      <c r="MT170" s="1"/>
      <c r="MU170" s="1"/>
      <c r="MV170" s="1"/>
      <c r="MW170" s="1"/>
      <c r="MX170" s="1"/>
      <c r="MY170" s="1"/>
      <c r="MZ170" s="1"/>
      <c r="NA170" s="1"/>
      <c r="NB170" s="1"/>
      <c r="NC170" s="1"/>
      <c r="ND170" s="1"/>
      <c r="NE170" s="1"/>
      <c r="NF170" s="1"/>
      <c r="NG170" s="1"/>
      <c r="NH170" s="1"/>
      <c r="NI170" s="1"/>
      <c r="NJ170" s="1"/>
      <c r="NK170" s="1"/>
      <c r="NL170" s="1"/>
      <c r="NM170" s="1"/>
      <c r="NN170" s="1"/>
      <c r="NO170" s="1"/>
      <c r="NP170" s="1"/>
      <c r="NQ170" s="1"/>
      <c r="NR170" s="1"/>
      <c r="NS170" s="1"/>
      <c r="NT170" s="1"/>
      <c r="NU170" s="1"/>
      <c r="NV170" s="1"/>
      <c r="NW170" s="1"/>
      <c r="NX170" s="1"/>
      <c r="NY170" s="1"/>
      <c r="NZ170" s="1"/>
      <c r="OA170" s="1"/>
      <c r="OB170" s="1"/>
      <c r="OC170" s="1"/>
      <c r="OD170" s="1"/>
      <c r="OE170" s="1"/>
      <c r="OF170" s="1"/>
      <c r="OG170" s="1"/>
      <c r="OH170" s="1"/>
      <c r="OI170" s="1"/>
      <c r="OJ170" s="1"/>
      <c r="OK170" s="1"/>
      <c r="OL170" s="1"/>
      <c r="OM170" s="1"/>
      <c r="ON170" s="1"/>
      <c r="OO170" s="1"/>
      <c r="OP170" s="1"/>
      <c r="OQ170" s="1"/>
      <c r="OR170" s="1"/>
      <c r="OS170" s="1"/>
      <c r="OT170" s="1"/>
      <c r="OU170" s="1"/>
      <c r="OV170" s="1"/>
      <c r="OW170" s="1"/>
      <c r="OX170" s="1"/>
      <c r="OY170" s="1"/>
      <c r="OZ170" s="1"/>
      <c r="PA170" s="1"/>
      <c r="PB170" s="1"/>
      <c r="PC170" s="1"/>
      <c r="PD170" s="1"/>
      <c r="PE170" s="1"/>
      <c r="PF170" s="1"/>
      <c r="PG170" s="1"/>
      <c r="PH170" s="1"/>
      <c r="PI170" s="1"/>
      <c r="PJ170" s="1"/>
      <c r="PK170" s="1"/>
      <c r="PL170" s="1"/>
      <c r="PM170" s="1"/>
      <c r="PN170" s="1"/>
      <c r="PO170" s="1"/>
      <c r="PP170" s="1"/>
      <c r="PQ170" s="1"/>
      <c r="PR170" s="1"/>
      <c r="PS170" s="1"/>
      <c r="PT170" s="1"/>
      <c r="PU170" s="1"/>
      <c r="PV170" s="1"/>
      <c r="PW170" s="1"/>
      <c r="PX170" s="1"/>
      <c r="PY170" s="1"/>
      <c r="PZ170" s="1"/>
      <c r="QA170" s="1"/>
      <c r="QB170" s="1"/>
      <c r="QC170" s="1"/>
      <c r="QD170" s="1"/>
      <c r="QE170" s="1"/>
      <c r="QF170" s="1"/>
      <c r="QG170" s="1"/>
      <c r="QH170" s="1"/>
      <c r="QI170" s="1"/>
      <c r="QJ170" s="1"/>
      <c r="QK170" s="1"/>
      <c r="QL170" s="1"/>
      <c r="QM170" s="1"/>
      <c r="QN170" s="1"/>
      <c r="QO170" s="1"/>
      <c r="QP170" s="1"/>
      <c r="QQ170" s="1"/>
      <c r="QR170" s="1"/>
      <c r="QS170" s="1"/>
      <c r="QT170" s="1"/>
      <c r="QU170" s="1"/>
      <c r="QV170" s="1"/>
      <c r="QW170" s="1"/>
      <c r="QX170" s="1"/>
      <c r="QY170" s="1"/>
      <c r="QZ170" s="1"/>
      <c r="RA170" s="1"/>
      <c r="RB170" s="1"/>
      <c r="RC170" s="1"/>
      <c r="RD170" s="1"/>
      <c r="RE170" s="1"/>
      <c r="RF170" s="1"/>
      <c r="RG170" s="1"/>
      <c r="RH170" s="1"/>
      <c r="RI170" s="1"/>
      <c r="RJ170" s="1"/>
      <c r="RK170" s="1"/>
      <c r="RL170" s="1"/>
      <c r="RM170" s="1"/>
      <c r="RN170" s="1"/>
      <c r="RO170" s="1"/>
      <c r="RP170" s="1"/>
      <c r="RQ170" s="1"/>
      <c r="RR170" s="1"/>
      <c r="RS170" s="1"/>
      <c r="RT170" s="1"/>
      <c r="RU170" s="1"/>
      <c r="RV170" s="1"/>
      <c r="RW170" s="1"/>
      <c r="RX170" s="1"/>
      <c r="RY170" s="1"/>
      <c r="RZ170" s="1"/>
      <c r="SA170" s="1"/>
      <c r="SB170" s="1"/>
      <c r="SC170" s="1"/>
      <c r="SD170" s="1"/>
      <c r="SE170" s="1"/>
      <c r="SF170" s="1"/>
      <c r="SG170" s="1"/>
      <c r="SH170" s="1"/>
      <c r="SI170" s="1"/>
      <c r="SJ170" s="1"/>
      <c r="SK170" s="1"/>
      <c r="SL170" s="1"/>
      <c r="SM170" s="1"/>
      <c r="SN170" s="1"/>
      <c r="SO170" s="1"/>
      <c r="SP170" s="1"/>
      <c r="SQ170" s="1"/>
      <c r="SR170" s="1"/>
      <c r="SS170" s="1"/>
      <c r="ST170" s="1"/>
      <c r="SU170" s="1"/>
      <c r="SV170" s="1"/>
      <c r="SW170" s="1"/>
      <c r="SX170" s="1"/>
      <c r="SY170" s="1"/>
      <c r="SZ170" s="1"/>
      <c r="TA170" s="1"/>
      <c r="TB170" s="1"/>
      <c r="TC170" s="1"/>
      <c r="TD170" s="1"/>
      <c r="TE170" s="1"/>
      <c r="TF170" s="1"/>
      <c r="TG170" s="1"/>
      <c r="TH170" s="1"/>
      <c r="TI170" s="1"/>
      <c r="TJ170" s="1"/>
      <c r="TK170" s="1"/>
      <c r="TL170" s="1"/>
      <c r="TM170" s="1"/>
      <c r="TN170" s="1"/>
      <c r="TO170" s="1"/>
      <c r="TP170" s="1"/>
      <c r="TQ170" s="1"/>
      <c r="TR170" s="1"/>
      <c r="TS170" s="1"/>
      <c r="TT170" s="1"/>
      <c r="TU170" s="1"/>
      <c r="TV170" s="1"/>
      <c r="TW170" s="1"/>
      <c r="TX170" s="1"/>
      <c r="TY170" s="1"/>
      <c r="TZ170" s="1"/>
      <c r="UA170" s="1"/>
      <c r="UB170" s="1"/>
      <c r="UC170" s="1"/>
      <c r="UD170" s="1"/>
      <c r="UE170" s="1"/>
      <c r="UF170" s="1"/>
      <c r="UG170" s="1"/>
      <c r="UH170" s="1"/>
      <c r="UI170" s="1"/>
      <c r="UJ170" s="1"/>
      <c r="UK170" s="1"/>
      <c r="UL170" s="1"/>
      <c r="UM170" s="1"/>
      <c r="UN170" s="1"/>
      <c r="UO170" s="1"/>
      <c r="UP170" s="1"/>
      <c r="UQ170" s="1"/>
      <c r="UR170" s="1"/>
      <c r="US170" s="1"/>
      <c r="UT170" s="1"/>
      <c r="UU170" s="1"/>
      <c r="UV170" s="1"/>
      <c r="UW170" s="1"/>
      <c r="UX170" s="1"/>
      <c r="UY170" s="1"/>
      <c r="UZ170" s="1"/>
      <c r="VA170" s="1"/>
      <c r="VB170" s="1"/>
      <c r="VC170" s="1"/>
      <c r="VD170" s="1"/>
      <c r="VE170" s="1"/>
      <c r="VF170" s="1"/>
      <c r="VG170" s="1"/>
      <c r="VH170" s="1"/>
      <c r="VI170" s="1"/>
      <c r="VJ170" s="1"/>
      <c r="VK170" s="1"/>
      <c r="VL170" s="1"/>
      <c r="VM170" s="1"/>
      <c r="VN170" s="1"/>
      <c r="VO170" s="1"/>
      <c r="VP170" s="1"/>
      <c r="VQ170" s="1"/>
      <c r="VR170" s="1"/>
      <c r="VS170" s="1"/>
      <c r="VT170" s="1"/>
      <c r="VU170" s="1"/>
      <c r="VV170" s="1"/>
      <c r="VW170" s="1"/>
      <c r="VX170" s="1"/>
      <c r="VY170" s="1"/>
      <c r="VZ170" s="1"/>
      <c r="WA170" s="1"/>
      <c r="WB170" s="1"/>
      <c r="WC170" s="1"/>
      <c r="WD170" s="1"/>
      <c r="WE170" s="1"/>
      <c r="WF170" s="1"/>
      <c r="WG170" s="1"/>
      <c r="WH170" s="1"/>
      <c r="WI170" s="1"/>
      <c r="WJ170" s="1"/>
      <c r="WK170" s="1"/>
      <c r="WL170" s="1"/>
      <c r="WM170" s="1"/>
      <c r="WN170" s="1"/>
      <c r="WO170" s="1"/>
      <c r="WP170" s="1"/>
      <c r="WQ170" s="1"/>
      <c r="WR170" s="1"/>
      <c r="WS170" s="1"/>
      <c r="WT170" s="1"/>
      <c r="WU170" s="1"/>
      <c r="WV170" s="1"/>
      <c r="WW170" s="1"/>
      <c r="WX170" s="1"/>
      <c r="WY170" s="1"/>
      <c r="WZ170" s="1"/>
      <c r="XA170" s="1"/>
      <c r="XB170" s="1"/>
      <c r="XC170" s="1"/>
      <c r="XD170" s="1"/>
      <c r="XE170" s="1"/>
      <c r="XF170" s="1"/>
      <c r="XG170" s="1"/>
      <c r="XH170" s="1"/>
      <c r="XI170" s="1"/>
      <c r="XJ170" s="1"/>
      <c r="XK170" s="1"/>
      <c r="XL170" s="1"/>
      <c r="XM170" s="1"/>
      <c r="XN170" s="1"/>
      <c r="XO170" s="1"/>
      <c r="XP170" s="1"/>
      <c r="XQ170" s="1"/>
      <c r="XR170" s="1"/>
      <c r="XS170" s="1"/>
      <c r="XT170" s="1"/>
      <c r="XU170" s="1"/>
      <c r="XV170" s="1"/>
      <c r="XW170" s="1"/>
      <c r="XX170" s="1"/>
      <c r="XY170" s="1"/>
      <c r="XZ170" s="1"/>
      <c r="YA170" s="1"/>
      <c r="YB170" s="1"/>
      <c r="YC170" s="1"/>
      <c r="YD170" s="1"/>
      <c r="YE170" s="1"/>
      <c r="YF170" s="1"/>
      <c r="YG170" s="1"/>
      <c r="YH170" s="1"/>
      <c r="YI170" s="1"/>
      <c r="YJ170" s="1"/>
      <c r="YK170" s="1"/>
      <c r="YL170" s="1"/>
      <c r="YM170" s="1"/>
      <c r="YN170" s="1"/>
      <c r="YO170" s="1"/>
      <c r="YP170" s="1"/>
      <c r="YQ170" s="1"/>
      <c r="YR170" s="1"/>
      <c r="YS170" s="1"/>
      <c r="YT170" s="1"/>
      <c r="YU170" s="1"/>
      <c r="YV170" s="1"/>
      <c r="YW170" s="1"/>
      <c r="YX170" s="1"/>
      <c r="YY170" s="1"/>
      <c r="YZ170" s="1"/>
      <c r="ZA170" s="1"/>
      <c r="ZB170" s="1"/>
      <c r="ZC170" s="1"/>
      <c r="ZD170" s="1"/>
      <c r="ZE170" s="1"/>
      <c r="ZF170" s="1"/>
      <c r="ZG170" s="1"/>
      <c r="ZH170" s="1"/>
      <c r="ZI170" s="1"/>
      <c r="ZJ170" s="1"/>
      <c r="ZK170" s="1"/>
      <c r="ZL170" s="1"/>
      <c r="ZM170" s="1"/>
      <c r="ZN170" s="1"/>
      <c r="ZO170" s="1"/>
      <c r="ZP170" s="1"/>
      <c r="ZQ170" s="1"/>
      <c r="ZR170" s="1"/>
      <c r="ZS170" s="1"/>
      <c r="ZT170" s="1"/>
      <c r="ZU170" s="1"/>
      <c r="ZV170" s="1"/>
      <c r="ZW170" s="1"/>
      <c r="ZX170" s="1"/>
      <c r="ZY170" s="1"/>
      <c r="ZZ170" s="1"/>
      <c r="AAA170" s="1"/>
      <c r="AAB170" s="1"/>
      <c r="AAC170" s="1"/>
      <c r="AAD170" s="1"/>
      <c r="AAE170" s="1"/>
      <c r="AAF170" s="1"/>
      <c r="AAG170" s="1"/>
      <c r="AAH170" s="1"/>
      <c r="AAI170" s="1"/>
      <c r="AAJ170" s="1"/>
      <c r="AAK170" s="1"/>
      <c r="AAL170" s="1"/>
      <c r="AAM170" s="1"/>
      <c r="AAN170" s="1"/>
      <c r="AAO170" s="1"/>
      <c r="AAP170" s="1"/>
      <c r="AAQ170" s="1"/>
      <c r="AAR170" s="1"/>
      <c r="AAS170" s="1"/>
      <c r="AAT170" s="1"/>
      <c r="AAU170" s="1"/>
      <c r="AAV170" s="1"/>
      <c r="AAW170" s="1"/>
      <c r="AAX170" s="1"/>
      <c r="AAY170" s="1"/>
      <c r="AAZ170" s="1"/>
      <c r="ABA170" s="1"/>
      <c r="ABB170" s="1"/>
      <c r="ABC170" s="1"/>
      <c r="ABD170" s="1"/>
      <c r="ABE170" s="1"/>
      <c r="ABF170" s="1"/>
      <c r="ABG170" s="1"/>
      <c r="ABH170" s="1"/>
      <c r="ABI170" s="1"/>
      <c r="ABJ170" s="1"/>
      <c r="ABK170" s="1"/>
      <c r="ABL170" s="1"/>
      <c r="ABM170" s="1"/>
      <c r="ABN170" s="1"/>
      <c r="ABO170" s="1"/>
      <c r="ABP170" s="1"/>
      <c r="ABQ170" s="1"/>
      <c r="ABR170" s="1"/>
      <c r="ABS170" s="1"/>
      <c r="ABT170" s="1"/>
      <c r="ABU170" s="1"/>
      <c r="ABV170" s="1"/>
      <c r="ABW170" s="1"/>
      <c r="ABX170" s="1"/>
      <c r="ABY170" s="1"/>
      <c r="ABZ170" s="1"/>
      <c r="ACA170" s="1"/>
      <c r="ACB170" s="1"/>
      <c r="ACC170" s="1"/>
      <c r="ACD170" s="1"/>
      <c r="ACE170" s="1"/>
      <c r="ACF170" s="1"/>
      <c r="ACG170" s="1"/>
      <c r="ACH170" s="1"/>
      <c r="ACI170" s="1"/>
      <c r="ACJ170" s="1"/>
      <c r="ACK170" s="1"/>
      <c r="ACL170" s="1"/>
      <c r="ACM170" s="1"/>
      <c r="ACN170" s="1"/>
      <c r="ACO170" s="1"/>
      <c r="ACP170" s="1"/>
      <c r="ACQ170" s="1"/>
      <c r="ACR170" s="1"/>
      <c r="ACS170" s="1"/>
      <c r="ACT170" s="1"/>
      <c r="ACU170" s="1"/>
      <c r="ACV170" s="1"/>
      <c r="ACW170" s="1"/>
      <c r="ACX170" s="1"/>
      <c r="ACY170" s="1"/>
      <c r="ACZ170" s="1"/>
      <c r="ADA170" s="1"/>
      <c r="ADB170" s="1"/>
      <c r="ADC170" s="1"/>
      <c r="ADD170" s="1"/>
      <c r="ADE170" s="1"/>
      <c r="ADF170" s="1"/>
      <c r="ADG170" s="1"/>
      <c r="ADH170" s="1"/>
      <c r="ADI170" s="1"/>
      <c r="ADJ170" s="1"/>
      <c r="ADK170" s="1"/>
      <c r="ADL170" s="1"/>
      <c r="ADM170" s="1"/>
      <c r="ADN170" s="1"/>
      <c r="ADO170" s="1"/>
      <c r="ADP170" s="1"/>
      <c r="ADQ170" s="1"/>
      <c r="ADR170" s="1"/>
      <c r="ADS170" s="1"/>
      <c r="ADT170" s="1"/>
      <c r="ADU170" s="1"/>
      <c r="ADV170" s="1"/>
      <c r="ADW170" s="1"/>
      <c r="ADX170" s="1"/>
      <c r="ADY170" s="1"/>
      <c r="ADZ170" s="1"/>
      <c r="AEA170" s="1"/>
      <c r="AEB170" s="1"/>
      <c r="AEC170" s="1"/>
      <c r="AED170" s="1"/>
      <c r="AEE170" s="1"/>
      <c r="AEF170" s="1"/>
      <c r="AEG170" s="1"/>
      <c r="AEH170" s="1"/>
      <c r="AEI170" s="1"/>
      <c r="AEJ170" s="1"/>
      <c r="AEK170" s="1"/>
      <c r="AEL170" s="1"/>
      <c r="AEM170" s="1"/>
      <c r="AEN170" s="1"/>
      <c r="AEO170" s="1"/>
      <c r="AEP170" s="1"/>
      <c r="AEQ170" s="1"/>
      <c r="AER170" s="1"/>
      <c r="AES170" s="1"/>
      <c r="AET170" s="1"/>
      <c r="AEU170" s="1"/>
      <c r="AEV170" s="1"/>
      <c r="AEW170" s="1"/>
      <c r="AEX170" s="1"/>
      <c r="AEY170" s="1"/>
      <c r="AEZ170" s="1"/>
      <c r="AFA170" s="1"/>
      <c r="AFB170" s="1"/>
      <c r="AFC170" s="1"/>
      <c r="AFD170" s="1"/>
      <c r="AFE170" s="1"/>
      <c r="AFF170" s="1"/>
      <c r="AFG170" s="1"/>
      <c r="AFH170" s="1"/>
      <c r="AFI170" s="1"/>
      <c r="AFJ170" s="1"/>
      <c r="AFK170" s="1"/>
      <c r="AFL170" s="1"/>
      <c r="AFM170" s="1"/>
      <c r="AFN170" s="1"/>
      <c r="AFO170" s="1"/>
      <c r="AFP170" s="1"/>
      <c r="AFQ170" s="1"/>
      <c r="AFR170" s="1"/>
      <c r="AFS170" s="1"/>
      <c r="AFT170" s="1"/>
      <c r="AFU170" s="1"/>
      <c r="AFV170" s="1"/>
      <c r="AFW170" s="1"/>
      <c r="AFX170" s="1"/>
      <c r="AFY170" s="1"/>
      <c r="AFZ170" s="1"/>
      <c r="AGA170" s="1"/>
      <c r="AGB170" s="1"/>
      <c r="AGC170" s="1"/>
      <c r="AGD170" s="1"/>
      <c r="AGE170" s="1"/>
      <c r="AGF170" s="1"/>
      <c r="AGG170" s="1"/>
      <c r="AGH170" s="1"/>
      <c r="AGI170" s="1"/>
      <c r="AGJ170" s="1"/>
      <c r="AGK170" s="1"/>
      <c r="AGL170" s="1"/>
      <c r="AGM170" s="1"/>
      <c r="AGN170" s="1"/>
      <c r="AGO170" s="1"/>
      <c r="AGP170" s="1"/>
      <c r="AGQ170" s="1"/>
      <c r="AGR170" s="1"/>
      <c r="AGS170" s="1"/>
      <c r="AGT170" s="1"/>
      <c r="AGU170" s="1"/>
      <c r="AGV170" s="1"/>
      <c r="AGW170" s="1"/>
      <c r="AGX170" s="1"/>
      <c r="AGY170" s="1"/>
      <c r="AGZ170" s="1"/>
      <c r="AHA170" s="1"/>
      <c r="AHB170" s="1"/>
      <c r="AHC170" s="1"/>
      <c r="AHD170" s="1"/>
      <c r="AHE170" s="1"/>
      <c r="AHF170" s="1"/>
      <c r="AHG170" s="1"/>
      <c r="AHH170" s="1"/>
      <c r="AHI170" s="1"/>
      <c r="AHJ170" s="1"/>
      <c r="AHK170" s="1"/>
      <c r="AHL170" s="1"/>
      <c r="AHM170" s="1"/>
      <c r="AHN170" s="1"/>
      <c r="AHO170" s="1"/>
      <c r="AHP170" s="1"/>
      <c r="AHQ170" s="1"/>
      <c r="AHR170" s="1"/>
      <c r="AHS170" s="1"/>
      <c r="AHT170" s="1"/>
      <c r="AHU170" s="1"/>
      <c r="AHV170" s="1"/>
      <c r="AHW170" s="1"/>
      <c r="AHX170" s="1"/>
      <c r="AHY170" s="1"/>
      <c r="AHZ170" s="1"/>
      <c r="AIA170" s="1"/>
      <c r="AIB170" s="1"/>
      <c r="AIC170" s="1"/>
      <c r="AID170" s="1"/>
      <c r="AIE170" s="1"/>
      <c r="AIF170" s="1"/>
      <c r="AIG170" s="1"/>
      <c r="AIH170" s="1"/>
      <c r="AII170" s="1"/>
      <c r="AIJ170" s="1"/>
      <c r="AIK170" s="1"/>
      <c r="AIL170" s="1"/>
      <c r="AIM170" s="1"/>
      <c r="AIN170" s="1"/>
      <c r="AIO170" s="1"/>
      <c r="AIP170" s="1"/>
      <c r="AIQ170" s="1"/>
      <c r="AIR170" s="1"/>
      <c r="AIS170" s="1"/>
      <c r="AIT170" s="1"/>
      <c r="AIU170" s="1"/>
      <c r="AIV170" s="1"/>
      <c r="AIW170" s="1"/>
      <c r="AIX170" s="1"/>
      <c r="AIY170" s="1"/>
      <c r="AIZ170" s="1"/>
      <c r="AJA170" s="1"/>
      <c r="AJB170" s="1"/>
      <c r="AJC170" s="1"/>
      <c r="AJD170" s="1"/>
      <c r="AJE170" s="1"/>
      <c r="AJF170" s="1"/>
      <c r="AJG170" s="1"/>
      <c r="AJH170" s="1"/>
      <c r="AJI170" s="1"/>
      <c r="AJJ170" s="1"/>
      <c r="AJK170" s="1"/>
      <c r="AJL170" s="1"/>
      <c r="AJM170" s="1"/>
      <c r="AJN170" s="1"/>
      <c r="AJO170" s="1"/>
      <c r="AJP170" s="1"/>
      <c r="AJQ170" s="1"/>
      <c r="AJR170" s="1"/>
      <c r="AJS170" s="1"/>
      <c r="AJT170" s="1"/>
      <c r="AJU170" s="1"/>
      <c r="AJV170" s="1"/>
      <c r="AJW170" s="1"/>
      <c r="AJX170" s="1"/>
      <c r="AJY170" s="1"/>
      <c r="AJZ170" s="1"/>
      <c r="AKA170" s="1"/>
      <c r="AKB170" s="1"/>
      <c r="AKC170" s="1"/>
      <c r="AKD170" s="1"/>
      <c r="AKE170" s="1"/>
      <c r="AKF170" s="1"/>
      <c r="AKG170" s="1"/>
      <c r="AKH170" s="1"/>
      <c r="AKI170" s="1"/>
      <c r="AKJ170" s="1"/>
      <c r="AKK170" s="1"/>
      <c r="AKL170" s="1"/>
      <c r="AKM170" s="1"/>
      <c r="AKN170" s="1"/>
      <c r="AKO170" s="1"/>
      <c r="AKP170" s="1"/>
      <c r="AKQ170" s="1"/>
      <c r="AKR170" s="1"/>
      <c r="AKS170" s="1"/>
      <c r="AKT170" s="1"/>
      <c r="AKU170" s="1"/>
      <c r="AKV170" s="1"/>
      <c r="AKW170" s="1"/>
      <c r="AKX170" s="1"/>
      <c r="AKY170" s="1"/>
      <c r="AKZ170" s="1"/>
      <c r="ALA170" s="1"/>
      <c r="ALB170" s="1"/>
      <c r="ALC170" s="1"/>
      <c r="ALD170" s="1"/>
      <c r="ALE170" s="1"/>
      <c r="ALF170" s="1"/>
      <c r="ALG170" s="1"/>
      <c r="ALH170" s="1"/>
      <c r="ALI170" s="1"/>
      <c r="ALJ170" s="1"/>
      <c r="ALK170" s="1"/>
      <c r="ALL170" s="1"/>
      <c r="ALM170" s="1"/>
      <c r="ALN170" s="1"/>
      <c r="ALO170" s="1"/>
      <c r="ALP170" s="1"/>
      <c r="ALQ170" s="1"/>
      <c r="ALR170" s="1"/>
      <c r="ALS170" s="1"/>
      <c r="ALT170" s="1"/>
      <c r="ALU170" s="1"/>
      <c r="ALV170" s="1"/>
      <c r="ALW170" s="1"/>
      <c r="ALX170" s="1"/>
      <c r="ALY170" s="1"/>
      <c r="ALZ170" s="1"/>
      <c r="AMA170" s="1"/>
      <c r="AMB170" s="1"/>
      <c r="AMC170" s="1"/>
      <c r="AMD170" s="1"/>
      <c r="AME170" s="1"/>
      <c r="AMF170" s="1"/>
      <c r="AMG170" s="1"/>
      <c r="AMH170" s="1"/>
      <c r="AMI170" s="1"/>
      <c r="AMJ170" s="1"/>
    </row>
    <row r="171" customFormat="false" ht="10.5" hidden="false" customHeight="true" outlineLevel="0" collapsed="false">
      <c r="A171" s="48" t="s">
        <v>298</v>
      </c>
      <c r="B171" s="48"/>
      <c r="C171" s="48"/>
      <c r="D171" s="48"/>
      <c r="E171" s="48"/>
      <c r="F171" s="48"/>
      <c r="G171" s="48"/>
      <c r="H171" s="48"/>
      <c r="I171" s="48"/>
      <c r="J171" s="48"/>
      <c r="K171" s="48"/>
      <c r="L171" s="48"/>
      <c r="M171" s="48"/>
      <c r="N171" s="48"/>
      <c r="O171" s="48"/>
      <c r="P171" s="48"/>
      <c r="Q171" s="48"/>
      <c r="R171" s="48"/>
      <c r="S171" s="48"/>
      <c r="T171" s="48"/>
      <c r="U171" s="48"/>
      <c r="V171" s="48"/>
      <c r="W171" s="48"/>
      <c r="X171" s="48"/>
      <c r="Y171" s="48"/>
      <c r="Z171" s="48"/>
      <c r="AA171" s="48"/>
      <c r="AB171" s="48"/>
      <c r="AC171" s="48"/>
      <c r="AD171" s="48"/>
      <c r="AE171" s="48"/>
      <c r="AF171" s="48"/>
      <c r="AG171" s="48"/>
      <c r="AH171" s="48"/>
      <c r="AI171" s="48"/>
      <c r="AJ171" s="48"/>
      <c r="AK171" s="48"/>
      <c r="AL171" s="48"/>
      <c r="AM171" s="48"/>
      <c r="AN171" s="48"/>
      <c r="AO171" s="48"/>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c r="CE171" s="1"/>
      <c r="CF171" s="1"/>
      <c r="CG171" s="1"/>
      <c r="CH171" s="1"/>
      <c r="CI171" s="1"/>
      <c r="CJ171" s="1"/>
      <c r="CK171" s="1"/>
      <c r="CL171" s="1"/>
      <c r="CM171" s="1"/>
      <c r="CN171" s="1"/>
      <c r="CO171" s="1"/>
      <c r="CP171" s="1"/>
      <c r="CQ171" s="1"/>
      <c r="CR171" s="1"/>
      <c r="CS171" s="1"/>
      <c r="CT171" s="1"/>
      <c r="CU171" s="1"/>
      <c r="CV171" s="1"/>
      <c r="CW171" s="1"/>
      <c r="CX171" s="1"/>
      <c r="CY171" s="1"/>
      <c r="CZ171" s="1"/>
      <c r="DA171" s="1"/>
      <c r="DB171" s="1"/>
      <c r="DC171" s="1"/>
      <c r="DD171" s="1"/>
      <c r="DE171" s="1"/>
      <c r="DF171" s="1"/>
      <c r="DG171" s="1"/>
      <c r="DH171" s="1"/>
      <c r="DI171" s="1"/>
      <c r="DJ171" s="1"/>
      <c r="DK171" s="1"/>
      <c r="DL171" s="1"/>
      <c r="DM171" s="1"/>
      <c r="DN171" s="1"/>
      <c r="DO171" s="1"/>
      <c r="DP171" s="1"/>
      <c r="DQ171" s="1"/>
      <c r="DR171" s="1"/>
      <c r="DS171" s="1"/>
      <c r="DT171" s="1"/>
      <c r="DU171" s="1"/>
      <c r="DV171" s="1"/>
      <c r="DW171" s="1"/>
      <c r="DX171" s="1"/>
      <c r="DY171" s="1"/>
      <c r="DZ171" s="1"/>
      <c r="EA171" s="1"/>
      <c r="EB171" s="1"/>
      <c r="EC171" s="1"/>
      <c r="ED171" s="1"/>
      <c r="EE171" s="1"/>
      <c r="EF171" s="1"/>
      <c r="EG171" s="1"/>
      <c r="EH171" s="1"/>
      <c r="EI171" s="1"/>
      <c r="EJ171" s="1"/>
      <c r="EK171" s="1"/>
      <c r="EL171" s="1"/>
      <c r="EM171" s="1"/>
      <c r="EN171" s="1"/>
      <c r="EO171" s="1"/>
      <c r="EP171" s="1"/>
      <c r="EQ171" s="1"/>
      <c r="ER171" s="1"/>
      <c r="ES171" s="1"/>
      <c r="ET171" s="1"/>
      <c r="EU171" s="1"/>
      <c r="EV171" s="1"/>
      <c r="EW171" s="1"/>
      <c r="EX171" s="1"/>
      <c r="EY171" s="1"/>
      <c r="EZ171" s="1"/>
      <c r="FA171" s="1"/>
      <c r="FB171" s="1"/>
      <c r="FC171" s="1"/>
      <c r="FD171" s="1"/>
      <c r="FE171" s="1"/>
      <c r="FF171" s="1"/>
      <c r="FG171" s="1"/>
      <c r="FH171" s="1"/>
      <c r="FI171" s="1"/>
      <c r="FJ171" s="1"/>
      <c r="FK171" s="1"/>
      <c r="FL171" s="1"/>
      <c r="FM171" s="1"/>
      <c r="FN171" s="1"/>
      <c r="FO171" s="1"/>
      <c r="FP171" s="1"/>
      <c r="FQ171" s="1"/>
      <c r="FR171" s="1"/>
      <c r="FS171" s="1"/>
      <c r="FT171" s="1"/>
      <c r="FU171" s="1"/>
      <c r="FV171" s="1"/>
      <c r="FW171" s="1"/>
      <c r="FX171" s="1"/>
      <c r="FY171" s="1"/>
      <c r="FZ171" s="1"/>
      <c r="GA171" s="1"/>
      <c r="GB171" s="1"/>
      <c r="GC171" s="1"/>
      <c r="GD171" s="1"/>
      <c r="GE171" s="1"/>
      <c r="GF171" s="1"/>
      <c r="GG171" s="1"/>
      <c r="GH171" s="1"/>
      <c r="GI171" s="1"/>
      <c r="GJ171" s="1"/>
      <c r="GK171" s="1"/>
      <c r="GL171" s="1"/>
      <c r="GM171" s="1"/>
      <c r="GN171" s="1"/>
      <c r="GO171" s="1"/>
      <c r="GP171" s="1"/>
      <c r="GQ171" s="1"/>
      <c r="GR171" s="1"/>
      <c r="GS171" s="1"/>
      <c r="GT171" s="1"/>
      <c r="GU171" s="1"/>
      <c r="GV171" s="1"/>
      <c r="GW171" s="1"/>
      <c r="GX171" s="1"/>
      <c r="GY171" s="1"/>
      <c r="GZ171" s="1"/>
      <c r="HA171" s="1"/>
      <c r="HB171" s="1"/>
      <c r="HC171" s="1"/>
      <c r="HD171" s="1"/>
      <c r="HE171" s="1"/>
      <c r="HF171" s="1"/>
      <c r="HG171" s="1"/>
      <c r="HH171" s="1"/>
      <c r="HI171" s="1"/>
      <c r="HJ171" s="1"/>
      <c r="HK171" s="1"/>
      <c r="HL171" s="1"/>
      <c r="HM171" s="1"/>
      <c r="HN171" s="1"/>
      <c r="HO171" s="1"/>
      <c r="HP171" s="1"/>
      <c r="HQ171" s="1"/>
      <c r="HR171" s="1"/>
      <c r="HS171" s="1"/>
      <c r="HT171" s="1"/>
      <c r="HU171" s="1"/>
      <c r="HV171" s="1"/>
      <c r="HW171" s="1"/>
      <c r="HX171" s="1"/>
      <c r="HY171" s="1"/>
      <c r="HZ171" s="1"/>
      <c r="IA171" s="1"/>
      <c r="IB171" s="1"/>
      <c r="IC171" s="1"/>
      <c r="ID171" s="1"/>
      <c r="IE171" s="1"/>
      <c r="IF171" s="1"/>
      <c r="IG171" s="1"/>
      <c r="IH171" s="1"/>
      <c r="II171" s="1"/>
      <c r="IJ171" s="1"/>
      <c r="IK171" s="1"/>
      <c r="IL171" s="1"/>
      <c r="IM171" s="1"/>
      <c r="IN171" s="1"/>
      <c r="IO171" s="1"/>
      <c r="IP171" s="1"/>
      <c r="IQ171" s="1"/>
      <c r="IR171" s="1"/>
      <c r="IS171" s="1"/>
      <c r="IT171" s="1"/>
      <c r="IU171" s="1"/>
      <c r="IV171" s="1"/>
      <c r="IW171" s="1"/>
      <c r="IX171" s="1"/>
      <c r="IY171" s="1"/>
      <c r="IZ171" s="1"/>
      <c r="JA171" s="1"/>
      <c r="JB171" s="1"/>
      <c r="JC171" s="1"/>
      <c r="JD171" s="1"/>
      <c r="JE171" s="1"/>
      <c r="JF171" s="1"/>
      <c r="JG171" s="1"/>
      <c r="JH171" s="1"/>
      <c r="JI171" s="1"/>
      <c r="JJ171" s="1"/>
      <c r="JK171" s="1"/>
      <c r="JL171" s="1"/>
      <c r="JM171" s="1"/>
      <c r="JN171" s="1"/>
      <c r="JO171" s="1"/>
      <c r="JP171" s="1"/>
      <c r="JQ171" s="1"/>
      <c r="JR171" s="1"/>
      <c r="JS171" s="1"/>
      <c r="JT171" s="1"/>
      <c r="JU171" s="1"/>
      <c r="JV171" s="1"/>
      <c r="JW171" s="1"/>
      <c r="JX171" s="1"/>
      <c r="JY171" s="1"/>
      <c r="JZ171" s="1"/>
      <c r="KA171" s="1"/>
      <c r="KB171" s="1"/>
      <c r="KC171" s="1"/>
      <c r="KD171" s="1"/>
      <c r="KE171" s="1"/>
      <c r="KF171" s="1"/>
      <c r="KG171" s="1"/>
      <c r="KH171" s="1"/>
      <c r="KI171" s="1"/>
      <c r="KJ171" s="1"/>
      <c r="KK171" s="1"/>
      <c r="KL171" s="1"/>
      <c r="KM171" s="1"/>
      <c r="KN171" s="1"/>
      <c r="KO171" s="1"/>
      <c r="KP171" s="1"/>
      <c r="KQ171" s="1"/>
      <c r="KR171" s="1"/>
      <c r="KS171" s="1"/>
      <c r="KT171" s="1"/>
      <c r="KU171" s="1"/>
      <c r="KV171" s="1"/>
      <c r="KW171" s="1"/>
      <c r="KX171" s="1"/>
      <c r="KY171" s="1"/>
      <c r="KZ171" s="1"/>
      <c r="LA171" s="1"/>
      <c r="LB171" s="1"/>
      <c r="LC171" s="1"/>
      <c r="LD171" s="1"/>
      <c r="LE171" s="1"/>
      <c r="LF171" s="1"/>
      <c r="LG171" s="1"/>
      <c r="LH171" s="1"/>
      <c r="LI171" s="1"/>
      <c r="LJ171" s="1"/>
      <c r="LK171" s="1"/>
      <c r="LL171" s="1"/>
      <c r="LM171" s="1"/>
      <c r="LN171" s="1"/>
      <c r="LO171" s="1"/>
      <c r="LP171" s="1"/>
      <c r="LQ171" s="1"/>
      <c r="LR171" s="1"/>
      <c r="LS171" s="1"/>
      <c r="LT171" s="1"/>
      <c r="LU171" s="1"/>
      <c r="LV171" s="1"/>
      <c r="LW171" s="1"/>
      <c r="LX171" s="1"/>
      <c r="LY171" s="1"/>
      <c r="LZ171" s="1"/>
      <c r="MA171" s="1"/>
      <c r="MB171" s="1"/>
      <c r="MC171" s="1"/>
      <c r="MD171" s="1"/>
      <c r="ME171" s="1"/>
      <c r="MF171" s="1"/>
      <c r="MG171" s="1"/>
      <c r="MH171" s="1"/>
      <c r="MI171" s="1"/>
      <c r="MJ171" s="1"/>
      <c r="MK171" s="1"/>
      <c r="ML171" s="1"/>
      <c r="MM171" s="1"/>
      <c r="MN171" s="1"/>
      <c r="MO171" s="1"/>
      <c r="MP171" s="1"/>
      <c r="MQ171" s="1"/>
      <c r="MR171" s="1"/>
      <c r="MS171" s="1"/>
      <c r="MT171" s="1"/>
      <c r="MU171" s="1"/>
      <c r="MV171" s="1"/>
      <c r="MW171" s="1"/>
      <c r="MX171" s="1"/>
      <c r="MY171" s="1"/>
      <c r="MZ171" s="1"/>
      <c r="NA171" s="1"/>
      <c r="NB171" s="1"/>
      <c r="NC171" s="1"/>
      <c r="ND171" s="1"/>
      <c r="NE171" s="1"/>
      <c r="NF171" s="1"/>
      <c r="NG171" s="1"/>
      <c r="NH171" s="1"/>
      <c r="NI171" s="1"/>
      <c r="NJ171" s="1"/>
      <c r="NK171" s="1"/>
      <c r="NL171" s="1"/>
      <c r="NM171" s="1"/>
      <c r="NN171" s="1"/>
      <c r="NO171" s="1"/>
      <c r="NP171" s="1"/>
      <c r="NQ171" s="1"/>
      <c r="NR171" s="1"/>
      <c r="NS171" s="1"/>
      <c r="NT171" s="1"/>
      <c r="NU171" s="1"/>
      <c r="NV171" s="1"/>
      <c r="NW171" s="1"/>
      <c r="NX171" s="1"/>
      <c r="NY171" s="1"/>
      <c r="NZ171" s="1"/>
      <c r="OA171" s="1"/>
      <c r="OB171" s="1"/>
      <c r="OC171" s="1"/>
      <c r="OD171" s="1"/>
      <c r="OE171" s="1"/>
      <c r="OF171" s="1"/>
      <c r="OG171" s="1"/>
      <c r="OH171" s="1"/>
      <c r="OI171" s="1"/>
      <c r="OJ171" s="1"/>
      <c r="OK171" s="1"/>
      <c r="OL171" s="1"/>
      <c r="OM171" s="1"/>
      <c r="ON171" s="1"/>
      <c r="OO171" s="1"/>
      <c r="OP171" s="1"/>
      <c r="OQ171" s="1"/>
      <c r="OR171" s="1"/>
      <c r="OS171" s="1"/>
      <c r="OT171" s="1"/>
      <c r="OU171" s="1"/>
      <c r="OV171" s="1"/>
      <c r="OW171" s="1"/>
      <c r="OX171" s="1"/>
      <c r="OY171" s="1"/>
      <c r="OZ171" s="1"/>
      <c r="PA171" s="1"/>
      <c r="PB171" s="1"/>
      <c r="PC171" s="1"/>
      <c r="PD171" s="1"/>
      <c r="PE171" s="1"/>
      <c r="PF171" s="1"/>
      <c r="PG171" s="1"/>
      <c r="PH171" s="1"/>
      <c r="PI171" s="1"/>
      <c r="PJ171" s="1"/>
      <c r="PK171" s="1"/>
      <c r="PL171" s="1"/>
      <c r="PM171" s="1"/>
      <c r="PN171" s="1"/>
      <c r="PO171" s="1"/>
      <c r="PP171" s="1"/>
      <c r="PQ171" s="1"/>
      <c r="PR171" s="1"/>
      <c r="PS171" s="1"/>
      <c r="PT171" s="1"/>
      <c r="PU171" s="1"/>
      <c r="PV171" s="1"/>
      <c r="PW171" s="1"/>
      <c r="PX171" s="1"/>
      <c r="PY171" s="1"/>
      <c r="PZ171" s="1"/>
      <c r="QA171" s="1"/>
      <c r="QB171" s="1"/>
      <c r="QC171" s="1"/>
      <c r="QD171" s="1"/>
      <c r="QE171" s="1"/>
      <c r="QF171" s="1"/>
      <c r="QG171" s="1"/>
      <c r="QH171" s="1"/>
      <c r="QI171" s="1"/>
      <c r="QJ171" s="1"/>
      <c r="QK171" s="1"/>
      <c r="QL171" s="1"/>
      <c r="QM171" s="1"/>
      <c r="QN171" s="1"/>
      <c r="QO171" s="1"/>
      <c r="QP171" s="1"/>
      <c r="QQ171" s="1"/>
      <c r="QR171" s="1"/>
      <c r="QS171" s="1"/>
      <c r="QT171" s="1"/>
      <c r="QU171" s="1"/>
      <c r="QV171" s="1"/>
      <c r="QW171" s="1"/>
      <c r="QX171" s="1"/>
      <c r="QY171" s="1"/>
      <c r="QZ171" s="1"/>
      <c r="RA171" s="1"/>
      <c r="RB171" s="1"/>
      <c r="RC171" s="1"/>
      <c r="RD171" s="1"/>
      <c r="RE171" s="1"/>
      <c r="RF171" s="1"/>
      <c r="RG171" s="1"/>
      <c r="RH171" s="1"/>
      <c r="RI171" s="1"/>
      <c r="RJ171" s="1"/>
      <c r="RK171" s="1"/>
      <c r="RL171" s="1"/>
      <c r="RM171" s="1"/>
      <c r="RN171" s="1"/>
      <c r="RO171" s="1"/>
      <c r="RP171" s="1"/>
      <c r="RQ171" s="1"/>
      <c r="RR171" s="1"/>
      <c r="RS171" s="1"/>
      <c r="RT171" s="1"/>
      <c r="RU171" s="1"/>
      <c r="RV171" s="1"/>
      <c r="RW171" s="1"/>
      <c r="RX171" s="1"/>
      <c r="RY171" s="1"/>
      <c r="RZ171" s="1"/>
      <c r="SA171" s="1"/>
      <c r="SB171" s="1"/>
      <c r="SC171" s="1"/>
      <c r="SD171" s="1"/>
      <c r="SE171" s="1"/>
      <c r="SF171" s="1"/>
      <c r="SG171" s="1"/>
      <c r="SH171" s="1"/>
      <c r="SI171" s="1"/>
      <c r="SJ171" s="1"/>
      <c r="SK171" s="1"/>
      <c r="SL171" s="1"/>
      <c r="SM171" s="1"/>
      <c r="SN171" s="1"/>
      <c r="SO171" s="1"/>
      <c r="SP171" s="1"/>
      <c r="SQ171" s="1"/>
      <c r="SR171" s="1"/>
      <c r="SS171" s="1"/>
      <c r="ST171" s="1"/>
      <c r="SU171" s="1"/>
      <c r="SV171" s="1"/>
      <c r="SW171" s="1"/>
      <c r="SX171" s="1"/>
      <c r="SY171" s="1"/>
      <c r="SZ171" s="1"/>
      <c r="TA171" s="1"/>
      <c r="TB171" s="1"/>
      <c r="TC171" s="1"/>
      <c r="TD171" s="1"/>
      <c r="TE171" s="1"/>
      <c r="TF171" s="1"/>
      <c r="TG171" s="1"/>
      <c r="TH171" s="1"/>
      <c r="TI171" s="1"/>
      <c r="TJ171" s="1"/>
      <c r="TK171" s="1"/>
      <c r="TL171" s="1"/>
      <c r="TM171" s="1"/>
      <c r="TN171" s="1"/>
      <c r="TO171" s="1"/>
      <c r="TP171" s="1"/>
      <c r="TQ171" s="1"/>
      <c r="TR171" s="1"/>
      <c r="TS171" s="1"/>
      <c r="TT171" s="1"/>
      <c r="TU171" s="1"/>
      <c r="TV171" s="1"/>
      <c r="TW171" s="1"/>
      <c r="TX171" s="1"/>
      <c r="TY171" s="1"/>
      <c r="TZ171" s="1"/>
      <c r="UA171" s="1"/>
      <c r="UB171" s="1"/>
      <c r="UC171" s="1"/>
      <c r="UD171" s="1"/>
      <c r="UE171" s="1"/>
      <c r="UF171" s="1"/>
      <c r="UG171" s="1"/>
      <c r="UH171" s="1"/>
      <c r="UI171" s="1"/>
      <c r="UJ171" s="1"/>
      <c r="UK171" s="1"/>
      <c r="UL171" s="1"/>
      <c r="UM171" s="1"/>
      <c r="UN171" s="1"/>
      <c r="UO171" s="1"/>
      <c r="UP171" s="1"/>
      <c r="UQ171" s="1"/>
      <c r="UR171" s="1"/>
      <c r="US171" s="1"/>
      <c r="UT171" s="1"/>
      <c r="UU171" s="1"/>
      <c r="UV171" s="1"/>
      <c r="UW171" s="1"/>
      <c r="UX171" s="1"/>
      <c r="UY171" s="1"/>
      <c r="UZ171" s="1"/>
      <c r="VA171" s="1"/>
      <c r="VB171" s="1"/>
      <c r="VC171" s="1"/>
      <c r="VD171" s="1"/>
      <c r="VE171" s="1"/>
      <c r="VF171" s="1"/>
      <c r="VG171" s="1"/>
      <c r="VH171" s="1"/>
      <c r="VI171" s="1"/>
      <c r="VJ171" s="1"/>
      <c r="VK171" s="1"/>
      <c r="VL171" s="1"/>
      <c r="VM171" s="1"/>
      <c r="VN171" s="1"/>
      <c r="VO171" s="1"/>
      <c r="VP171" s="1"/>
      <c r="VQ171" s="1"/>
      <c r="VR171" s="1"/>
      <c r="VS171" s="1"/>
      <c r="VT171" s="1"/>
      <c r="VU171" s="1"/>
      <c r="VV171" s="1"/>
      <c r="VW171" s="1"/>
      <c r="VX171" s="1"/>
      <c r="VY171" s="1"/>
      <c r="VZ171" s="1"/>
      <c r="WA171" s="1"/>
      <c r="WB171" s="1"/>
      <c r="WC171" s="1"/>
      <c r="WD171" s="1"/>
      <c r="WE171" s="1"/>
      <c r="WF171" s="1"/>
      <c r="WG171" s="1"/>
      <c r="WH171" s="1"/>
      <c r="WI171" s="1"/>
      <c r="WJ171" s="1"/>
      <c r="WK171" s="1"/>
      <c r="WL171" s="1"/>
      <c r="WM171" s="1"/>
      <c r="WN171" s="1"/>
      <c r="WO171" s="1"/>
      <c r="WP171" s="1"/>
      <c r="WQ171" s="1"/>
      <c r="WR171" s="1"/>
      <c r="WS171" s="1"/>
      <c r="WT171" s="1"/>
      <c r="WU171" s="1"/>
      <c r="WV171" s="1"/>
      <c r="WW171" s="1"/>
      <c r="WX171" s="1"/>
      <c r="WY171" s="1"/>
      <c r="WZ171" s="1"/>
      <c r="XA171" s="1"/>
      <c r="XB171" s="1"/>
      <c r="XC171" s="1"/>
      <c r="XD171" s="1"/>
      <c r="XE171" s="1"/>
      <c r="XF171" s="1"/>
      <c r="XG171" s="1"/>
      <c r="XH171" s="1"/>
      <c r="XI171" s="1"/>
      <c r="XJ171" s="1"/>
      <c r="XK171" s="1"/>
      <c r="XL171" s="1"/>
      <c r="XM171" s="1"/>
      <c r="XN171" s="1"/>
      <c r="XO171" s="1"/>
      <c r="XP171" s="1"/>
      <c r="XQ171" s="1"/>
      <c r="XR171" s="1"/>
      <c r="XS171" s="1"/>
      <c r="XT171" s="1"/>
      <c r="XU171" s="1"/>
      <c r="XV171" s="1"/>
      <c r="XW171" s="1"/>
      <c r="XX171" s="1"/>
      <c r="XY171" s="1"/>
      <c r="XZ171" s="1"/>
      <c r="YA171" s="1"/>
      <c r="YB171" s="1"/>
      <c r="YC171" s="1"/>
      <c r="YD171" s="1"/>
      <c r="YE171" s="1"/>
      <c r="YF171" s="1"/>
      <c r="YG171" s="1"/>
      <c r="YH171" s="1"/>
      <c r="YI171" s="1"/>
      <c r="YJ171" s="1"/>
      <c r="YK171" s="1"/>
      <c r="YL171" s="1"/>
      <c r="YM171" s="1"/>
      <c r="YN171" s="1"/>
      <c r="YO171" s="1"/>
      <c r="YP171" s="1"/>
      <c r="YQ171" s="1"/>
      <c r="YR171" s="1"/>
      <c r="YS171" s="1"/>
      <c r="YT171" s="1"/>
      <c r="YU171" s="1"/>
      <c r="YV171" s="1"/>
      <c r="YW171" s="1"/>
      <c r="YX171" s="1"/>
      <c r="YY171" s="1"/>
      <c r="YZ171" s="1"/>
      <c r="ZA171" s="1"/>
      <c r="ZB171" s="1"/>
      <c r="ZC171" s="1"/>
      <c r="ZD171" s="1"/>
      <c r="ZE171" s="1"/>
      <c r="ZF171" s="1"/>
      <c r="ZG171" s="1"/>
      <c r="ZH171" s="1"/>
      <c r="ZI171" s="1"/>
      <c r="ZJ171" s="1"/>
      <c r="ZK171" s="1"/>
      <c r="ZL171" s="1"/>
      <c r="ZM171" s="1"/>
      <c r="ZN171" s="1"/>
      <c r="ZO171" s="1"/>
      <c r="ZP171" s="1"/>
      <c r="ZQ171" s="1"/>
      <c r="ZR171" s="1"/>
      <c r="ZS171" s="1"/>
      <c r="ZT171" s="1"/>
      <c r="ZU171" s="1"/>
      <c r="ZV171" s="1"/>
      <c r="ZW171" s="1"/>
      <c r="ZX171" s="1"/>
      <c r="ZY171" s="1"/>
      <c r="ZZ171" s="1"/>
      <c r="AAA171" s="1"/>
      <c r="AAB171" s="1"/>
      <c r="AAC171" s="1"/>
      <c r="AAD171" s="1"/>
      <c r="AAE171" s="1"/>
      <c r="AAF171" s="1"/>
      <c r="AAG171" s="1"/>
      <c r="AAH171" s="1"/>
      <c r="AAI171" s="1"/>
      <c r="AAJ171" s="1"/>
      <c r="AAK171" s="1"/>
      <c r="AAL171" s="1"/>
      <c r="AAM171" s="1"/>
      <c r="AAN171" s="1"/>
      <c r="AAO171" s="1"/>
      <c r="AAP171" s="1"/>
      <c r="AAQ171" s="1"/>
      <c r="AAR171" s="1"/>
      <c r="AAS171" s="1"/>
      <c r="AAT171" s="1"/>
      <c r="AAU171" s="1"/>
      <c r="AAV171" s="1"/>
      <c r="AAW171" s="1"/>
      <c r="AAX171" s="1"/>
      <c r="AAY171" s="1"/>
      <c r="AAZ171" s="1"/>
      <c r="ABA171" s="1"/>
      <c r="ABB171" s="1"/>
      <c r="ABC171" s="1"/>
      <c r="ABD171" s="1"/>
      <c r="ABE171" s="1"/>
      <c r="ABF171" s="1"/>
      <c r="ABG171" s="1"/>
      <c r="ABH171" s="1"/>
      <c r="ABI171" s="1"/>
      <c r="ABJ171" s="1"/>
      <c r="ABK171" s="1"/>
      <c r="ABL171" s="1"/>
      <c r="ABM171" s="1"/>
      <c r="ABN171" s="1"/>
      <c r="ABO171" s="1"/>
      <c r="ABP171" s="1"/>
      <c r="ABQ171" s="1"/>
      <c r="ABR171" s="1"/>
      <c r="ABS171" s="1"/>
      <c r="ABT171" s="1"/>
      <c r="ABU171" s="1"/>
      <c r="ABV171" s="1"/>
      <c r="ABW171" s="1"/>
      <c r="ABX171" s="1"/>
      <c r="ABY171" s="1"/>
      <c r="ABZ171" s="1"/>
      <c r="ACA171" s="1"/>
      <c r="ACB171" s="1"/>
      <c r="ACC171" s="1"/>
      <c r="ACD171" s="1"/>
      <c r="ACE171" s="1"/>
      <c r="ACF171" s="1"/>
      <c r="ACG171" s="1"/>
      <c r="ACH171" s="1"/>
      <c r="ACI171" s="1"/>
      <c r="ACJ171" s="1"/>
      <c r="ACK171" s="1"/>
      <c r="ACL171" s="1"/>
      <c r="ACM171" s="1"/>
      <c r="ACN171" s="1"/>
      <c r="ACO171" s="1"/>
      <c r="ACP171" s="1"/>
      <c r="ACQ171" s="1"/>
      <c r="ACR171" s="1"/>
      <c r="ACS171" s="1"/>
      <c r="ACT171" s="1"/>
      <c r="ACU171" s="1"/>
      <c r="ACV171" s="1"/>
      <c r="ACW171" s="1"/>
      <c r="ACX171" s="1"/>
      <c r="ACY171" s="1"/>
      <c r="ACZ171" s="1"/>
      <c r="ADA171" s="1"/>
      <c r="ADB171" s="1"/>
      <c r="ADC171" s="1"/>
      <c r="ADD171" s="1"/>
      <c r="ADE171" s="1"/>
      <c r="ADF171" s="1"/>
      <c r="ADG171" s="1"/>
      <c r="ADH171" s="1"/>
      <c r="ADI171" s="1"/>
      <c r="ADJ171" s="1"/>
      <c r="ADK171" s="1"/>
      <c r="ADL171" s="1"/>
      <c r="ADM171" s="1"/>
      <c r="ADN171" s="1"/>
      <c r="ADO171" s="1"/>
      <c r="ADP171" s="1"/>
      <c r="ADQ171" s="1"/>
      <c r="ADR171" s="1"/>
      <c r="ADS171" s="1"/>
      <c r="ADT171" s="1"/>
      <c r="ADU171" s="1"/>
      <c r="ADV171" s="1"/>
      <c r="ADW171" s="1"/>
      <c r="ADX171" s="1"/>
      <c r="ADY171" s="1"/>
      <c r="ADZ171" s="1"/>
      <c r="AEA171" s="1"/>
      <c r="AEB171" s="1"/>
      <c r="AEC171" s="1"/>
      <c r="AED171" s="1"/>
      <c r="AEE171" s="1"/>
      <c r="AEF171" s="1"/>
      <c r="AEG171" s="1"/>
      <c r="AEH171" s="1"/>
      <c r="AEI171" s="1"/>
      <c r="AEJ171" s="1"/>
      <c r="AEK171" s="1"/>
      <c r="AEL171" s="1"/>
      <c r="AEM171" s="1"/>
      <c r="AEN171" s="1"/>
      <c r="AEO171" s="1"/>
      <c r="AEP171" s="1"/>
      <c r="AEQ171" s="1"/>
      <c r="AER171" s="1"/>
      <c r="AES171" s="1"/>
      <c r="AET171" s="1"/>
      <c r="AEU171" s="1"/>
      <c r="AEV171" s="1"/>
      <c r="AEW171" s="1"/>
      <c r="AEX171" s="1"/>
      <c r="AEY171" s="1"/>
      <c r="AEZ171" s="1"/>
      <c r="AFA171" s="1"/>
      <c r="AFB171" s="1"/>
      <c r="AFC171" s="1"/>
      <c r="AFD171" s="1"/>
      <c r="AFE171" s="1"/>
      <c r="AFF171" s="1"/>
      <c r="AFG171" s="1"/>
      <c r="AFH171" s="1"/>
      <c r="AFI171" s="1"/>
      <c r="AFJ171" s="1"/>
      <c r="AFK171" s="1"/>
      <c r="AFL171" s="1"/>
      <c r="AFM171" s="1"/>
      <c r="AFN171" s="1"/>
      <c r="AFO171" s="1"/>
      <c r="AFP171" s="1"/>
      <c r="AFQ171" s="1"/>
      <c r="AFR171" s="1"/>
      <c r="AFS171" s="1"/>
      <c r="AFT171" s="1"/>
      <c r="AFU171" s="1"/>
      <c r="AFV171" s="1"/>
      <c r="AFW171" s="1"/>
      <c r="AFX171" s="1"/>
      <c r="AFY171" s="1"/>
      <c r="AFZ171" s="1"/>
      <c r="AGA171" s="1"/>
      <c r="AGB171" s="1"/>
      <c r="AGC171" s="1"/>
      <c r="AGD171" s="1"/>
      <c r="AGE171" s="1"/>
      <c r="AGF171" s="1"/>
      <c r="AGG171" s="1"/>
      <c r="AGH171" s="1"/>
      <c r="AGI171" s="1"/>
      <c r="AGJ171" s="1"/>
      <c r="AGK171" s="1"/>
      <c r="AGL171" s="1"/>
      <c r="AGM171" s="1"/>
      <c r="AGN171" s="1"/>
      <c r="AGO171" s="1"/>
      <c r="AGP171" s="1"/>
      <c r="AGQ171" s="1"/>
      <c r="AGR171" s="1"/>
      <c r="AGS171" s="1"/>
      <c r="AGT171" s="1"/>
      <c r="AGU171" s="1"/>
      <c r="AGV171" s="1"/>
      <c r="AGW171" s="1"/>
      <c r="AGX171" s="1"/>
      <c r="AGY171" s="1"/>
      <c r="AGZ171" s="1"/>
      <c r="AHA171" s="1"/>
      <c r="AHB171" s="1"/>
      <c r="AHC171" s="1"/>
      <c r="AHD171" s="1"/>
      <c r="AHE171" s="1"/>
      <c r="AHF171" s="1"/>
      <c r="AHG171" s="1"/>
      <c r="AHH171" s="1"/>
      <c r="AHI171" s="1"/>
      <c r="AHJ171" s="1"/>
      <c r="AHK171" s="1"/>
      <c r="AHL171" s="1"/>
      <c r="AHM171" s="1"/>
      <c r="AHN171" s="1"/>
      <c r="AHO171" s="1"/>
      <c r="AHP171" s="1"/>
      <c r="AHQ171" s="1"/>
      <c r="AHR171" s="1"/>
      <c r="AHS171" s="1"/>
      <c r="AHT171" s="1"/>
      <c r="AHU171" s="1"/>
      <c r="AHV171" s="1"/>
      <c r="AHW171" s="1"/>
      <c r="AHX171" s="1"/>
      <c r="AHY171" s="1"/>
      <c r="AHZ171" s="1"/>
      <c r="AIA171" s="1"/>
      <c r="AIB171" s="1"/>
      <c r="AIC171" s="1"/>
      <c r="AID171" s="1"/>
      <c r="AIE171" s="1"/>
      <c r="AIF171" s="1"/>
      <c r="AIG171" s="1"/>
      <c r="AIH171" s="1"/>
      <c r="AII171" s="1"/>
      <c r="AIJ171" s="1"/>
      <c r="AIK171" s="1"/>
      <c r="AIL171" s="1"/>
      <c r="AIM171" s="1"/>
      <c r="AIN171" s="1"/>
      <c r="AIO171" s="1"/>
      <c r="AIP171" s="1"/>
      <c r="AIQ171" s="1"/>
      <c r="AIR171" s="1"/>
      <c r="AIS171" s="1"/>
      <c r="AIT171" s="1"/>
      <c r="AIU171" s="1"/>
      <c r="AIV171" s="1"/>
      <c r="AIW171" s="1"/>
      <c r="AIX171" s="1"/>
      <c r="AIY171" s="1"/>
      <c r="AIZ171" s="1"/>
      <c r="AJA171" s="1"/>
      <c r="AJB171" s="1"/>
      <c r="AJC171" s="1"/>
      <c r="AJD171" s="1"/>
      <c r="AJE171" s="1"/>
      <c r="AJF171" s="1"/>
      <c r="AJG171" s="1"/>
      <c r="AJH171" s="1"/>
      <c r="AJI171" s="1"/>
      <c r="AJJ171" s="1"/>
      <c r="AJK171" s="1"/>
      <c r="AJL171" s="1"/>
      <c r="AJM171" s="1"/>
      <c r="AJN171" s="1"/>
      <c r="AJO171" s="1"/>
      <c r="AJP171" s="1"/>
      <c r="AJQ171" s="1"/>
      <c r="AJR171" s="1"/>
      <c r="AJS171" s="1"/>
      <c r="AJT171" s="1"/>
      <c r="AJU171" s="1"/>
      <c r="AJV171" s="1"/>
      <c r="AJW171" s="1"/>
      <c r="AJX171" s="1"/>
      <c r="AJY171" s="1"/>
      <c r="AJZ171" s="1"/>
      <c r="AKA171" s="1"/>
      <c r="AKB171" s="1"/>
      <c r="AKC171" s="1"/>
      <c r="AKD171" s="1"/>
      <c r="AKE171" s="1"/>
      <c r="AKF171" s="1"/>
      <c r="AKG171" s="1"/>
      <c r="AKH171" s="1"/>
      <c r="AKI171" s="1"/>
      <c r="AKJ171" s="1"/>
      <c r="AKK171" s="1"/>
      <c r="AKL171" s="1"/>
      <c r="AKM171" s="1"/>
      <c r="AKN171" s="1"/>
      <c r="AKO171" s="1"/>
      <c r="AKP171" s="1"/>
      <c r="AKQ171" s="1"/>
      <c r="AKR171" s="1"/>
      <c r="AKS171" s="1"/>
      <c r="AKT171" s="1"/>
      <c r="AKU171" s="1"/>
      <c r="AKV171" s="1"/>
      <c r="AKW171" s="1"/>
      <c r="AKX171" s="1"/>
      <c r="AKY171" s="1"/>
      <c r="AKZ171" s="1"/>
      <c r="ALA171" s="1"/>
      <c r="ALB171" s="1"/>
      <c r="ALC171" s="1"/>
      <c r="ALD171" s="1"/>
      <c r="ALE171" s="1"/>
      <c r="ALF171" s="1"/>
      <c r="ALG171" s="1"/>
      <c r="ALH171" s="1"/>
      <c r="ALI171" s="1"/>
      <c r="ALJ171" s="1"/>
      <c r="ALK171" s="1"/>
      <c r="ALL171" s="1"/>
      <c r="ALM171" s="1"/>
      <c r="ALN171" s="1"/>
      <c r="ALO171" s="1"/>
      <c r="ALP171" s="1"/>
      <c r="ALQ171" s="1"/>
      <c r="ALR171" s="1"/>
      <c r="ALS171" s="1"/>
      <c r="ALT171" s="1"/>
      <c r="ALU171" s="1"/>
      <c r="ALV171" s="1"/>
      <c r="ALW171" s="1"/>
      <c r="ALX171" s="1"/>
      <c r="ALY171" s="1"/>
      <c r="ALZ171" s="1"/>
      <c r="AMA171" s="1"/>
      <c r="AMB171" s="1"/>
      <c r="AMC171" s="1"/>
      <c r="AMD171" s="1"/>
      <c r="AME171" s="1"/>
      <c r="AMF171" s="1"/>
      <c r="AMG171" s="1"/>
      <c r="AMH171" s="1"/>
      <c r="AMI171" s="1"/>
      <c r="AMJ171" s="1"/>
    </row>
    <row r="172" customFormat="false" ht="10.5" hidden="false" customHeight="true" outlineLevel="0" collapsed="false">
      <c r="A172" s="134" t="s">
        <v>268</v>
      </c>
      <c r="B172" s="134"/>
      <c r="C172" s="134"/>
      <c r="D172" s="134"/>
      <c r="E172" s="134"/>
      <c r="F172" s="219" t="s">
        <v>299</v>
      </c>
      <c r="G172" s="219"/>
      <c r="H172" s="219"/>
      <c r="I172" s="219"/>
      <c r="J172" s="219"/>
      <c r="K172" s="219"/>
      <c r="L172" s="219"/>
      <c r="M172" s="219"/>
      <c r="N172" s="219"/>
      <c r="O172" s="219"/>
      <c r="P172" s="219" t="s">
        <v>300</v>
      </c>
      <c r="Q172" s="219"/>
      <c r="R172" s="219"/>
      <c r="S172" s="219"/>
      <c r="T172" s="219"/>
      <c r="U172" s="219"/>
      <c r="V172" s="219"/>
      <c r="W172" s="219"/>
      <c r="X172" s="219"/>
      <c r="Y172" s="219"/>
      <c r="Z172" s="219" t="s">
        <v>301</v>
      </c>
      <c r="AA172" s="219"/>
      <c r="AB172" s="219"/>
      <c r="AC172" s="219"/>
      <c r="AD172" s="219" t="s">
        <v>302</v>
      </c>
      <c r="AE172" s="219"/>
      <c r="AF172" s="219"/>
      <c r="AG172" s="220" t="s">
        <v>303</v>
      </c>
      <c r="AH172" s="220"/>
      <c r="AI172" s="220"/>
      <c r="AJ172" s="220"/>
      <c r="AK172" s="220"/>
      <c r="AL172" s="220"/>
      <c r="AM172" s="220"/>
      <c r="AN172" s="220"/>
      <c r="AO172" s="220"/>
      <c r="BE172" s="1"/>
      <c r="BF172" s="1"/>
      <c r="BG172" s="1"/>
      <c r="BH172" s="1"/>
      <c r="BI172" s="1"/>
      <c r="BJ172" s="1"/>
      <c r="BK172" s="1"/>
      <c r="BL172" s="1"/>
      <c r="BM172" s="1"/>
      <c r="BN172" s="1"/>
      <c r="BO172" s="1"/>
      <c r="BP172" s="1"/>
      <c r="BQ172" s="1"/>
      <c r="BR172" s="1"/>
      <c r="BS172" s="1"/>
      <c r="BT172" s="1"/>
      <c r="BU172" s="1"/>
      <c r="BV172" s="1"/>
      <c r="BW172" s="1"/>
      <c r="BX172" s="1"/>
      <c r="BY172" s="1"/>
      <c r="BZ172" s="1"/>
      <c r="CA172" s="1"/>
      <c r="CB172" s="1"/>
      <c r="CC172" s="1"/>
      <c r="CD172" s="1"/>
      <c r="CE172" s="1"/>
      <c r="CF172" s="1"/>
      <c r="CG172" s="1"/>
      <c r="CH172" s="1"/>
      <c r="CI172" s="1"/>
      <c r="CJ172" s="1"/>
      <c r="CK172" s="1"/>
      <c r="CL172" s="1"/>
      <c r="CM172" s="1"/>
      <c r="CN172" s="1"/>
      <c r="CO172" s="1"/>
      <c r="CP172" s="1"/>
      <c r="CQ172" s="1"/>
      <c r="CR172" s="1"/>
      <c r="CS172" s="1"/>
      <c r="CT172" s="1"/>
      <c r="CU172" s="1"/>
      <c r="CV172" s="1"/>
      <c r="CW172" s="1"/>
      <c r="CX172" s="1"/>
      <c r="CY172" s="1"/>
      <c r="CZ172" s="1"/>
      <c r="DA172" s="1"/>
      <c r="DB172" s="1"/>
      <c r="DC172" s="1"/>
      <c r="DD172" s="1"/>
      <c r="DE172" s="1"/>
      <c r="DF172" s="1"/>
      <c r="DG172" s="1"/>
      <c r="DH172" s="1"/>
      <c r="DI172" s="1"/>
      <c r="DJ172" s="1"/>
      <c r="DK172" s="1"/>
      <c r="DL172" s="1"/>
      <c r="DM172" s="1"/>
      <c r="DN172" s="1"/>
      <c r="DO172" s="1"/>
      <c r="DP172" s="1"/>
      <c r="DQ172" s="1"/>
      <c r="DR172" s="1"/>
      <c r="DS172" s="1"/>
      <c r="DT172" s="1"/>
      <c r="DU172" s="1"/>
      <c r="DV172" s="1"/>
      <c r="DW172" s="1"/>
      <c r="DX172" s="1"/>
      <c r="DY172" s="1"/>
      <c r="DZ172" s="1"/>
      <c r="EA172" s="1"/>
      <c r="EB172" s="1"/>
      <c r="EC172" s="1"/>
      <c r="ED172" s="1"/>
      <c r="EE172" s="1"/>
      <c r="EF172" s="1"/>
      <c r="EG172" s="1"/>
      <c r="EH172" s="1"/>
      <c r="EI172" s="1"/>
      <c r="EJ172" s="1"/>
      <c r="EK172" s="1"/>
      <c r="EL172" s="1"/>
      <c r="EM172" s="1"/>
      <c r="EN172" s="1"/>
      <c r="EO172" s="1"/>
      <c r="EP172" s="1"/>
      <c r="EQ172" s="1"/>
      <c r="ER172" s="1"/>
      <c r="ES172" s="1"/>
      <c r="ET172" s="1"/>
      <c r="EU172" s="1"/>
      <c r="EV172" s="1"/>
      <c r="EW172" s="1"/>
      <c r="EX172" s="1"/>
      <c r="EY172" s="1"/>
      <c r="EZ172" s="1"/>
      <c r="FA172" s="1"/>
      <c r="FB172" s="1"/>
      <c r="FC172" s="1"/>
      <c r="FD172" s="1"/>
      <c r="FE172" s="1"/>
      <c r="FF172" s="1"/>
      <c r="FG172" s="1"/>
      <c r="FH172" s="1"/>
      <c r="FI172" s="1"/>
      <c r="FJ172" s="1"/>
      <c r="FK172" s="1"/>
      <c r="FL172" s="1"/>
      <c r="FM172" s="1"/>
      <c r="FN172" s="1"/>
      <c r="FO172" s="1"/>
      <c r="FP172" s="1"/>
      <c r="FQ172" s="1"/>
      <c r="FR172" s="1"/>
      <c r="FS172" s="1"/>
      <c r="FT172" s="1"/>
      <c r="FU172" s="1"/>
      <c r="FV172" s="1"/>
      <c r="FW172" s="1"/>
      <c r="FX172" s="1"/>
      <c r="FY172" s="1"/>
      <c r="FZ172" s="1"/>
      <c r="GA172" s="1"/>
      <c r="GB172" s="1"/>
      <c r="GC172" s="1"/>
      <c r="GD172" s="1"/>
      <c r="GE172" s="1"/>
      <c r="GF172" s="1"/>
      <c r="GG172" s="1"/>
      <c r="GH172" s="1"/>
      <c r="GI172" s="1"/>
      <c r="GJ172" s="1"/>
      <c r="GK172" s="1"/>
      <c r="GL172" s="1"/>
      <c r="GM172" s="1"/>
      <c r="GN172" s="1"/>
      <c r="GO172" s="1"/>
      <c r="GP172" s="1"/>
      <c r="GQ172" s="1"/>
      <c r="GR172" s="1"/>
      <c r="GS172" s="1"/>
      <c r="GT172" s="1"/>
      <c r="GU172" s="1"/>
      <c r="GV172" s="1"/>
      <c r="GW172" s="1"/>
      <c r="GX172" s="1"/>
      <c r="GY172" s="1"/>
      <c r="GZ172" s="1"/>
      <c r="HA172" s="1"/>
      <c r="HB172" s="1"/>
      <c r="HC172" s="1"/>
      <c r="HD172" s="1"/>
      <c r="HE172" s="1"/>
      <c r="HF172" s="1"/>
      <c r="HG172" s="1"/>
      <c r="HH172" s="1"/>
      <c r="HI172" s="1"/>
      <c r="HJ172" s="1"/>
      <c r="HK172" s="1"/>
      <c r="HL172" s="1"/>
      <c r="HM172" s="1"/>
      <c r="HN172" s="1"/>
      <c r="HO172" s="1"/>
      <c r="HP172" s="1"/>
      <c r="HQ172" s="1"/>
      <c r="HR172" s="1"/>
      <c r="HS172" s="1"/>
      <c r="HT172" s="1"/>
      <c r="HU172" s="1"/>
      <c r="HV172" s="1"/>
      <c r="HW172" s="1"/>
      <c r="HX172" s="1"/>
      <c r="HY172" s="1"/>
      <c r="HZ172" s="1"/>
      <c r="IA172" s="1"/>
      <c r="IB172" s="1"/>
      <c r="IC172" s="1"/>
      <c r="ID172" s="1"/>
      <c r="IE172" s="1"/>
      <c r="IF172" s="1"/>
      <c r="IG172" s="1"/>
      <c r="IH172" s="1"/>
      <c r="II172" s="1"/>
      <c r="IJ172" s="1"/>
      <c r="IK172" s="1"/>
      <c r="IL172" s="1"/>
      <c r="IM172" s="1"/>
      <c r="IN172" s="1"/>
      <c r="IO172" s="1"/>
      <c r="IP172" s="1"/>
      <c r="IQ172" s="1"/>
      <c r="IR172" s="1"/>
      <c r="IS172" s="1"/>
      <c r="IT172" s="1"/>
      <c r="IU172" s="1"/>
      <c r="IV172" s="1"/>
      <c r="IW172" s="1"/>
      <c r="IX172" s="1"/>
      <c r="IY172" s="1"/>
      <c r="IZ172" s="1"/>
      <c r="JA172" s="1"/>
      <c r="JB172" s="1"/>
      <c r="JC172" s="1"/>
      <c r="JD172" s="1"/>
      <c r="JE172" s="1"/>
      <c r="JF172" s="1"/>
      <c r="JG172" s="1"/>
      <c r="JH172" s="1"/>
      <c r="JI172" s="1"/>
      <c r="JJ172" s="1"/>
      <c r="JK172" s="1"/>
      <c r="JL172" s="1"/>
      <c r="JM172" s="1"/>
      <c r="JN172" s="1"/>
      <c r="JO172" s="1"/>
      <c r="JP172" s="1"/>
      <c r="JQ172" s="1"/>
      <c r="JR172" s="1"/>
      <c r="JS172" s="1"/>
      <c r="JT172" s="1"/>
      <c r="JU172" s="1"/>
      <c r="JV172" s="1"/>
      <c r="JW172" s="1"/>
      <c r="JX172" s="1"/>
      <c r="JY172" s="1"/>
      <c r="JZ172" s="1"/>
      <c r="KA172" s="1"/>
      <c r="KB172" s="1"/>
      <c r="KC172" s="1"/>
      <c r="KD172" s="1"/>
      <c r="KE172" s="1"/>
      <c r="KF172" s="1"/>
      <c r="KG172" s="1"/>
      <c r="KH172" s="1"/>
      <c r="KI172" s="1"/>
      <c r="KJ172" s="1"/>
      <c r="KK172" s="1"/>
      <c r="KL172" s="1"/>
      <c r="KM172" s="1"/>
      <c r="KN172" s="1"/>
      <c r="KO172" s="1"/>
      <c r="KP172" s="1"/>
      <c r="KQ172" s="1"/>
      <c r="KR172" s="1"/>
      <c r="KS172" s="1"/>
      <c r="KT172" s="1"/>
      <c r="KU172" s="1"/>
      <c r="KV172" s="1"/>
      <c r="KW172" s="1"/>
      <c r="KX172" s="1"/>
      <c r="KY172" s="1"/>
      <c r="KZ172" s="1"/>
      <c r="LA172" s="1"/>
      <c r="LB172" s="1"/>
      <c r="LC172" s="1"/>
      <c r="LD172" s="1"/>
      <c r="LE172" s="1"/>
      <c r="LF172" s="1"/>
      <c r="LG172" s="1"/>
      <c r="LH172" s="1"/>
      <c r="LI172" s="1"/>
      <c r="LJ172" s="1"/>
      <c r="LK172" s="1"/>
      <c r="LL172" s="1"/>
      <c r="LM172" s="1"/>
      <c r="LN172" s="1"/>
      <c r="LO172" s="1"/>
      <c r="LP172" s="1"/>
      <c r="LQ172" s="1"/>
      <c r="LR172" s="1"/>
      <c r="LS172" s="1"/>
      <c r="LT172" s="1"/>
      <c r="LU172" s="1"/>
      <c r="LV172" s="1"/>
      <c r="LW172" s="1"/>
      <c r="LX172" s="1"/>
      <c r="LY172" s="1"/>
      <c r="LZ172" s="1"/>
      <c r="MA172" s="1"/>
      <c r="MB172" s="1"/>
      <c r="MC172" s="1"/>
      <c r="MD172" s="1"/>
      <c r="ME172" s="1"/>
      <c r="MF172" s="1"/>
      <c r="MG172" s="1"/>
      <c r="MH172" s="1"/>
      <c r="MI172" s="1"/>
      <c r="MJ172" s="1"/>
      <c r="MK172" s="1"/>
      <c r="ML172" s="1"/>
      <c r="MM172" s="1"/>
      <c r="MN172" s="1"/>
      <c r="MO172" s="1"/>
      <c r="MP172" s="1"/>
      <c r="MQ172" s="1"/>
      <c r="MR172" s="1"/>
      <c r="MS172" s="1"/>
      <c r="MT172" s="1"/>
      <c r="MU172" s="1"/>
      <c r="MV172" s="1"/>
      <c r="MW172" s="1"/>
      <c r="MX172" s="1"/>
      <c r="MY172" s="1"/>
      <c r="MZ172" s="1"/>
      <c r="NA172" s="1"/>
      <c r="NB172" s="1"/>
      <c r="NC172" s="1"/>
      <c r="ND172" s="1"/>
      <c r="NE172" s="1"/>
      <c r="NF172" s="1"/>
      <c r="NG172" s="1"/>
      <c r="NH172" s="1"/>
      <c r="NI172" s="1"/>
      <c r="NJ172" s="1"/>
      <c r="NK172" s="1"/>
      <c r="NL172" s="1"/>
      <c r="NM172" s="1"/>
      <c r="NN172" s="1"/>
      <c r="NO172" s="1"/>
      <c r="NP172" s="1"/>
      <c r="NQ172" s="1"/>
      <c r="NR172" s="1"/>
      <c r="NS172" s="1"/>
      <c r="NT172" s="1"/>
      <c r="NU172" s="1"/>
      <c r="NV172" s="1"/>
      <c r="NW172" s="1"/>
      <c r="NX172" s="1"/>
      <c r="NY172" s="1"/>
      <c r="NZ172" s="1"/>
      <c r="OA172" s="1"/>
      <c r="OB172" s="1"/>
      <c r="OC172" s="1"/>
      <c r="OD172" s="1"/>
      <c r="OE172" s="1"/>
      <c r="OF172" s="1"/>
      <c r="OG172" s="1"/>
      <c r="OH172" s="1"/>
      <c r="OI172" s="1"/>
      <c r="OJ172" s="1"/>
      <c r="OK172" s="1"/>
      <c r="OL172" s="1"/>
      <c r="OM172" s="1"/>
      <c r="ON172" s="1"/>
      <c r="OO172" s="1"/>
      <c r="OP172" s="1"/>
      <c r="OQ172" s="1"/>
      <c r="OR172" s="1"/>
      <c r="OS172" s="1"/>
      <c r="OT172" s="1"/>
      <c r="OU172" s="1"/>
      <c r="OV172" s="1"/>
      <c r="OW172" s="1"/>
      <c r="OX172" s="1"/>
      <c r="OY172" s="1"/>
      <c r="OZ172" s="1"/>
      <c r="PA172" s="1"/>
      <c r="PB172" s="1"/>
      <c r="PC172" s="1"/>
      <c r="PD172" s="1"/>
      <c r="PE172" s="1"/>
      <c r="PF172" s="1"/>
      <c r="PG172" s="1"/>
      <c r="PH172" s="1"/>
      <c r="PI172" s="1"/>
      <c r="PJ172" s="1"/>
      <c r="PK172" s="1"/>
      <c r="PL172" s="1"/>
      <c r="PM172" s="1"/>
      <c r="PN172" s="1"/>
      <c r="PO172" s="1"/>
      <c r="PP172" s="1"/>
      <c r="PQ172" s="1"/>
      <c r="PR172" s="1"/>
      <c r="PS172" s="1"/>
      <c r="PT172" s="1"/>
      <c r="PU172" s="1"/>
      <c r="PV172" s="1"/>
      <c r="PW172" s="1"/>
      <c r="PX172" s="1"/>
      <c r="PY172" s="1"/>
      <c r="PZ172" s="1"/>
      <c r="QA172" s="1"/>
      <c r="QB172" s="1"/>
      <c r="QC172" s="1"/>
      <c r="QD172" s="1"/>
      <c r="QE172" s="1"/>
      <c r="QF172" s="1"/>
      <c r="QG172" s="1"/>
      <c r="QH172" s="1"/>
      <c r="QI172" s="1"/>
      <c r="QJ172" s="1"/>
      <c r="QK172" s="1"/>
      <c r="QL172" s="1"/>
      <c r="QM172" s="1"/>
      <c r="QN172" s="1"/>
      <c r="QO172" s="1"/>
      <c r="QP172" s="1"/>
      <c r="QQ172" s="1"/>
      <c r="QR172" s="1"/>
      <c r="QS172" s="1"/>
      <c r="QT172" s="1"/>
      <c r="QU172" s="1"/>
      <c r="QV172" s="1"/>
      <c r="QW172" s="1"/>
      <c r="QX172" s="1"/>
      <c r="QY172" s="1"/>
      <c r="QZ172" s="1"/>
      <c r="RA172" s="1"/>
      <c r="RB172" s="1"/>
      <c r="RC172" s="1"/>
      <c r="RD172" s="1"/>
      <c r="RE172" s="1"/>
      <c r="RF172" s="1"/>
      <c r="RG172" s="1"/>
      <c r="RH172" s="1"/>
      <c r="RI172" s="1"/>
      <c r="RJ172" s="1"/>
      <c r="RK172" s="1"/>
      <c r="RL172" s="1"/>
      <c r="RM172" s="1"/>
      <c r="RN172" s="1"/>
      <c r="RO172" s="1"/>
      <c r="RP172" s="1"/>
      <c r="RQ172" s="1"/>
      <c r="RR172" s="1"/>
      <c r="RS172" s="1"/>
      <c r="RT172" s="1"/>
      <c r="RU172" s="1"/>
      <c r="RV172" s="1"/>
      <c r="RW172" s="1"/>
      <c r="RX172" s="1"/>
      <c r="RY172" s="1"/>
      <c r="RZ172" s="1"/>
      <c r="SA172" s="1"/>
      <c r="SB172" s="1"/>
      <c r="SC172" s="1"/>
      <c r="SD172" s="1"/>
      <c r="SE172" s="1"/>
      <c r="SF172" s="1"/>
      <c r="SG172" s="1"/>
      <c r="SH172" s="1"/>
      <c r="SI172" s="1"/>
      <c r="SJ172" s="1"/>
      <c r="SK172" s="1"/>
      <c r="SL172" s="1"/>
      <c r="SM172" s="1"/>
      <c r="SN172" s="1"/>
      <c r="SO172" s="1"/>
      <c r="SP172" s="1"/>
      <c r="SQ172" s="1"/>
      <c r="SR172" s="1"/>
      <c r="SS172" s="1"/>
      <c r="ST172" s="1"/>
      <c r="SU172" s="1"/>
      <c r="SV172" s="1"/>
      <c r="SW172" s="1"/>
      <c r="SX172" s="1"/>
      <c r="SY172" s="1"/>
      <c r="SZ172" s="1"/>
      <c r="TA172" s="1"/>
      <c r="TB172" s="1"/>
      <c r="TC172" s="1"/>
      <c r="TD172" s="1"/>
      <c r="TE172" s="1"/>
      <c r="TF172" s="1"/>
      <c r="TG172" s="1"/>
      <c r="TH172" s="1"/>
      <c r="TI172" s="1"/>
      <c r="TJ172" s="1"/>
      <c r="TK172" s="1"/>
      <c r="TL172" s="1"/>
      <c r="TM172" s="1"/>
      <c r="TN172" s="1"/>
      <c r="TO172" s="1"/>
      <c r="TP172" s="1"/>
      <c r="TQ172" s="1"/>
      <c r="TR172" s="1"/>
      <c r="TS172" s="1"/>
      <c r="TT172" s="1"/>
      <c r="TU172" s="1"/>
      <c r="TV172" s="1"/>
      <c r="TW172" s="1"/>
      <c r="TX172" s="1"/>
      <c r="TY172" s="1"/>
      <c r="TZ172" s="1"/>
      <c r="UA172" s="1"/>
      <c r="UB172" s="1"/>
      <c r="UC172" s="1"/>
      <c r="UD172" s="1"/>
      <c r="UE172" s="1"/>
      <c r="UF172" s="1"/>
      <c r="UG172" s="1"/>
      <c r="UH172" s="1"/>
      <c r="UI172" s="1"/>
      <c r="UJ172" s="1"/>
      <c r="UK172" s="1"/>
      <c r="UL172" s="1"/>
      <c r="UM172" s="1"/>
      <c r="UN172" s="1"/>
      <c r="UO172" s="1"/>
      <c r="UP172" s="1"/>
      <c r="UQ172" s="1"/>
      <c r="UR172" s="1"/>
      <c r="US172" s="1"/>
      <c r="UT172" s="1"/>
      <c r="UU172" s="1"/>
      <c r="UV172" s="1"/>
      <c r="UW172" s="1"/>
      <c r="UX172" s="1"/>
      <c r="UY172" s="1"/>
      <c r="UZ172" s="1"/>
      <c r="VA172" s="1"/>
      <c r="VB172" s="1"/>
      <c r="VC172" s="1"/>
      <c r="VD172" s="1"/>
      <c r="VE172" s="1"/>
      <c r="VF172" s="1"/>
      <c r="VG172" s="1"/>
      <c r="VH172" s="1"/>
      <c r="VI172" s="1"/>
      <c r="VJ172" s="1"/>
      <c r="VK172" s="1"/>
      <c r="VL172" s="1"/>
      <c r="VM172" s="1"/>
      <c r="VN172" s="1"/>
      <c r="VO172" s="1"/>
      <c r="VP172" s="1"/>
      <c r="VQ172" s="1"/>
      <c r="VR172" s="1"/>
      <c r="VS172" s="1"/>
      <c r="VT172" s="1"/>
      <c r="VU172" s="1"/>
      <c r="VV172" s="1"/>
      <c r="VW172" s="1"/>
      <c r="VX172" s="1"/>
      <c r="VY172" s="1"/>
      <c r="VZ172" s="1"/>
      <c r="WA172" s="1"/>
      <c r="WB172" s="1"/>
      <c r="WC172" s="1"/>
      <c r="WD172" s="1"/>
      <c r="WE172" s="1"/>
      <c r="WF172" s="1"/>
      <c r="WG172" s="1"/>
      <c r="WH172" s="1"/>
      <c r="WI172" s="1"/>
      <c r="WJ172" s="1"/>
      <c r="WK172" s="1"/>
      <c r="WL172" s="1"/>
      <c r="WM172" s="1"/>
      <c r="WN172" s="1"/>
      <c r="WO172" s="1"/>
      <c r="WP172" s="1"/>
      <c r="WQ172" s="1"/>
      <c r="WR172" s="1"/>
      <c r="WS172" s="1"/>
      <c r="WT172" s="1"/>
      <c r="WU172" s="1"/>
      <c r="WV172" s="1"/>
      <c r="WW172" s="1"/>
      <c r="WX172" s="1"/>
      <c r="WY172" s="1"/>
      <c r="WZ172" s="1"/>
      <c r="XA172" s="1"/>
      <c r="XB172" s="1"/>
      <c r="XC172" s="1"/>
      <c r="XD172" s="1"/>
      <c r="XE172" s="1"/>
      <c r="XF172" s="1"/>
      <c r="XG172" s="1"/>
      <c r="XH172" s="1"/>
      <c r="XI172" s="1"/>
      <c r="XJ172" s="1"/>
      <c r="XK172" s="1"/>
      <c r="XL172" s="1"/>
      <c r="XM172" s="1"/>
      <c r="XN172" s="1"/>
      <c r="XO172" s="1"/>
      <c r="XP172" s="1"/>
      <c r="XQ172" s="1"/>
      <c r="XR172" s="1"/>
      <c r="XS172" s="1"/>
      <c r="XT172" s="1"/>
      <c r="XU172" s="1"/>
      <c r="XV172" s="1"/>
      <c r="XW172" s="1"/>
      <c r="XX172" s="1"/>
      <c r="XY172" s="1"/>
      <c r="XZ172" s="1"/>
      <c r="YA172" s="1"/>
      <c r="YB172" s="1"/>
      <c r="YC172" s="1"/>
      <c r="YD172" s="1"/>
      <c r="YE172" s="1"/>
      <c r="YF172" s="1"/>
      <c r="YG172" s="1"/>
      <c r="YH172" s="1"/>
      <c r="YI172" s="1"/>
      <c r="YJ172" s="1"/>
      <c r="YK172" s="1"/>
      <c r="YL172" s="1"/>
      <c r="YM172" s="1"/>
      <c r="YN172" s="1"/>
      <c r="YO172" s="1"/>
      <c r="YP172" s="1"/>
      <c r="YQ172" s="1"/>
      <c r="YR172" s="1"/>
      <c r="YS172" s="1"/>
      <c r="YT172" s="1"/>
      <c r="YU172" s="1"/>
      <c r="YV172" s="1"/>
      <c r="YW172" s="1"/>
      <c r="YX172" s="1"/>
      <c r="YY172" s="1"/>
      <c r="YZ172" s="1"/>
      <c r="ZA172" s="1"/>
      <c r="ZB172" s="1"/>
      <c r="ZC172" s="1"/>
      <c r="ZD172" s="1"/>
      <c r="ZE172" s="1"/>
      <c r="ZF172" s="1"/>
      <c r="ZG172" s="1"/>
      <c r="ZH172" s="1"/>
      <c r="ZI172" s="1"/>
      <c r="ZJ172" s="1"/>
      <c r="ZK172" s="1"/>
      <c r="ZL172" s="1"/>
      <c r="ZM172" s="1"/>
      <c r="ZN172" s="1"/>
      <c r="ZO172" s="1"/>
      <c r="ZP172" s="1"/>
      <c r="ZQ172" s="1"/>
      <c r="ZR172" s="1"/>
      <c r="ZS172" s="1"/>
      <c r="ZT172" s="1"/>
      <c r="ZU172" s="1"/>
      <c r="ZV172" s="1"/>
      <c r="ZW172" s="1"/>
      <c r="ZX172" s="1"/>
      <c r="ZY172" s="1"/>
      <c r="ZZ172" s="1"/>
      <c r="AAA172" s="1"/>
      <c r="AAB172" s="1"/>
      <c r="AAC172" s="1"/>
      <c r="AAD172" s="1"/>
      <c r="AAE172" s="1"/>
      <c r="AAF172" s="1"/>
      <c r="AAG172" s="1"/>
      <c r="AAH172" s="1"/>
      <c r="AAI172" s="1"/>
      <c r="AAJ172" s="1"/>
      <c r="AAK172" s="1"/>
      <c r="AAL172" s="1"/>
      <c r="AAM172" s="1"/>
      <c r="AAN172" s="1"/>
      <c r="AAO172" s="1"/>
      <c r="AAP172" s="1"/>
      <c r="AAQ172" s="1"/>
      <c r="AAR172" s="1"/>
      <c r="AAS172" s="1"/>
      <c r="AAT172" s="1"/>
      <c r="AAU172" s="1"/>
      <c r="AAV172" s="1"/>
      <c r="AAW172" s="1"/>
      <c r="AAX172" s="1"/>
      <c r="AAY172" s="1"/>
      <c r="AAZ172" s="1"/>
      <c r="ABA172" s="1"/>
      <c r="ABB172" s="1"/>
      <c r="ABC172" s="1"/>
      <c r="ABD172" s="1"/>
      <c r="ABE172" s="1"/>
      <c r="ABF172" s="1"/>
      <c r="ABG172" s="1"/>
      <c r="ABH172" s="1"/>
      <c r="ABI172" s="1"/>
      <c r="ABJ172" s="1"/>
      <c r="ABK172" s="1"/>
      <c r="ABL172" s="1"/>
      <c r="ABM172" s="1"/>
      <c r="ABN172" s="1"/>
      <c r="ABO172" s="1"/>
      <c r="ABP172" s="1"/>
      <c r="ABQ172" s="1"/>
      <c r="ABR172" s="1"/>
      <c r="ABS172" s="1"/>
      <c r="ABT172" s="1"/>
      <c r="ABU172" s="1"/>
      <c r="ABV172" s="1"/>
      <c r="ABW172" s="1"/>
      <c r="ABX172" s="1"/>
      <c r="ABY172" s="1"/>
      <c r="ABZ172" s="1"/>
      <c r="ACA172" s="1"/>
      <c r="ACB172" s="1"/>
      <c r="ACC172" s="1"/>
      <c r="ACD172" s="1"/>
      <c r="ACE172" s="1"/>
      <c r="ACF172" s="1"/>
      <c r="ACG172" s="1"/>
      <c r="ACH172" s="1"/>
      <c r="ACI172" s="1"/>
      <c r="ACJ172" s="1"/>
      <c r="ACK172" s="1"/>
      <c r="ACL172" s="1"/>
      <c r="ACM172" s="1"/>
      <c r="ACN172" s="1"/>
      <c r="ACO172" s="1"/>
      <c r="ACP172" s="1"/>
      <c r="ACQ172" s="1"/>
      <c r="ACR172" s="1"/>
      <c r="ACS172" s="1"/>
      <c r="ACT172" s="1"/>
      <c r="ACU172" s="1"/>
      <c r="ACV172" s="1"/>
      <c r="ACW172" s="1"/>
      <c r="ACX172" s="1"/>
      <c r="ACY172" s="1"/>
      <c r="ACZ172" s="1"/>
      <c r="ADA172" s="1"/>
      <c r="ADB172" s="1"/>
      <c r="ADC172" s="1"/>
      <c r="ADD172" s="1"/>
      <c r="ADE172" s="1"/>
      <c r="ADF172" s="1"/>
      <c r="ADG172" s="1"/>
      <c r="ADH172" s="1"/>
      <c r="ADI172" s="1"/>
      <c r="ADJ172" s="1"/>
      <c r="ADK172" s="1"/>
      <c r="ADL172" s="1"/>
      <c r="ADM172" s="1"/>
      <c r="ADN172" s="1"/>
      <c r="ADO172" s="1"/>
      <c r="ADP172" s="1"/>
      <c r="ADQ172" s="1"/>
      <c r="ADR172" s="1"/>
      <c r="ADS172" s="1"/>
      <c r="ADT172" s="1"/>
      <c r="ADU172" s="1"/>
      <c r="ADV172" s="1"/>
      <c r="ADW172" s="1"/>
      <c r="ADX172" s="1"/>
      <c r="ADY172" s="1"/>
      <c r="ADZ172" s="1"/>
      <c r="AEA172" s="1"/>
      <c r="AEB172" s="1"/>
      <c r="AEC172" s="1"/>
      <c r="AED172" s="1"/>
      <c r="AEE172" s="1"/>
      <c r="AEF172" s="1"/>
      <c r="AEG172" s="1"/>
      <c r="AEH172" s="1"/>
      <c r="AEI172" s="1"/>
      <c r="AEJ172" s="1"/>
      <c r="AEK172" s="1"/>
      <c r="AEL172" s="1"/>
      <c r="AEM172" s="1"/>
      <c r="AEN172" s="1"/>
      <c r="AEO172" s="1"/>
      <c r="AEP172" s="1"/>
      <c r="AEQ172" s="1"/>
      <c r="AER172" s="1"/>
      <c r="AES172" s="1"/>
      <c r="AET172" s="1"/>
      <c r="AEU172" s="1"/>
      <c r="AEV172" s="1"/>
      <c r="AEW172" s="1"/>
      <c r="AEX172" s="1"/>
      <c r="AEY172" s="1"/>
      <c r="AEZ172" s="1"/>
      <c r="AFA172" s="1"/>
      <c r="AFB172" s="1"/>
      <c r="AFC172" s="1"/>
      <c r="AFD172" s="1"/>
      <c r="AFE172" s="1"/>
      <c r="AFF172" s="1"/>
      <c r="AFG172" s="1"/>
      <c r="AFH172" s="1"/>
      <c r="AFI172" s="1"/>
      <c r="AFJ172" s="1"/>
      <c r="AFK172" s="1"/>
      <c r="AFL172" s="1"/>
      <c r="AFM172" s="1"/>
      <c r="AFN172" s="1"/>
      <c r="AFO172" s="1"/>
      <c r="AFP172" s="1"/>
      <c r="AFQ172" s="1"/>
      <c r="AFR172" s="1"/>
      <c r="AFS172" s="1"/>
      <c r="AFT172" s="1"/>
      <c r="AFU172" s="1"/>
      <c r="AFV172" s="1"/>
      <c r="AFW172" s="1"/>
      <c r="AFX172" s="1"/>
      <c r="AFY172" s="1"/>
      <c r="AFZ172" s="1"/>
      <c r="AGA172" s="1"/>
      <c r="AGB172" s="1"/>
      <c r="AGC172" s="1"/>
      <c r="AGD172" s="1"/>
      <c r="AGE172" s="1"/>
      <c r="AGF172" s="1"/>
      <c r="AGG172" s="1"/>
      <c r="AGH172" s="1"/>
      <c r="AGI172" s="1"/>
      <c r="AGJ172" s="1"/>
      <c r="AGK172" s="1"/>
      <c r="AGL172" s="1"/>
      <c r="AGM172" s="1"/>
      <c r="AGN172" s="1"/>
      <c r="AGO172" s="1"/>
      <c r="AGP172" s="1"/>
      <c r="AGQ172" s="1"/>
      <c r="AGR172" s="1"/>
      <c r="AGS172" s="1"/>
      <c r="AGT172" s="1"/>
      <c r="AGU172" s="1"/>
      <c r="AGV172" s="1"/>
      <c r="AGW172" s="1"/>
      <c r="AGX172" s="1"/>
      <c r="AGY172" s="1"/>
      <c r="AGZ172" s="1"/>
      <c r="AHA172" s="1"/>
      <c r="AHB172" s="1"/>
      <c r="AHC172" s="1"/>
      <c r="AHD172" s="1"/>
      <c r="AHE172" s="1"/>
      <c r="AHF172" s="1"/>
      <c r="AHG172" s="1"/>
      <c r="AHH172" s="1"/>
      <c r="AHI172" s="1"/>
      <c r="AHJ172" s="1"/>
      <c r="AHK172" s="1"/>
      <c r="AHL172" s="1"/>
      <c r="AHM172" s="1"/>
      <c r="AHN172" s="1"/>
      <c r="AHO172" s="1"/>
      <c r="AHP172" s="1"/>
      <c r="AHQ172" s="1"/>
      <c r="AHR172" s="1"/>
      <c r="AHS172" s="1"/>
      <c r="AHT172" s="1"/>
      <c r="AHU172" s="1"/>
      <c r="AHV172" s="1"/>
      <c r="AHW172" s="1"/>
      <c r="AHX172" s="1"/>
      <c r="AHY172" s="1"/>
      <c r="AHZ172" s="1"/>
      <c r="AIA172" s="1"/>
      <c r="AIB172" s="1"/>
      <c r="AIC172" s="1"/>
      <c r="AID172" s="1"/>
      <c r="AIE172" s="1"/>
      <c r="AIF172" s="1"/>
      <c r="AIG172" s="1"/>
      <c r="AIH172" s="1"/>
      <c r="AII172" s="1"/>
      <c r="AIJ172" s="1"/>
      <c r="AIK172" s="1"/>
      <c r="AIL172" s="1"/>
      <c r="AIM172" s="1"/>
      <c r="AIN172" s="1"/>
      <c r="AIO172" s="1"/>
      <c r="AIP172" s="1"/>
      <c r="AIQ172" s="1"/>
      <c r="AIR172" s="1"/>
      <c r="AIS172" s="1"/>
      <c r="AIT172" s="1"/>
      <c r="AIU172" s="1"/>
      <c r="AIV172" s="1"/>
      <c r="AIW172" s="1"/>
      <c r="AIX172" s="1"/>
      <c r="AIY172" s="1"/>
      <c r="AIZ172" s="1"/>
      <c r="AJA172" s="1"/>
      <c r="AJB172" s="1"/>
      <c r="AJC172" s="1"/>
      <c r="AJD172" s="1"/>
      <c r="AJE172" s="1"/>
      <c r="AJF172" s="1"/>
      <c r="AJG172" s="1"/>
      <c r="AJH172" s="1"/>
      <c r="AJI172" s="1"/>
      <c r="AJJ172" s="1"/>
      <c r="AJK172" s="1"/>
      <c r="AJL172" s="1"/>
      <c r="AJM172" s="1"/>
      <c r="AJN172" s="1"/>
      <c r="AJO172" s="1"/>
      <c r="AJP172" s="1"/>
      <c r="AJQ172" s="1"/>
      <c r="AJR172" s="1"/>
      <c r="AJS172" s="1"/>
      <c r="AJT172" s="1"/>
      <c r="AJU172" s="1"/>
      <c r="AJV172" s="1"/>
      <c r="AJW172" s="1"/>
      <c r="AJX172" s="1"/>
      <c r="AJY172" s="1"/>
      <c r="AJZ172" s="1"/>
      <c r="AKA172" s="1"/>
      <c r="AKB172" s="1"/>
      <c r="AKC172" s="1"/>
      <c r="AKD172" s="1"/>
      <c r="AKE172" s="1"/>
      <c r="AKF172" s="1"/>
      <c r="AKG172" s="1"/>
      <c r="AKH172" s="1"/>
      <c r="AKI172" s="1"/>
      <c r="AKJ172" s="1"/>
      <c r="AKK172" s="1"/>
      <c r="AKL172" s="1"/>
      <c r="AKM172" s="1"/>
      <c r="AKN172" s="1"/>
      <c r="AKO172" s="1"/>
      <c r="AKP172" s="1"/>
      <c r="AKQ172" s="1"/>
      <c r="AKR172" s="1"/>
      <c r="AKS172" s="1"/>
      <c r="AKT172" s="1"/>
      <c r="AKU172" s="1"/>
      <c r="AKV172" s="1"/>
      <c r="AKW172" s="1"/>
      <c r="AKX172" s="1"/>
      <c r="AKY172" s="1"/>
      <c r="AKZ172" s="1"/>
      <c r="ALA172" s="1"/>
      <c r="ALB172" s="1"/>
      <c r="ALC172" s="1"/>
      <c r="ALD172" s="1"/>
      <c r="ALE172" s="1"/>
      <c r="ALF172" s="1"/>
      <c r="ALG172" s="1"/>
      <c r="ALH172" s="1"/>
      <c r="ALI172" s="1"/>
      <c r="ALJ172" s="1"/>
      <c r="ALK172" s="1"/>
      <c r="ALL172" s="1"/>
      <c r="ALM172" s="1"/>
      <c r="ALN172" s="1"/>
      <c r="ALO172" s="1"/>
      <c r="ALP172" s="1"/>
      <c r="ALQ172" s="1"/>
      <c r="ALR172" s="1"/>
      <c r="ALS172" s="1"/>
      <c r="ALT172" s="1"/>
      <c r="ALU172" s="1"/>
      <c r="ALV172" s="1"/>
      <c r="ALW172" s="1"/>
      <c r="ALX172" s="1"/>
      <c r="ALY172" s="1"/>
      <c r="ALZ172" s="1"/>
      <c r="AMA172" s="1"/>
      <c r="AMB172" s="1"/>
      <c r="AMC172" s="1"/>
      <c r="AMD172" s="1"/>
      <c r="AME172" s="1"/>
      <c r="AMF172" s="1"/>
      <c r="AMG172" s="1"/>
      <c r="AMH172" s="1"/>
      <c r="AMI172" s="1"/>
      <c r="AMJ172" s="1"/>
    </row>
    <row r="173" customFormat="false" ht="10.5" hidden="false" customHeight="true" outlineLevel="0" collapsed="false">
      <c r="A173" s="217" t="s">
        <v>304</v>
      </c>
      <c r="B173" s="217"/>
      <c r="C173" s="217"/>
      <c r="D173" s="217"/>
      <c r="E173" s="217"/>
      <c r="F173" s="166" t="s">
        <v>305</v>
      </c>
      <c r="G173" s="166"/>
      <c r="H173" s="166"/>
      <c r="I173" s="166"/>
      <c r="J173" s="166"/>
      <c r="K173" s="166"/>
      <c r="L173" s="166"/>
      <c r="M173" s="166"/>
      <c r="N173" s="166"/>
      <c r="O173" s="166"/>
      <c r="P173" s="166" t="s">
        <v>306</v>
      </c>
      <c r="Q173" s="166"/>
      <c r="R173" s="166"/>
      <c r="S173" s="166"/>
      <c r="T173" s="166"/>
      <c r="U173" s="166"/>
      <c r="V173" s="166"/>
      <c r="W173" s="166"/>
      <c r="X173" s="166"/>
      <c r="Y173" s="166"/>
      <c r="Z173" s="168" t="n">
        <v>90000</v>
      </c>
      <c r="AA173" s="168"/>
      <c r="AB173" s="168"/>
      <c r="AC173" s="168"/>
      <c r="AD173" s="19" t="s">
        <v>69</v>
      </c>
      <c r="AE173" s="19"/>
      <c r="AF173" s="19"/>
      <c r="AG173" s="228" t="s">
        <v>307</v>
      </c>
      <c r="AH173" s="228"/>
      <c r="AI173" s="228"/>
      <c r="AJ173" s="228"/>
      <c r="AK173" s="228"/>
      <c r="AL173" s="228"/>
      <c r="AM173" s="228"/>
      <c r="AN173" s="228"/>
      <c r="AO173" s="228"/>
      <c r="BE173" s="1"/>
      <c r="BF173" s="1"/>
      <c r="BG173" s="1"/>
      <c r="BH173" s="1"/>
      <c r="BI173" s="1"/>
      <c r="BJ173" s="1"/>
      <c r="BK173" s="1"/>
      <c r="BL173" s="1"/>
      <c r="BM173" s="1"/>
      <c r="BN173" s="1"/>
      <c r="BO173" s="1"/>
      <c r="BP173" s="1"/>
      <c r="BQ173" s="1"/>
      <c r="BR173" s="1"/>
      <c r="BS173" s="1"/>
      <c r="BT173" s="1"/>
      <c r="BU173" s="1"/>
      <c r="BV173" s="1"/>
      <c r="BW173" s="1"/>
      <c r="BX173" s="1"/>
      <c r="BY173" s="1"/>
      <c r="BZ173" s="1"/>
      <c r="CA173" s="1"/>
      <c r="CB173" s="1"/>
      <c r="CC173" s="1"/>
      <c r="CD173" s="1"/>
      <c r="CE173" s="1"/>
      <c r="CF173" s="1"/>
      <c r="CG173" s="1"/>
      <c r="CH173" s="1"/>
      <c r="CI173" s="1"/>
      <c r="CJ173" s="1"/>
      <c r="CK173" s="1"/>
      <c r="CL173" s="1"/>
      <c r="CM173" s="1"/>
      <c r="CN173" s="1"/>
      <c r="CO173" s="1"/>
      <c r="CP173" s="1"/>
      <c r="CQ173" s="1"/>
      <c r="CR173" s="1"/>
      <c r="CS173" s="1"/>
      <c r="CT173" s="1"/>
      <c r="CU173" s="1"/>
      <c r="CV173" s="1"/>
      <c r="CW173" s="1"/>
      <c r="CX173" s="1"/>
      <c r="CY173" s="1"/>
      <c r="CZ173" s="1"/>
      <c r="DA173" s="1"/>
      <c r="DB173" s="1"/>
      <c r="DC173" s="1"/>
      <c r="DD173" s="1"/>
      <c r="DE173" s="1"/>
      <c r="DF173" s="1"/>
      <c r="DG173" s="1"/>
      <c r="DH173" s="1"/>
      <c r="DI173" s="1"/>
      <c r="DJ173" s="1"/>
      <c r="DK173" s="1"/>
      <c r="DL173" s="1"/>
      <c r="DM173" s="1"/>
      <c r="DN173" s="1"/>
      <c r="DO173" s="1"/>
      <c r="DP173" s="1"/>
      <c r="DQ173" s="1"/>
      <c r="DR173" s="1"/>
      <c r="DS173" s="1"/>
      <c r="DT173" s="1"/>
      <c r="DU173" s="1"/>
      <c r="DV173" s="1"/>
      <c r="DW173" s="1"/>
      <c r="DX173" s="1"/>
      <c r="DY173" s="1"/>
      <c r="DZ173" s="1"/>
      <c r="EA173" s="1"/>
      <c r="EB173" s="1"/>
      <c r="EC173" s="1"/>
      <c r="ED173" s="1"/>
      <c r="EE173" s="1"/>
      <c r="EF173" s="1"/>
      <c r="EG173" s="1"/>
      <c r="EH173" s="1"/>
      <c r="EI173" s="1"/>
      <c r="EJ173" s="1"/>
      <c r="EK173" s="1"/>
      <c r="EL173" s="1"/>
      <c r="EM173" s="1"/>
      <c r="EN173" s="1"/>
      <c r="EO173" s="1"/>
      <c r="EP173" s="1"/>
      <c r="EQ173" s="1"/>
      <c r="ER173" s="1"/>
      <c r="ES173" s="1"/>
      <c r="ET173" s="1"/>
      <c r="EU173" s="1"/>
      <c r="EV173" s="1"/>
      <c r="EW173" s="1"/>
      <c r="EX173" s="1"/>
      <c r="EY173" s="1"/>
      <c r="EZ173" s="1"/>
      <c r="FA173" s="1"/>
      <c r="FB173" s="1"/>
      <c r="FC173" s="1"/>
      <c r="FD173" s="1"/>
      <c r="FE173" s="1"/>
      <c r="FF173" s="1"/>
      <c r="FG173" s="1"/>
      <c r="FH173" s="1"/>
      <c r="FI173" s="1"/>
      <c r="FJ173" s="1"/>
      <c r="FK173" s="1"/>
      <c r="FL173" s="1"/>
      <c r="FM173" s="1"/>
      <c r="FN173" s="1"/>
      <c r="FO173" s="1"/>
      <c r="FP173" s="1"/>
      <c r="FQ173" s="1"/>
      <c r="FR173" s="1"/>
      <c r="FS173" s="1"/>
      <c r="FT173" s="1"/>
      <c r="FU173" s="1"/>
      <c r="FV173" s="1"/>
      <c r="FW173" s="1"/>
      <c r="FX173" s="1"/>
      <c r="FY173" s="1"/>
      <c r="FZ173" s="1"/>
      <c r="GA173" s="1"/>
      <c r="GB173" s="1"/>
      <c r="GC173" s="1"/>
      <c r="GD173" s="1"/>
      <c r="GE173" s="1"/>
      <c r="GF173" s="1"/>
      <c r="GG173" s="1"/>
      <c r="GH173" s="1"/>
      <c r="GI173" s="1"/>
      <c r="GJ173" s="1"/>
      <c r="GK173" s="1"/>
      <c r="GL173" s="1"/>
      <c r="GM173" s="1"/>
      <c r="GN173" s="1"/>
      <c r="GO173" s="1"/>
      <c r="GP173" s="1"/>
      <c r="GQ173" s="1"/>
      <c r="GR173" s="1"/>
      <c r="GS173" s="1"/>
      <c r="GT173" s="1"/>
      <c r="GU173" s="1"/>
      <c r="GV173" s="1"/>
      <c r="GW173" s="1"/>
      <c r="GX173" s="1"/>
      <c r="GY173" s="1"/>
      <c r="GZ173" s="1"/>
      <c r="HA173" s="1"/>
      <c r="HB173" s="1"/>
      <c r="HC173" s="1"/>
      <c r="HD173" s="1"/>
      <c r="HE173" s="1"/>
      <c r="HF173" s="1"/>
      <c r="HG173" s="1"/>
      <c r="HH173" s="1"/>
      <c r="HI173" s="1"/>
      <c r="HJ173" s="1"/>
      <c r="HK173" s="1"/>
      <c r="HL173" s="1"/>
      <c r="HM173" s="1"/>
      <c r="HN173" s="1"/>
      <c r="HO173" s="1"/>
      <c r="HP173" s="1"/>
      <c r="HQ173" s="1"/>
      <c r="HR173" s="1"/>
      <c r="HS173" s="1"/>
      <c r="HT173" s="1"/>
      <c r="HU173" s="1"/>
      <c r="HV173" s="1"/>
      <c r="HW173" s="1"/>
      <c r="HX173" s="1"/>
      <c r="HY173" s="1"/>
      <c r="HZ173" s="1"/>
      <c r="IA173" s="1"/>
      <c r="IB173" s="1"/>
      <c r="IC173" s="1"/>
      <c r="ID173" s="1"/>
      <c r="IE173" s="1"/>
      <c r="IF173" s="1"/>
      <c r="IG173" s="1"/>
      <c r="IH173" s="1"/>
      <c r="II173" s="1"/>
      <c r="IJ173" s="1"/>
      <c r="IK173" s="1"/>
      <c r="IL173" s="1"/>
      <c r="IM173" s="1"/>
      <c r="IN173" s="1"/>
      <c r="IO173" s="1"/>
      <c r="IP173" s="1"/>
      <c r="IQ173" s="1"/>
      <c r="IR173" s="1"/>
      <c r="IS173" s="1"/>
      <c r="IT173" s="1"/>
      <c r="IU173" s="1"/>
      <c r="IV173" s="1"/>
      <c r="IW173" s="1"/>
      <c r="IX173" s="1"/>
      <c r="IY173" s="1"/>
      <c r="IZ173" s="1"/>
      <c r="JA173" s="1"/>
      <c r="JB173" s="1"/>
      <c r="JC173" s="1"/>
      <c r="JD173" s="1"/>
      <c r="JE173" s="1"/>
      <c r="JF173" s="1"/>
      <c r="JG173" s="1"/>
      <c r="JH173" s="1"/>
      <c r="JI173" s="1"/>
      <c r="JJ173" s="1"/>
      <c r="JK173" s="1"/>
      <c r="JL173" s="1"/>
      <c r="JM173" s="1"/>
      <c r="JN173" s="1"/>
      <c r="JO173" s="1"/>
      <c r="JP173" s="1"/>
      <c r="JQ173" s="1"/>
      <c r="JR173" s="1"/>
      <c r="JS173" s="1"/>
      <c r="JT173" s="1"/>
      <c r="JU173" s="1"/>
      <c r="JV173" s="1"/>
      <c r="JW173" s="1"/>
      <c r="JX173" s="1"/>
      <c r="JY173" s="1"/>
      <c r="JZ173" s="1"/>
      <c r="KA173" s="1"/>
      <c r="KB173" s="1"/>
      <c r="KC173" s="1"/>
      <c r="KD173" s="1"/>
      <c r="KE173" s="1"/>
      <c r="KF173" s="1"/>
      <c r="KG173" s="1"/>
      <c r="KH173" s="1"/>
      <c r="KI173" s="1"/>
      <c r="KJ173" s="1"/>
      <c r="KK173" s="1"/>
      <c r="KL173" s="1"/>
      <c r="KM173" s="1"/>
      <c r="KN173" s="1"/>
      <c r="KO173" s="1"/>
      <c r="KP173" s="1"/>
      <c r="KQ173" s="1"/>
      <c r="KR173" s="1"/>
      <c r="KS173" s="1"/>
      <c r="KT173" s="1"/>
      <c r="KU173" s="1"/>
      <c r="KV173" s="1"/>
      <c r="KW173" s="1"/>
      <c r="KX173" s="1"/>
      <c r="KY173" s="1"/>
      <c r="KZ173" s="1"/>
      <c r="LA173" s="1"/>
      <c r="LB173" s="1"/>
      <c r="LC173" s="1"/>
      <c r="LD173" s="1"/>
      <c r="LE173" s="1"/>
      <c r="LF173" s="1"/>
      <c r="LG173" s="1"/>
      <c r="LH173" s="1"/>
      <c r="LI173" s="1"/>
      <c r="LJ173" s="1"/>
      <c r="LK173" s="1"/>
      <c r="LL173" s="1"/>
      <c r="LM173" s="1"/>
      <c r="LN173" s="1"/>
      <c r="LO173" s="1"/>
      <c r="LP173" s="1"/>
      <c r="LQ173" s="1"/>
      <c r="LR173" s="1"/>
      <c r="LS173" s="1"/>
      <c r="LT173" s="1"/>
      <c r="LU173" s="1"/>
      <c r="LV173" s="1"/>
      <c r="LW173" s="1"/>
      <c r="LX173" s="1"/>
      <c r="LY173" s="1"/>
      <c r="LZ173" s="1"/>
      <c r="MA173" s="1"/>
      <c r="MB173" s="1"/>
      <c r="MC173" s="1"/>
      <c r="MD173" s="1"/>
      <c r="ME173" s="1"/>
      <c r="MF173" s="1"/>
      <c r="MG173" s="1"/>
      <c r="MH173" s="1"/>
      <c r="MI173" s="1"/>
      <c r="MJ173" s="1"/>
      <c r="MK173" s="1"/>
      <c r="ML173" s="1"/>
      <c r="MM173" s="1"/>
      <c r="MN173" s="1"/>
      <c r="MO173" s="1"/>
      <c r="MP173" s="1"/>
      <c r="MQ173" s="1"/>
      <c r="MR173" s="1"/>
      <c r="MS173" s="1"/>
      <c r="MT173" s="1"/>
      <c r="MU173" s="1"/>
      <c r="MV173" s="1"/>
      <c r="MW173" s="1"/>
      <c r="MX173" s="1"/>
      <c r="MY173" s="1"/>
      <c r="MZ173" s="1"/>
      <c r="NA173" s="1"/>
      <c r="NB173" s="1"/>
      <c r="NC173" s="1"/>
      <c r="ND173" s="1"/>
      <c r="NE173" s="1"/>
      <c r="NF173" s="1"/>
      <c r="NG173" s="1"/>
      <c r="NH173" s="1"/>
      <c r="NI173" s="1"/>
      <c r="NJ173" s="1"/>
      <c r="NK173" s="1"/>
      <c r="NL173" s="1"/>
      <c r="NM173" s="1"/>
      <c r="NN173" s="1"/>
      <c r="NO173" s="1"/>
      <c r="NP173" s="1"/>
      <c r="NQ173" s="1"/>
      <c r="NR173" s="1"/>
      <c r="NS173" s="1"/>
      <c r="NT173" s="1"/>
      <c r="NU173" s="1"/>
      <c r="NV173" s="1"/>
      <c r="NW173" s="1"/>
      <c r="NX173" s="1"/>
      <c r="NY173" s="1"/>
      <c r="NZ173" s="1"/>
      <c r="OA173" s="1"/>
      <c r="OB173" s="1"/>
      <c r="OC173" s="1"/>
      <c r="OD173" s="1"/>
      <c r="OE173" s="1"/>
      <c r="OF173" s="1"/>
      <c r="OG173" s="1"/>
      <c r="OH173" s="1"/>
      <c r="OI173" s="1"/>
      <c r="OJ173" s="1"/>
      <c r="OK173" s="1"/>
      <c r="OL173" s="1"/>
      <c r="OM173" s="1"/>
      <c r="ON173" s="1"/>
      <c r="OO173" s="1"/>
      <c r="OP173" s="1"/>
      <c r="OQ173" s="1"/>
      <c r="OR173" s="1"/>
      <c r="OS173" s="1"/>
      <c r="OT173" s="1"/>
      <c r="OU173" s="1"/>
      <c r="OV173" s="1"/>
      <c r="OW173" s="1"/>
      <c r="OX173" s="1"/>
      <c r="OY173" s="1"/>
      <c r="OZ173" s="1"/>
      <c r="PA173" s="1"/>
      <c r="PB173" s="1"/>
      <c r="PC173" s="1"/>
      <c r="PD173" s="1"/>
      <c r="PE173" s="1"/>
      <c r="PF173" s="1"/>
      <c r="PG173" s="1"/>
      <c r="PH173" s="1"/>
      <c r="PI173" s="1"/>
      <c r="PJ173" s="1"/>
      <c r="PK173" s="1"/>
      <c r="PL173" s="1"/>
      <c r="PM173" s="1"/>
      <c r="PN173" s="1"/>
      <c r="PO173" s="1"/>
      <c r="PP173" s="1"/>
      <c r="PQ173" s="1"/>
      <c r="PR173" s="1"/>
      <c r="PS173" s="1"/>
      <c r="PT173" s="1"/>
      <c r="PU173" s="1"/>
      <c r="PV173" s="1"/>
      <c r="PW173" s="1"/>
      <c r="PX173" s="1"/>
      <c r="PY173" s="1"/>
      <c r="PZ173" s="1"/>
      <c r="QA173" s="1"/>
      <c r="QB173" s="1"/>
      <c r="QC173" s="1"/>
      <c r="QD173" s="1"/>
      <c r="QE173" s="1"/>
      <c r="QF173" s="1"/>
      <c r="QG173" s="1"/>
      <c r="QH173" s="1"/>
      <c r="QI173" s="1"/>
      <c r="QJ173" s="1"/>
      <c r="QK173" s="1"/>
      <c r="QL173" s="1"/>
      <c r="QM173" s="1"/>
      <c r="QN173" s="1"/>
      <c r="QO173" s="1"/>
      <c r="QP173" s="1"/>
      <c r="QQ173" s="1"/>
      <c r="QR173" s="1"/>
      <c r="QS173" s="1"/>
      <c r="QT173" s="1"/>
      <c r="QU173" s="1"/>
      <c r="QV173" s="1"/>
      <c r="QW173" s="1"/>
      <c r="QX173" s="1"/>
      <c r="QY173" s="1"/>
      <c r="QZ173" s="1"/>
      <c r="RA173" s="1"/>
      <c r="RB173" s="1"/>
      <c r="RC173" s="1"/>
      <c r="RD173" s="1"/>
      <c r="RE173" s="1"/>
      <c r="RF173" s="1"/>
      <c r="RG173" s="1"/>
      <c r="RH173" s="1"/>
      <c r="RI173" s="1"/>
      <c r="RJ173" s="1"/>
      <c r="RK173" s="1"/>
      <c r="RL173" s="1"/>
      <c r="RM173" s="1"/>
      <c r="RN173" s="1"/>
      <c r="RO173" s="1"/>
      <c r="RP173" s="1"/>
      <c r="RQ173" s="1"/>
      <c r="RR173" s="1"/>
      <c r="RS173" s="1"/>
      <c r="RT173" s="1"/>
      <c r="RU173" s="1"/>
      <c r="RV173" s="1"/>
      <c r="RW173" s="1"/>
      <c r="RX173" s="1"/>
      <c r="RY173" s="1"/>
      <c r="RZ173" s="1"/>
      <c r="SA173" s="1"/>
      <c r="SB173" s="1"/>
      <c r="SC173" s="1"/>
      <c r="SD173" s="1"/>
      <c r="SE173" s="1"/>
      <c r="SF173" s="1"/>
      <c r="SG173" s="1"/>
      <c r="SH173" s="1"/>
      <c r="SI173" s="1"/>
      <c r="SJ173" s="1"/>
      <c r="SK173" s="1"/>
      <c r="SL173" s="1"/>
      <c r="SM173" s="1"/>
      <c r="SN173" s="1"/>
      <c r="SO173" s="1"/>
      <c r="SP173" s="1"/>
      <c r="SQ173" s="1"/>
      <c r="SR173" s="1"/>
      <c r="SS173" s="1"/>
      <c r="ST173" s="1"/>
      <c r="SU173" s="1"/>
      <c r="SV173" s="1"/>
      <c r="SW173" s="1"/>
      <c r="SX173" s="1"/>
      <c r="SY173" s="1"/>
      <c r="SZ173" s="1"/>
      <c r="TA173" s="1"/>
      <c r="TB173" s="1"/>
      <c r="TC173" s="1"/>
      <c r="TD173" s="1"/>
      <c r="TE173" s="1"/>
      <c r="TF173" s="1"/>
      <c r="TG173" s="1"/>
      <c r="TH173" s="1"/>
      <c r="TI173" s="1"/>
      <c r="TJ173" s="1"/>
      <c r="TK173" s="1"/>
      <c r="TL173" s="1"/>
      <c r="TM173" s="1"/>
      <c r="TN173" s="1"/>
      <c r="TO173" s="1"/>
      <c r="TP173" s="1"/>
      <c r="TQ173" s="1"/>
      <c r="TR173" s="1"/>
      <c r="TS173" s="1"/>
      <c r="TT173" s="1"/>
      <c r="TU173" s="1"/>
      <c r="TV173" s="1"/>
      <c r="TW173" s="1"/>
      <c r="TX173" s="1"/>
      <c r="TY173" s="1"/>
      <c r="TZ173" s="1"/>
      <c r="UA173" s="1"/>
      <c r="UB173" s="1"/>
      <c r="UC173" s="1"/>
      <c r="UD173" s="1"/>
      <c r="UE173" s="1"/>
      <c r="UF173" s="1"/>
      <c r="UG173" s="1"/>
      <c r="UH173" s="1"/>
      <c r="UI173" s="1"/>
      <c r="UJ173" s="1"/>
      <c r="UK173" s="1"/>
      <c r="UL173" s="1"/>
      <c r="UM173" s="1"/>
      <c r="UN173" s="1"/>
      <c r="UO173" s="1"/>
      <c r="UP173" s="1"/>
      <c r="UQ173" s="1"/>
      <c r="UR173" s="1"/>
      <c r="US173" s="1"/>
      <c r="UT173" s="1"/>
      <c r="UU173" s="1"/>
      <c r="UV173" s="1"/>
      <c r="UW173" s="1"/>
      <c r="UX173" s="1"/>
      <c r="UY173" s="1"/>
      <c r="UZ173" s="1"/>
      <c r="VA173" s="1"/>
      <c r="VB173" s="1"/>
      <c r="VC173" s="1"/>
      <c r="VD173" s="1"/>
      <c r="VE173" s="1"/>
      <c r="VF173" s="1"/>
      <c r="VG173" s="1"/>
      <c r="VH173" s="1"/>
      <c r="VI173" s="1"/>
      <c r="VJ173" s="1"/>
      <c r="VK173" s="1"/>
      <c r="VL173" s="1"/>
      <c r="VM173" s="1"/>
      <c r="VN173" s="1"/>
      <c r="VO173" s="1"/>
      <c r="VP173" s="1"/>
      <c r="VQ173" s="1"/>
      <c r="VR173" s="1"/>
      <c r="VS173" s="1"/>
      <c r="VT173" s="1"/>
      <c r="VU173" s="1"/>
      <c r="VV173" s="1"/>
      <c r="VW173" s="1"/>
      <c r="VX173" s="1"/>
      <c r="VY173" s="1"/>
      <c r="VZ173" s="1"/>
      <c r="WA173" s="1"/>
      <c r="WB173" s="1"/>
      <c r="WC173" s="1"/>
      <c r="WD173" s="1"/>
      <c r="WE173" s="1"/>
      <c r="WF173" s="1"/>
      <c r="WG173" s="1"/>
      <c r="WH173" s="1"/>
      <c r="WI173" s="1"/>
      <c r="WJ173" s="1"/>
      <c r="WK173" s="1"/>
      <c r="WL173" s="1"/>
      <c r="WM173" s="1"/>
      <c r="WN173" s="1"/>
      <c r="WO173" s="1"/>
      <c r="WP173" s="1"/>
      <c r="WQ173" s="1"/>
      <c r="WR173" s="1"/>
      <c r="WS173" s="1"/>
      <c r="WT173" s="1"/>
      <c r="WU173" s="1"/>
      <c r="WV173" s="1"/>
      <c r="WW173" s="1"/>
      <c r="WX173" s="1"/>
      <c r="WY173" s="1"/>
      <c r="WZ173" s="1"/>
      <c r="XA173" s="1"/>
      <c r="XB173" s="1"/>
      <c r="XC173" s="1"/>
      <c r="XD173" s="1"/>
      <c r="XE173" s="1"/>
      <c r="XF173" s="1"/>
      <c r="XG173" s="1"/>
      <c r="XH173" s="1"/>
      <c r="XI173" s="1"/>
      <c r="XJ173" s="1"/>
      <c r="XK173" s="1"/>
      <c r="XL173" s="1"/>
      <c r="XM173" s="1"/>
      <c r="XN173" s="1"/>
      <c r="XO173" s="1"/>
      <c r="XP173" s="1"/>
      <c r="XQ173" s="1"/>
      <c r="XR173" s="1"/>
      <c r="XS173" s="1"/>
      <c r="XT173" s="1"/>
      <c r="XU173" s="1"/>
      <c r="XV173" s="1"/>
      <c r="XW173" s="1"/>
      <c r="XX173" s="1"/>
      <c r="XY173" s="1"/>
      <c r="XZ173" s="1"/>
      <c r="YA173" s="1"/>
      <c r="YB173" s="1"/>
      <c r="YC173" s="1"/>
      <c r="YD173" s="1"/>
      <c r="YE173" s="1"/>
      <c r="YF173" s="1"/>
      <c r="YG173" s="1"/>
      <c r="YH173" s="1"/>
      <c r="YI173" s="1"/>
      <c r="YJ173" s="1"/>
      <c r="YK173" s="1"/>
      <c r="YL173" s="1"/>
      <c r="YM173" s="1"/>
      <c r="YN173" s="1"/>
      <c r="YO173" s="1"/>
      <c r="YP173" s="1"/>
      <c r="YQ173" s="1"/>
      <c r="YR173" s="1"/>
      <c r="YS173" s="1"/>
      <c r="YT173" s="1"/>
      <c r="YU173" s="1"/>
      <c r="YV173" s="1"/>
      <c r="YW173" s="1"/>
      <c r="YX173" s="1"/>
      <c r="YY173" s="1"/>
      <c r="YZ173" s="1"/>
      <c r="ZA173" s="1"/>
      <c r="ZB173" s="1"/>
      <c r="ZC173" s="1"/>
      <c r="ZD173" s="1"/>
      <c r="ZE173" s="1"/>
      <c r="ZF173" s="1"/>
      <c r="ZG173" s="1"/>
      <c r="ZH173" s="1"/>
      <c r="ZI173" s="1"/>
      <c r="ZJ173" s="1"/>
      <c r="ZK173" s="1"/>
      <c r="ZL173" s="1"/>
      <c r="ZM173" s="1"/>
      <c r="ZN173" s="1"/>
      <c r="ZO173" s="1"/>
      <c r="ZP173" s="1"/>
      <c r="ZQ173" s="1"/>
      <c r="ZR173" s="1"/>
      <c r="ZS173" s="1"/>
      <c r="ZT173" s="1"/>
      <c r="ZU173" s="1"/>
      <c r="ZV173" s="1"/>
      <c r="ZW173" s="1"/>
      <c r="ZX173" s="1"/>
      <c r="ZY173" s="1"/>
      <c r="ZZ173" s="1"/>
      <c r="AAA173" s="1"/>
      <c r="AAB173" s="1"/>
      <c r="AAC173" s="1"/>
      <c r="AAD173" s="1"/>
      <c r="AAE173" s="1"/>
      <c r="AAF173" s="1"/>
      <c r="AAG173" s="1"/>
      <c r="AAH173" s="1"/>
      <c r="AAI173" s="1"/>
      <c r="AAJ173" s="1"/>
      <c r="AAK173" s="1"/>
      <c r="AAL173" s="1"/>
      <c r="AAM173" s="1"/>
      <c r="AAN173" s="1"/>
      <c r="AAO173" s="1"/>
      <c r="AAP173" s="1"/>
      <c r="AAQ173" s="1"/>
      <c r="AAR173" s="1"/>
      <c r="AAS173" s="1"/>
      <c r="AAT173" s="1"/>
      <c r="AAU173" s="1"/>
      <c r="AAV173" s="1"/>
      <c r="AAW173" s="1"/>
      <c r="AAX173" s="1"/>
      <c r="AAY173" s="1"/>
      <c r="AAZ173" s="1"/>
      <c r="ABA173" s="1"/>
      <c r="ABB173" s="1"/>
      <c r="ABC173" s="1"/>
      <c r="ABD173" s="1"/>
      <c r="ABE173" s="1"/>
      <c r="ABF173" s="1"/>
      <c r="ABG173" s="1"/>
      <c r="ABH173" s="1"/>
      <c r="ABI173" s="1"/>
      <c r="ABJ173" s="1"/>
      <c r="ABK173" s="1"/>
      <c r="ABL173" s="1"/>
      <c r="ABM173" s="1"/>
      <c r="ABN173" s="1"/>
      <c r="ABO173" s="1"/>
      <c r="ABP173" s="1"/>
      <c r="ABQ173" s="1"/>
      <c r="ABR173" s="1"/>
      <c r="ABS173" s="1"/>
      <c r="ABT173" s="1"/>
      <c r="ABU173" s="1"/>
      <c r="ABV173" s="1"/>
      <c r="ABW173" s="1"/>
      <c r="ABX173" s="1"/>
      <c r="ABY173" s="1"/>
      <c r="ABZ173" s="1"/>
      <c r="ACA173" s="1"/>
      <c r="ACB173" s="1"/>
      <c r="ACC173" s="1"/>
      <c r="ACD173" s="1"/>
      <c r="ACE173" s="1"/>
      <c r="ACF173" s="1"/>
      <c r="ACG173" s="1"/>
      <c r="ACH173" s="1"/>
      <c r="ACI173" s="1"/>
      <c r="ACJ173" s="1"/>
      <c r="ACK173" s="1"/>
      <c r="ACL173" s="1"/>
      <c r="ACM173" s="1"/>
      <c r="ACN173" s="1"/>
      <c r="ACO173" s="1"/>
      <c r="ACP173" s="1"/>
      <c r="ACQ173" s="1"/>
      <c r="ACR173" s="1"/>
      <c r="ACS173" s="1"/>
      <c r="ACT173" s="1"/>
      <c r="ACU173" s="1"/>
      <c r="ACV173" s="1"/>
      <c r="ACW173" s="1"/>
      <c r="ACX173" s="1"/>
      <c r="ACY173" s="1"/>
      <c r="ACZ173" s="1"/>
      <c r="ADA173" s="1"/>
      <c r="ADB173" s="1"/>
      <c r="ADC173" s="1"/>
      <c r="ADD173" s="1"/>
      <c r="ADE173" s="1"/>
      <c r="ADF173" s="1"/>
      <c r="ADG173" s="1"/>
      <c r="ADH173" s="1"/>
      <c r="ADI173" s="1"/>
      <c r="ADJ173" s="1"/>
      <c r="ADK173" s="1"/>
      <c r="ADL173" s="1"/>
      <c r="ADM173" s="1"/>
      <c r="ADN173" s="1"/>
      <c r="ADO173" s="1"/>
      <c r="ADP173" s="1"/>
      <c r="ADQ173" s="1"/>
      <c r="ADR173" s="1"/>
      <c r="ADS173" s="1"/>
      <c r="ADT173" s="1"/>
      <c r="ADU173" s="1"/>
      <c r="ADV173" s="1"/>
      <c r="ADW173" s="1"/>
      <c r="ADX173" s="1"/>
      <c r="ADY173" s="1"/>
      <c r="ADZ173" s="1"/>
      <c r="AEA173" s="1"/>
      <c r="AEB173" s="1"/>
      <c r="AEC173" s="1"/>
      <c r="AED173" s="1"/>
      <c r="AEE173" s="1"/>
      <c r="AEF173" s="1"/>
      <c r="AEG173" s="1"/>
      <c r="AEH173" s="1"/>
      <c r="AEI173" s="1"/>
      <c r="AEJ173" s="1"/>
      <c r="AEK173" s="1"/>
      <c r="AEL173" s="1"/>
      <c r="AEM173" s="1"/>
      <c r="AEN173" s="1"/>
      <c r="AEO173" s="1"/>
      <c r="AEP173" s="1"/>
      <c r="AEQ173" s="1"/>
      <c r="AER173" s="1"/>
      <c r="AES173" s="1"/>
      <c r="AET173" s="1"/>
      <c r="AEU173" s="1"/>
      <c r="AEV173" s="1"/>
      <c r="AEW173" s="1"/>
      <c r="AEX173" s="1"/>
      <c r="AEY173" s="1"/>
      <c r="AEZ173" s="1"/>
      <c r="AFA173" s="1"/>
      <c r="AFB173" s="1"/>
      <c r="AFC173" s="1"/>
      <c r="AFD173" s="1"/>
      <c r="AFE173" s="1"/>
      <c r="AFF173" s="1"/>
      <c r="AFG173" s="1"/>
      <c r="AFH173" s="1"/>
      <c r="AFI173" s="1"/>
      <c r="AFJ173" s="1"/>
      <c r="AFK173" s="1"/>
      <c r="AFL173" s="1"/>
      <c r="AFM173" s="1"/>
      <c r="AFN173" s="1"/>
      <c r="AFO173" s="1"/>
      <c r="AFP173" s="1"/>
      <c r="AFQ173" s="1"/>
      <c r="AFR173" s="1"/>
      <c r="AFS173" s="1"/>
      <c r="AFT173" s="1"/>
      <c r="AFU173" s="1"/>
      <c r="AFV173" s="1"/>
      <c r="AFW173" s="1"/>
      <c r="AFX173" s="1"/>
      <c r="AFY173" s="1"/>
      <c r="AFZ173" s="1"/>
      <c r="AGA173" s="1"/>
      <c r="AGB173" s="1"/>
      <c r="AGC173" s="1"/>
      <c r="AGD173" s="1"/>
      <c r="AGE173" s="1"/>
      <c r="AGF173" s="1"/>
      <c r="AGG173" s="1"/>
      <c r="AGH173" s="1"/>
      <c r="AGI173" s="1"/>
      <c r="AGJ173" s="1"/>
      <c r="AGK173" s="1"/>
      <c r="AGL173" s="1"/>
      <c r="AGM173" s="1"/>
      <c r="AGN173" s="1"/>
      <c r="AGO173" s="1"/>
      <c r="AGP173" s="1"/>
      <c r="AGQ173" s="1"/>
      <c r="AGR173" s="1"/>
      <c r="AGS173" s="1"/>
      <c r="AGT173" s="1"/>
      <c r="AGU173" s="1"/>
      <c r="AGV173" s="1"/>
      <c r="AGW173" s="1"/>
      <c r="AGX173" s="1"/>
      <c r="AGY173" s="1"/>
      <c r="AGZ173" s="1"/>
      <c r="AHA173" s="1"/>
      <c r="AHB173" s="1"/>
      <c r="AHC173" s="1"/>
      <c r="AHD173" s="1"/>
      <c r="AHE173" s="1"/>
      <c r="AHF173" s="1"/>
      <c r="AHG173" s="1"/>
      <c r="AHH173" s="1"/>
      <c r="AHI173" s="1"/>
      <c r="AHJ173" s="1"/>
      <c r="AHK173" s="1"/>
      <c r="AHL173" s="1"/>
      <c r="AHM173" s="1"/>
      <c r="AHN173" s="1"/>
      <c r="AHO173" s="1"/>
      <c r="AHP173" s="1"/>
      <c r="AHQ173" s="1"/>
      <c r="AHR173" s="1"/>
      <c r="AHS173" s="1"/>
      <c r="AHT173" s="1"/>
      <c r="AHU173" s="1"/>
      <c r="AHV173" s="1"/>
      <c r="AHW173" s="1"/>
      <c r="AHX173" s="1"/>
      <c r="AHY173" s="1"/>
      <c r="AHZ173" s="1"/>
      <c r="AIA173" s="1"/>
      <c r="AIB173" s="1"/>
      <c r="AIC173" s="1"/>
      <c r="AID173" s="1"/>
      <c r="AIE173" s="1"/>
      <c r="AIF173" s="1"/>
      <c r="AIG173" s="1"/>
      <c r="AIH173" s="1"/>
      <c r="AII173" s="1"/>
      <c r="AIJ173" s="1"/>
      <c r="AIK173" s="1"/>
      <c r="AIL173" s="1"/>
      <c r="AIM173" s="1"/>
      <c r="AIN173" s="1"/>
      <c r="AIO173" s="1"/>
      <c r="AIP173" s="1"/>
      <c r="AIQ173" s="1"/>
      <c r="AIR173" s="1"/>
      <c r="AIS173" s="1"/>
      <c r="AIT173" s="1"/>
      <c r="AIU173" s="1"/>
      <c r="AIV173" s="1"/>
      <c r="AIW173" s="1"/>
      <c r="AIX173" s="1"/>
      <c r="AIY173" s="1"/>
      <c r="AIZ173" s="1"/>
      <c r="AJA173" s="1"/>
      <c r="AJB173" s="1"/>
      <c r="AJC173" s="1"/>
      <c r="AJD173" s="1"/>
      <c r="AJE173" s="1"/>
      <c r="AJF173" s="1"/>
      <c r="AJG173" s="1"/>
      <c r="AJH173" s="1"/>
      <c r="AJI173" s="1"/>
      <c r="AJJ173" s="1"/>
      <c r="AJK173" s="1"/>
      <c r="AJL173" s="1"/>
      <c r="AJM173" s="1"/>
      <c r="AJN173" s="1"/>
      <c r="AJO173" s="1"/>
      <c r="AJP173" s="1"/>
      <c r="AJQ173" s="1"/>
      <c r="AJR173" s="1"/>
      <c r="AJS173" s="1"/>
      <c r="AJT173" s="1"/>
      <c r="AJU173" s="1"/>
      <c r="AJV173" s="1"/>
      <c r="AJW173" s="1"/>
      <c r="AJX173" s="1"/>
      <c r="AJY173" s="1"/>
      <c r="AJZ173" s="1"/>
      <c r="AKA173" s="1"/>
      <c r="AKB173" s="1"/>
      <c r="AKC173" s="1"/>
      <c r="AKD173" s="1"/>
      <c r="AKE173" s="1"/>
      <c r="AKF173" s="1"/>
      <c r="AKG173" s="1"/>
      <c r="AKH173" s="1"/>
      <c r="AKI173" s="1"/>
      <c r="AKJ173" s="1"/>
      <c r="AKK173" s="1"/>
      <c r="AKL173" s="1"/>
      <c r="AKM173" s="1"/>
      <c r="AKN173" s="1"/>
      <c r="AKO173" s="1"/>
      <c r="AKP173" s="1"/>
      <c r="AKQ173" s="1"/>
      <c r="AKR173" s="1"/>
      <c r="AKS173" s="1"/>
      <c r="AKT173" s="1"/>
      <c r="AKU173" s="1"/>
      <c r="AKV173" s="1"/>
      <c r="AKW173" s="1"/>
      <c r="AKX173" s="1"/>
      <c r="AKY173" s="1"/>
      <c r="AKZ173" s="1"/>
      <c r="ALA173" s="1"/>
      <c r="ALB173" s="1"/>
      <c r="ALC173" s="1"/>
      <c r="ALD173" s="1"/>
      <c r="ALE173" s="1"/>
      <c r="ALF173" s="1"/>
      <c r="ALG173" s="1"/>
      <c r="ALH173" s="1"/>
      <c r="ALI173" s="1"/>
      <c r="ALJ173" s="1"/>
      <c r="ALK173" s="1"/>
      <c r="ALL173" s="1"/>
      <c r="ALM173" s="1"/>
      <c r="ALN173" s="1"/>
      <c r="ALO173" s="1"/>
      <c r="ALP173" s="1"/>
      <c r="ALQ173" s="1"/>
      <c r="ALR173" s="1"/>
      <c r="ALS173" s="1"/>
      <c r="ALT173" s="1"/>
      <c r="ALU173" s="1"/>
      <c r="ALV173" s="1"/>
      <c r="ALW173" s="1"/>
      <c r="ALX173" s="1"/>
      <c r="ALY173" s="1"/>
      <c r="ALZ173" s="1"/>
      <c r="AMA173" s="1"/>
      <c r="AMB173" s="1"/>
      <c r="AMC173" s="1"/>
      <c r="AMD173" s="1"/>
      <c r="AME173" s="1"/>
      <c r="AMF173" s="1"/>
      <c r="AMG173" s="1"/>
      <c r="AMH173" s="1"/>
      <c r="AMI173" s="1"/>
      <c r="AMJ173" s="1"/>
    </row>
    <row r="174" customFormat="false" ht="10.5" hidden="false" customHeight="true" outlineLevel="0" collapsed="false">
      <c r="A174" s="217" t="s">
        <v>304</v>
      </c>
      <c r="B174" s="217"/>
      <c r="C174" s="217"/>
      <c r="D174" s="217"/>
      <c r="E174" s="217"/>
      <c r="F174" s="229" t="s">
        <v>305</v>
      </c>
      <c r="G174" s="229"/>
      <c r="H174" s="229"/>
      <c r="I174" s="229"/>
      <c r="J174" s="229"/>
      <c r="K174" s="229"/>
      <c r="L174" s="229"/>
      <c r="M174" s="229"/>
      <c r="N174" s="229"/>
      <c r="O174" s="229"/>
      <c r="P174" s="166" t="s">
        <v>306</v>
      </c>
      <c r="Q174" s="166"/>
      <c r="R174" s="166"/>
      <c r="S174" s="166"/>
      <c r="T174" s="166"/>
      <c r="U174" s="166"/>
      <c r="V174" s="166"/>
      <c r="W174" s="166"/>
      <c r="X174" s="166"/>
      <c r="Y174" s="166"/>
      <c r="Z174" s="168" t="n">
        <v>90000</v>
      </c>
      <c r="AA174" s="168"/>
      <c r="AB174" s="168"/>
      <c r="AC174" s="168"/>
      <c r="AD174" s="86" t="s">
        <v>69</v>
      </c>
      <c r="AE174" s="86"/>
      <c r="AF174" s="86"/>
      <c r="AG174" s="228" t="s">
        <v>307</v>
      </c>
      <c r="AH174" s="228"/>
      <c r="AI174" s="228"/>
      <c r="AJ174" s="228"/>
      <c r="AK174" s="228"/>
      <c r="AL174" s="228"/>
      <c r="AM174" s="228"/>
      <c r="AN174" s="228"/>
      <c r="AO174" s="228"/>
      <c r="BE174" s="1"/>
      <c r="BF174" s="1"/>
      <c r="BG174" s="1"/>
      <c r="BH174" s="1"/>
      <c r="BI174" s="1"/>
      <c r="BJ174" s="1"/>
      <c r="BK174" s="1"/>
      <c r="BL174" s="1"/>
      <c r="BM174" s="1"/>
      <c r="BN174" s="1"/>
      <c r="BO174" s="1"/>
      <c r="BP174" s="1"/>
      <c r="BQ174" s="1"/>
      <c r="BR174" s="1"/>
      <c r="BS174" s="1"/>
      <c r="BT174" s="1"/>
      <c r="BU174" s="1"/>
      <c r="BV174" s="1"/>
      <c r="BW174" s="1"/>
      <c r="BX174" s="1"/>
      <c r="BY174" s="1"/>
      <c r="BZ174" s="1"/>
      <c r="CA174" s="1"/>
      <c r="CB174" s="1"/>
      <c r="CC174" s="1"/>
      <c r="CD174" s="1"/>
      <c r="CE174" s="1"/>
      <c r="CF174" s="1"/>
      <c r="CG174" s="1"/>
      <c r="CH174" s="1"/>
      <c r="CI174" s="1"/>
      <c r="CJ174" s="1"/>
      <c r="CK174" s="1"/>
      <c r="CL174" s="1"/>
      <c r="CM174" s="1"/>
      <c r="CN174" s="1"/>
      <c r="CO174" s="1"/>
      <c r="CP174" s="1"/>
      <c r="CQ174" s="1"/>
      <c r="CR174" s="1"/>
      <c r="CS174" s="1"/>
      <c r="CT174" s="1"/>
      <c r="CU174" s="1"/>
      <c r="CV174" s="1"/>
      <c r="CW174" s="1"/>
      <c r="CX174" s="1"/>
      <c r="CY174" s="1"/>
      <c r="CZ174" s="1"/>
      <c r="DA174" s="1"/>
      <c r="DB174" s="1"/>
      <c r="DC174" s="1"/>
      <c r="DD174" s="1"/>
      <c r="DE174" s="1"/>
      <c r="DF174" s="1"/>
      <c r="DG174" s="1"/>
      <c r="DH174" s="1"/>
      <c r="DI174" s="1"/>
      <c r="DJ174" s="1"/>
      <c r="DK174" s="1"/>
      <c r="DL174" s="1"/>
      <c r="DM174" s="1"/>
      <c r="DN174" s="1"/>
      <c r="DO174" s="1"/>
      <c r="DP174" s="1"/>
      <c r="DQ174" s="1"/>
      <c r="DR174" s="1"/>
      <c r="DS174" s="1"/>
      <c r="DT174" s="1"/>
      <c r="DU174" s="1"/>
      <c r="DV174" s="1"/>
      <c r="DW174" s="1"/>
      <c r="DX174" s="1"/>
      <c r="DY174" s="1"/>
      <c r="DZ174" s="1"/>
      <c r="EA174" s="1"/>
      <c r="EB174" s="1"/>
      <c r="EC174" s="1"/>
      <c r="ED174" s="1"/>
      <c r="EE174" s="1"/>
      <c r="EF174" s="1"/>
      <c r="EG174" s="1"/>
      <c r="EH174" s="1"/>
      <c r="EI174" s="1"/>
      <c r="EJ174" s="1"/>
      <c r="EK174" s="1"/>
      <c r="EL174" s="1"/>
      <c r="EM174" s="1"/>
      <c r="EN174" s="1"/>
      <c r="EO174" s="1"/>
      <c r="EP174" s="1"/>
      <c r="EQ174" s="1"/>
      <c r="ER174" s="1"/>
      <c r="ES174" s="1"/>
      <c r="ET174" s="1"/>
      <c r="EU174" s="1"/>
      <c r="EV174" s="1"/>
      <c r="EW174" s="1"/>
      <c r="EX174" s="1"/>
      <c r="EY174" s="1"/>
      <c r="EZ174" s="1"/>
      <c r="FA174" s="1"/>
      <c r="FB174" s="1"/>
      <c r="FC174" s="1"/>
      <c r="FD174" s="1"/>
      <c r="FE174" s="1"/>
      <c r="FF174" s="1"/>
      <c r="FG174" s="1"/>
      <c r="FH174" s="1"/>
      <c r="FI174" s="1"/>
      <c r="FJ174" s="1"/>
      <c r="FK174" s="1"/>
      <c r="FL174" s="1"/>
      <c r="FM174" s="1"/>
      <c r="FN174" s="1"/>
      <c r="FO174" s="1"/>
      <c r="FP174" s="1"/>
      <c r="FQ174" s="1"/>
      <c r="FR174" s="1"/>
      <c r="FS174" s="1"/>
      <c r="FT174" s="1"/>
      <c r="FU174" s="1"/>
      <c r="FV174" s="1"/>
      <c r="FW174" s="1"/>
      <c r="FX174" s="1"/>
      <c r="FY174" s="1"/>
      <c r="FZ174" s="1"/>
      <c r="GA174" s="1"/>
      <c r="GB174" s="1"/>
      <c r="GC174" s="1"/>
      <c r="GD174" s="1"/>
      <c r="GE174" s="1"/>
      <c r="GF174" s="1"/>
      <c r="GG174" s="1"/>
      <c r="GH174" s="1"/>
      <c r="GI174" s="1"/>
      <c r="GJ174" s="1"/>
      <c r="GK174" s="1"/>
      <c r="GL174" s="1"/>
      <c r="GM174" s="1"/>
      <c r="GN174" s="1"/>
      <c r="GO174" s="1"/>
      <c r="GP174" s="1"/>
      <c r="GQ174" s="1"/>
      <c r="GR174" s="1"/>
      <c r="GS174" s="1"/>
      <c r="GT174" s="1"/>
      <c r="GU174" s="1"/>
      <c r="GV174" s="1"/>
      <c r="GW174" s="1"/>
      <c r="GX174" s="1"/>
      <c r="GY174" s="1"/>
      <c r="GZ174" s="1"/>
      <c r="HA174" s="1"/>
      <c r="HB174" s="1"/>
      <c r="HC174" s="1"/>
      <c r="HD174" s="1"/>
      <c r="HE174" s="1"/>
      <c r="HF174" s="1"/>
      <c r="HG174" s="1"/>
      <c r="HH174" s="1"/>
      <c r="HI174" s="1"/>
      <c r="HJ174" s="1"/>
      <c r="HK174" s="1"/>
      <c r="HL174" s="1"/>
      <c r="HM174" s="1"/>
      <c r="HN174" s="1"/>
      <c r="HO174" s="1"/>
      <c r="HP174" s="1"/>
      <c r="HQ174" s="1"/>
      <c r="HR174" s="1"/>
      <c r="HS174" s="1"/>
      <c r="HT174" s="1"/>
      <c r="HU174" s="1"/>
      <c r="HV174" s="1"/>
      <c r="HW174" s="1"/>
      <c r="HX174" s="1"/>
      <c r="HY174" s="1"/>
      <c r="HZ174" s="1"/>
      <c r="IA174" s="1"/>
      <c r="IB174" s="1"/>
      <c r="IC174" s="1"/>
      <c r="ID174" s="1"/>
      <c r="IE174" s="1"/>
      <c r="IF174" s="1"/>
      <c r="IG174" s="1"/>
      <c r="IH174" s="1"/>
      <c r="II174" s="1"/>
      <c r="IJ174" s="1"/>
      <c r="IK174" s="1"/>
      <c r="IL174" s="1"/>
      <c r="IM174" s="1"/>
      <c r="IN174" s="1"/>
      <c r="IO174" s="1"/>
      <c r="IP174" s="1"/>
      <c r="IQ174" s="1"/>
      <c r="IR174" s="1"/>
      <c r="IS174" s="1"/>
      <c r="IT174" s="1"/>
      <c r="IU174" s="1"/>
      <c r="IV174" s="1"/>
      <c r="IW174" s="1"/>
      <c r="IX174" s="1"/>
      <c r="IY174" s="1"/>
      <c r="IZ174" s="1"/>
      <c r="JA174" s="1"/>
      <c r="JB174" s="1"/>
      <c r="JC174" s="1"/>
      <c r="JD174" s="1"/>
      <c r="JE174" s="1"/>
      <c r="JF174" s="1"/>
      <c r="JG174" s="1"/>
      <c r="JH174" s="1"/>
      <c r="JI174" s="1"/>
      <c r="JJ174" s="1"/>
      <c r="JK174" s="1"/>
      <c r="JL174" s="1"/>
      <c r="JM174" s="1"/>
      <c r="JN174" s="1"/>
      <c r="JO174" s="1"/>
      <c r="JP174" s="1"/>
      <c r="JQ174" s="1"/>
      <c r="JR174" s="1"/>
      <c r="JS174" s="1"/>
      <c r="JT174" s="1"/>
      <c r="JU174" s="1"/>
      <c r="JV174" s="1"/>
      <c r="JW174" s="1"/>
      <c r="JX174" s="1"/>
      <c r="JY174" s="1"/>
      <c r="JZ174" s="1"/>
      <c r="KA174" s="1"/>
      <c r="KB174" s="1"/>
      <c r="KC174" s="1"/>
      <c r="KD174" s="1"/>
      <c r="KE174" s="1"/>
      <c r="KF174" s="1"/>
      <c r="KG174" s="1"/>
      <c r="KH174" s="1"/>
      <c r="KI174" s="1"/>
      <c r="KJ174" s="1"/>
      <c r="KK174" s="1"/>
      <c r="KL174" s="1"/>
      <c r="KM174" s="1"/>
      <c r="KN174" s="1"/>
      <c r="KO174" s="1"/>
      <c r="KP174" s="1"/>
      <c r="KQ174" s="1"/>
      <c r="KR174" s="1"/>
      <c r="KS174" s="1"/>
      <c r="KT174" s="1"/>
      <c r="KU174" s="1"/>
      <c r="KV174" s="1"/>
      <c r="KW174" s="1"/>
      <c r="KX174" s="1"/>
      <c r="KY174" s="1"/>
      <c r="KZ174" s="1"/>
      <c r="LA174" s="1"/>
      <c r="LB174" s="1"/>
      <c r="LC174" s="1"/>
      <c r="LD174" s="1"/>
      <c r="LE174" s="1"/>
      <c r="LF174" s="1"/>
      <c r="LG174" s="1"/>
      <c r="LH174" s="1"/>
      <c r="LI174" s="1"/>
      <c r="LJ174" s="1"/>
      <c r="LK174" s="1"/>
      <c r="LL174" s="1"/>
      <c r="LM174" s="1"/>
      <c r="LN174" s="1"/>
      <c r="LO174" s="1"/>
      <c r="LP174" s="1"/>
      <c r="LQ174" s="1"/>
      <c r="LR174" s="1"/>
      <c r="LS174" s="1"/>
      <c r="LT174" s="1"/>
      <c r="LU174" s="1"/>
      <c r="LV174" s="1"/>
      <c r="LW174" s="1"/>
      <c r="LX174" s="1"/>
      <c r="LY174" s="1"/>
      <c r="LZ174" s="1"/>
      <c r="MA174" s="1"/>
      <c r="MB174" s="1"/>
      <c r="MC174" s="1"/>
      <c r="MD174" s="1"/>
      <c r="ME174" s="1"/>
      <c r="MF174" s="1"/>
      <c r="MG174" s="1"/>
      <c r="MH174" s="1"/>
      <c r="MI174" s="1"/>
      <c r="MJ174" s="1"/>
      <c r="MK174" s="1"/>
      <c r="ML174" s="1"/>
      <c r="MM174" s="1"/>
      <c r="MN174" s="1"/>
      <c r="MO174" s="1"/>
      <c r="MP174" s="1"/>
      <c r="MQ174" s="1"/>
      <c r="MR174" s="1"/>
      <c r="MS174" s="1"/>
      <c r="MT174" s="1"/>
      <c r="MU174" s="1"/>
      <c r="MV174" s="1"/>
      <c r="MW174" s="1"/>
      <c r="MX174" s="1"/>
      <c r="MY174" s="1"/>
      <c r="MZ174" s="1"/>
      <c r="NA174" s="1"/>
      <c r="NB174" s="1"/>
      <c r="NC174" s="1"/>
      <c r="ND174" s="1"/>
      <c r="NE174" s="1"/>
      <c r="NF174" s="1"/>
      <c r="NG174" s="1"/>
      <c r="NH174" s="1"/>
      <c r="NI174" s="1"/>
      <c r="NJ174" s="1"/>
      <c r="NK174" s="1"/>
      <c r="NL174" s="1"/>
      <c r="NM174" s="1"/>
      <c r="NN174" s="1"/>
      <c r="NO174" s="1"/>
      <c r="NP174" s="1"/>
      <c r="NQ174" s="1"/>
      <c r="NR174" s="1"/>
      <c r="NS174" s="1"/>
      <c r="NT174" s="1"/>
      <c r="NU174" s="1"/>
      <c r="NV174" s="1"/>
      <c r="NW174" s="1"/>
      <c r="NX174" s="1"/>
      <c r="NY174" s="1"/>
      <c r="NZ174" s="1"/>
      <c r="OA174" s="1"/>
      <c r="OB174" s="1"/>
      <c r="OC174" s="1"/>
      <c r="OD174" s="1"/>
      <c r="OE174" s="1"/>
      <c r="OF174" s="1"/>
      <c r="OG174" s="1"/>
      <c r="OH174" s="1"/>
      <c r="OI174" s="1"/>
      <c r="OJ174" s="1"/>
      <c r="OK174" s="1"/>
      <c r="OL174" s="1"/>
      <c r="OM174" s="1"/>
      <c r="ON174" s="1"/>
      <c r="OO174" s="1"/>
      <c r="OP174" s="1"/>
      <c r="OQ174" s="1"/>
      <c r="OR174" s="1"/>
      <c r="OS174" s="1"/>
      <c r="OT174" s="1"/>
      <c r="OU174" s="1"/>
      <c r="OV174" s="1"/>
      <c r="OW174" s="1"/>
      <c r="OX174" s="1"/>
      <c r="OY174" s="1"/>
      <c r="OZ174" s="1"/>
      <c r="PA174" s="1"/>
      <c r="PB174" s="1"/>
      <c r="PC174" s="1"/>
      <c r="PD174" s="1"/>
      <c r="PE174" s="1"/>
      <c r="PF174" s="1"/>
      <c r="PG174" s="1"/>
      <c r="PH174" s="1"/>
      <c r="PI174" s="1"/>
      <c r="PJ174" s="1"/>
      <c r="PK174" s="1"/>
      <c r="PL174" s="1"/>
      <c r="PM174" s="1"/>
      <c r="PN174" s="1"/>
      <c r="PO174" s="1"/>
      <c r="PP174" s="1"/>
      <c r="PQ174" s="1"/>
      <c r="PR174" s="1"/>
      <c r="PS174" s="1"/>
      <c r="PT174" s="1"/>
      <c r="PU174" s="1"/>
      <c r="PV174" s="1"/>
      <c r="PW174" s="1"/>
      <c r="PX174" s="1"/>
      <c r="PY174" s="1"/>
      <c r="PZ174" s="1"/>
      <c r="QA174" s="1"/>
      <c r="QB174" s="1"/>
      <c r="QC174" s="1"/>
      <c r="QD174" s="1"/>
      <c r="QE174" s="1"/>
      <c r="QF174" s="1"/>
      <c r="QG174" s="1"/>
      <c r="QH174" s="1"/>
      <c r="QI174" s="1"/>
      <c r="QJ174" s="1"/>
      <c r="QK174" s="1"/>
      <c r="QL174" s="1"/>
      <c r="QM174" s="1"/>
      <c r="QN174" s="1"/>
      <c r="QO174" s="1"/>
      <c r="QP174" s="1"/>
      <c r="QQ174" s="1"/>
      <c r="QR174" s="1"/>
      <c r="QS174" s="1"/>
      <c r="QT174" s="1"/>
      <c r="QU174" s="1"/>
      <c r="QV174" s="1"/>
      <c r="QW174" s="1"/>
      <c r="QX174" s="1"/>
      <c r="QY174" s="1"/>
      <c r="QZ174" s="1"/>
      <c r="RA174" s="1"/>
      <c r="RB174" s="1"/>
      <c r="RC174" s="1"/>
      <c r="RD174" s="1"/>
      <c r="RE174" s="1"/>
      <c r="RF174" s="1"/>
      <c r="RG174" s="1"/>
      <c r="RH174" s="1"/>
      <c r="RI174" s="1"/>
      <c r="RJ174" s="1"/>
      <c r="RK174" s="1"/>
      <c r="RL174" s="1"/>
      <c r="RM174" s="1"/>
      <c r="RN174" s="1"/>
      <c r="RO174" s="1"/>
      <c r="RP174" s="1"/>
      <c r="RQ174" s="1"/>
      <c r="RR174" s="1"/>
      <c r="RS174" s="1"/>
      <c r="RT174" s="1"/>
      <c r="RU174" s="1"/>
      <c r="RV174" s="1"/>
      <c r="RW174" s="1"/>
      <c r="RX174" s="1"/>
      <c r="RY174" s="1"/>
      <c r="RZ174" s="1"/>
      <c r="SA174" s="1"/>
      <c r="SB174" s="1"/>
      <c r="SC174" s="1"/>
      <c r="SD174" s="1"/>
      <c r="SE174" s="1"/>
      <c r="SF174" s="1"/>
      <c r="SG174" s="1"/>
      <c r="SH174" s="1"/>
      <c r="SI174" s="1"/>
      <c r="SJ174" s="1"/>
      <c r="SK174" s="1"/>
      <c r="SL174" s="1"/>
      <c r="SM174" s="1"/>
      <c r="SN174" s="1"/>
      <c r="SO174" s="1"/>
      <c r="SP174" s="1"/>
      <c r="SQ174" s="1"/>
      <c r="SR174" s="1"/>
      <c r="SS174" s="1"/>
      <c r="ST174" s="1"/>
      <c r="SU174" s="1"/>
      <c r="SV174" s="1"/>
      <c r="SW174" s="1"/>
      <c r="SX174" s="1"/>
      <c r="SY174" s="1"/>
      <c r="SZ174" s="1"/>
      <c r="TA174" s="1"/>
      <c r="TB174" s="1"/>
      <c r="TC174" s="1"/>
      <c r="TD174" s="1"/>
      <c r="TE174" s="1"/>
      <c r="TF174" s="1"/>
      <c r="TG174" s="1"/>
      <c r="TH174" s="1"/>
      <c r="TI174" s="1"/>
      <c r="TJ174" s="1"/>
      <c r="TK174" s="1"/>
      <c r="TL174" s="1"/>
      <c r="TM174" s="1"/>
      <c r="TN174" s="1"/>
      <c r="TO174" s="1"/>
      <c r="TP174" s="1"/>
      <c r="TQ174" s="1"/>
      <c r="TR174" s="1"/>
      <c r="TS174" s="1"/>
      <c r="TT174" s="1"/>
      <c r="TU174" s="1"/>
      <c r="TV174" s="1"/>
      <c r="TW174" s="1"/>
      <c r="TX174" s="1"/>
      <c r="TY174" s="1"/>
      <c r="TZ174" s="1"/>
      <c r="UA174" s="1"/>
      <c r="UB174" s="1"/>
      <c r="UC174" s="1"/>
      <c r="UD174" s="1"/>
      <c r="UE174" s="1"/>
      <c r="UF174" s="1"/>
      <c r="UG174" s="1"/>
      <c r="UH174" s="1"/>
      <c r="UI174" s="1"/>
      <c r="UJ174" s="1"/>
      <c r="UK174" s="1"/>
      <c r="UL174" s="1"/>
      <c r="UM174" s="1"/>
      <c r="UN174" s="1"/>
      <c r="UO174" s="1"/>
      <c r="UP174" s="1"/>
      <c r="UQ174" s="1"/>
      <c r="UR174" s="1"/>
      <c r="US174" s="1"/>
      <c r="UT174" s="1"/>
      <c r="UU174" s="1"/>
      <c r="UV174" s="1"/>
      <c r="UW174" s="1"/>
      <c r="UX174" s="1"/>
      <c r="UY174" s="1"/>
      <c r="UZ174" s="1"/>
      <c r="VA174" s="1"/>
      <c r="VB174" s="1"/>
      <c r="VC174" s="1"/>
      <c r="VD174" s="1"/>
      <c r="VE174" s="1"/>
      <c r="VF174" s="1"/>
      <c r="VG174" s="1"/>
      <c r="VH174" s="1"/>
      <c r="VI174" s="1"/>
      <c r="VJ174" s="1"/>
      <c r="VK174" s="1"/>
      <c r="VL174" s="1"/>
      <c r="VM174" s="1"/>
      <c r="VN174" s="1"/>
      <c r="VO174" s="1"/>
      <c r="VP174" s="1"/>
      <c r="VQ174" s="1"/>
      <c r="VR174" s="1"/>
      <c r="VS174" s="1"/>
      <c r="VT174" s="1"/>
      <c r="VU174" s="1"/>
      <c r="VV174" s="1"/>
      <c r="VW174" s="1"/>
      <c r="VX174" s="1"/>
      <c r="VY174" s="1"/>
      <c r="VZ174" s="1"/>
      <c r="WA174" s="1"/>
      <c r="WB174" s="1"/>
      <c r="WC174" s="1"/>
      <c r="WD174" s="1"/>
      <c r="WE174" s="1"/>
      <c r="WF174" s="1"/>
      <c r="WG174" s="1"/>
      <c r="WH174" s="1"/>
      <c r="WI174" s="1"/>
      <c r="WJ174" s="1"/>
      <c r="WK174" s="1"/>
      <c r="WL174" s="1"/>
      <c r="WM174" s="1"/>
      <c r="WN174" s="1"/>
      <c r="WO174" s="1"/>
      <c r="WP174" s="1"/>
      <c r="WQ174" s="1"/>
      <c r="WR174" s="1"/>
      <c r="WS174" s="1"/>
      <c r="WT174" s="1"/>
      <c r="WU174" s="1"/>
      <c r="WV174" s="1"/>
      <c r="WW174" s="1"/>
      <c r="WX174" s="1"/>
      <c r="WY174" s="1"/>
      <c r="WZ174" s="1"/>
      <c r="XA174" s="1"/>
      <c r="XB174" s="1"/>
      <c r="XC174" s="1"/>
      <c r="XD174" s="1"/>
      <c r="XE174" s="1"/>
      <c r="XF174" s="1"/>
      <c r="XG174" s="1"/>
      <c r="XH174" s="1"/>
      <c r="XI174" s="1"/>
      <c r="XJ174" s="1"/>
      <c r="XK174" s="1"/>
      <c r="XL174" s="1"/>
      <c r="XM174" s="1"/>
      <c r="XN174" s="1"/>
      <c r="XO174" s="1"/>
      <c r="XP174" s="1"/>
      <c r="XQ174" s="1"/>
      <c r="XR174" s="1"/>
      <c r="XS174" s="1"/>
      <c r="XT174" s="1"/>
      <c r="XU174" s="1"/>
      <c r="XV174" s="1"/>
      <c r="XW174" s="1"/>
      <c r="XX174" s="1"/>
      <c r="XY174" s="1"/>
      <c r="XZ174" s="1"/>
      <c r="YA174" s="1"/>
      <c r="YB174" s="1"/>
      <c r="YC174" s="1"/>
      <c r="YD174" s="1"/>
      <c r="YE174" s="1"/>
      <c r="YF174" s="1"/>
      <c r="YG174" s="1"/>
      <c r="YH174" s="1"/>
      <c r="YI174" s="1"/>
      <c r="YJ174" s="1"/>
      <c r="YK174" s="1"/>
      <c r="YL174" s="1"/>
      <c r="YM174" s="1"/>
      <c r="YN174" s="1"/>
      <c r="YO174" s="1"/>
      <c r="YP174" s="1"/>
      <c r="YQ174" s="1"/>
      <c r="YR174" s="1"/>
      <c r="YS174" s="1"/>
      <c r="YT174" s="1"/>
      <c r="YU174" s="1"/>
      <c r="YV174" s="1"/>
      <c r="YW174" s="1"/>
      <c r="YX174" s="1"/>
      <c r="YY174" s="1"/>
      <c r="YZ174" s="1"/>
      <c r="ZA174" s="1"/>
      <c r="ZB174" s="1"/>
      <c r="ZC174" s="1"/>
      <c r="ZD174" s="1"/>
      <c r="ZE174" s="1"/>
      <c r="ZF174" s="1"/>
      <c r="ZG174" s="1"/>
      <c r="ZH174" s="1"/>
      <c r="ZI174" s="1"/>
      <c r="ZJ174" s="1"/>
      <c r="ZK174" s="1"/>
      <c r="ZL174" s="1"/>
      <c r="ZM174" s="1"/>
      <c r="ZN174" s="1"/>
      <c r="ZO174" s="1"/>
      <c r="ZP174" s="1"/>
      <c r="ZQ174" s="1"/>
      <c r="ZR174" s="1"/>
      <c r="ZS174" s="1"/>
      <c r="ZT174" s="1"/>
      <c r="ZU174" s="1"/>
      <c r="ZV174" s="1"/>
      <c r="ZW174" s="1"/>
      <c r="ZX174" s="1"/>
      <c r="ZY174" s="1"/>
      <c r="ZZ174" s="1"/>
      <c r="AAA174" s="1"/>
      <c r="AAB174" s="1"/>
      <c r="AAC174" s="1"/>
      <c r="AAD174" s="1"/>
      <c r="AAE174" s="1"/>
      <c r="AAF174" s="1"/>
      <c r="AAG174" s="1"/>
      <c r="AAH174" s="1"/>
      <c r="AAI174" s="1"/>
      <c r="AAJ174" s="1"/>
      <c r="AAK174" s="1"/>
      <c r="AAL174" s="1"/>
      <c r="AAM174" s="1"/>
      <c r="AAN174" s="1"/>
      <c r="AAO174" s="1"/>
      <c r="AAP174" s="1"/>
      <c r="AAQ174" s="1"/>
      <c r="AAR174" s="1"/>
      <c r="AAS174" s="1"/>
      <c r="AAT174" s="1"/>
      <c r="AAU174" s="1"/>
      <c r="AAV174" s="1"/>
      <c r="AAW174" s="1"/>
      <c r="AAX174" s="1"/>
      <c r="AAY174" s="1"/>
      <c r="AAZ174" s="1"/>
      <c r="ABA174" s="1"/>
      <c r="ABB174" s="1"/>
      <c r="ABC174" s="1"/>
      <c r="ABD174" s="1"/>
      <c r="ABE174" s="1"/>
      <c r="ABF174" s="1"/>
      <c r="ABG174" s="1"/>
      <c r="ABH174" s="1"/>
      <c r="ABI174" s="1"/>
      <c r="ABJ174" s="1"/>
      <c r="ABK174" s="1"/>
      <c r="ABL174" s="1"/>
      <c r="ABM174" s="1"/>
      <c r="ABN174" s="1"/>
      <c r="ABO174" s="1"/>
      <c r="ABP174" s="1"/>
      <c r="ABQ174" s="1"/>
      <c r="ABR174" s="1"/>
      <c r="ABS174" s="1"/>
      <c r="ABT174" s="1"/>
      <c r="ABU174" s="1"/>
      <c r="ABV174" s="1"/>
      <c r="ABW174" s="1"/>
      <c r="ABX174" s="1"/>
      <c r="ABY174" s="1"/>
      <c r="ABZ174" s="1"/>
      <c r="ACA174" s="1"/>
      <c r="ACB174" s="1"/>
      <c r="ACC174" s="1"/>
      <c r="ACD174" s="1"/>
      <c r="ACE174" s="1"/>
      <c r="ACF174" s="1"/>
      <c r="ACG174" s="1"/>
      <c r="ACH174" s="1"/>
      <c r="ACI174" s="1"/>
      <c r="ACJ174" s="1"/>
      <c r="ACK174" s="1"/>
      <c r="ACL174" s="1"/>
      <c r="ACM174" s="1"/>
      <c r="ACN174" s="1"/>
      <c r="ACO174" s="1"/>
      <c r="ACP174" s="1"/>
      <c r="ACQ174" s="1"/>
      <c r="ACR174" s="1"/>
      <c r="ACS174" s="1"/>
      <c r="ACT174" s="1"/>
      <c r="ACU174" s="1"/>
      <c r="ACV174" s="1"/>
      <c r="ACW174" s="1"/>
      <c r="ACX174" s="1"/>
      <c r="ACY174" s="1"/>
      <c r="ACZ174" s="1"/>
      <c r="ADA174" s="1"/>
      <c r="ADB174" s="1"/>
      <c r="ADC174" s="1"/>
      <c r="ADD174" s="1"/>
      <c r="ADE174" s="1"/>
      <c r="ADF174" s="1"/>
      <c r="ADG174" s="1"/>
      <c r="ADH174" s="1"/>
      <c r="ADI174" s="1"/>
      <c r="ADJ174" s="1"/>
      <c r="ADK174" s="1"/>
      <c r="ADL174" s="1"/>
      <c r="ADM174" s="1"/>
      <c r="ADN174" s="1"/>
      <c r="ADO174" s="1"/>
      <c r="ADP174" s="1"/>
      <c r="ADQ174" s="1"/>
      <c r="ADR174" s="1"/>
      <c r="ADS174" s="1"/>
      <c r="ADT174" s="1"/>
      <c r="ADU174" s="1"/>
      <c r="ADV174" s="1"/>
      <c r="ADW174" s="1"/>
      <c r="ADX174" s="1"/>
      <c r="ADY174" s="1"/>
      <c r="ADZ174" s="1"/>
      <c r="AEA174" s="1"/>
      <c r="AEB174" s="1"/>
      <c r="AEC174" s="1"/>
      <c r="AED174" s="1"/>
      <c r="AEE174" s="1"/>
      <c r="AEF174" s="1"/>
      <c r="AEG174" s="1"/>
      <c r="AEH174" s="1"/>
      <c r="AEI174" s="1"/>
      <c r="AEJ174" s="1"/>
      <c r="AEK174" s="1"/>
      <c r="AEL174" s="1"/>
      <c r="AEM174" s="1"/>
      <c r="AEN174" s="1"/>
      <c r="AEO174" s="1"/>
      <c r="AEP174" s="1"/>
      <c r="AEQ174" s="1"/>
      <c r="AER174" s="1"/>
      <c r="AES174" s="1"/>
      <c r="AET174" s="1"/>
      <c r="AEU174" s="1"/>
      <c r="AEV174" s="1"/>
      <c r="AEW174" s="1"/>
      <c r="AEX174" s="1"/>
      <c r="AEY174" s="1"/>
      <c r="AEZ174" s="1"/>
      <c r="AFA174" s="1"/>
      <c r="AFB174" s="1"/>
      <c r="AFC174" s="1"/>
      <c r="AFD174" s="1"/>
      <c r="AFE174" s="1"/>
      <c r="AFF174" s="1"/>
      <c r="AFG174" s="1"/>
      <c r="AFH174" s="1"/>
      <c r="AFI174" s="1"/>
      <c r="AFJ174" s="1"/>
      <c r="AFK174" s="1"/>
      <c r="AFL174" s="1"/>
      <c r="AFM174" s="1"/>
      <c r="AFN174" s="1"/>
      <c r="AFO174" s="1"/>
      <c r="AFP174" s="1"/>
      <c r="AFQ174" s="1"/>
      <c r="AFR174" s="1"/>
      <c r="AFS174" s="1"/>
      <c r="AFT174" s="1"/>
      <c r="AFU174" s="1"/>
      <c r="AFV174" s="1"/>
      <c r="AFW174" s="1"/>
      <c r="AFX174" s="1"/>
      <c r="AFY174" s="1"/>
      <c r="AFZ174" s="1"/>
      <c r="AGA174" s="1"/>
      <c r="AGB174" s="1"/>
      <c r="AGC174" s="1"/>
      <c r="AGD174" s="1"/>
      <c r="AGE174" s="1"/>
      <c r="AGF174" s="1"/>
      <c r="AGG174" s="1"/>
      <c r="AGH174" s="1"/>
      <c r="AGI174" s="1"/>
      <c r="AGJ174" s="1"/>
      <c r="AGK174" s="1"/>
      <c r="AGL174" s="1"/>
      <c r="AGM174" s="1"/>
      <c r="AGN174" s="1"/>
      <c r="AGO174" s="1"/>
      <c r="AGP174" s="1"/>
      <c r="AGQ174" s="1"/>
      <c r="AGR174" s="1"/>
      <c r="AGS174" s="1"/>
      <c r="AGT174" s="1"/>
      <c r="AGU174" s="1"/>
      <c r="AGV174" s="1"/>
      <c r="AGW174" s="1"/>
      <c r="AGX174" s="1"/>
      <c r="AGY174" s="1"/>
      <c r="AGZ174" s="1"/>
      <c r="AHA174" s="1"/>
      <c r="AHB174" s="1"/>
      <c r="AHC174" s="1"/>
      <c r="AHD174" s="1"/>
      <c r="AHE174" s="1"/>
      <c r="AHF174" s="1"/>
      <c r="AHG174" s="1"/>
      <c r="AHH174" s="1"/>
      <c r="AHI174" s="1"/>
      <c r="AHJ174" s="1"/>
      <c r="AHK174" s="1"/>
      <c r="AHL174" s="1"/>
      <c r="AHM174" s="1"/>
      <c r="AHN174" s="1"/>
      <c r="AHO174" s="1"/>
      <c r="AHP174" s="1"/>
      <c r="AHQ174" s="1"/>
      <c r="AHR174" s="1"/>
      <c r="AHS174" s="1"/>
      <c r="AHT174" s="1"/>
      <c r="AHU174" s="1"/>
      <c r="AHV174" s="1"/>
      <c r="AHW174" s="1"/>
      <c r="AHX174" s="1"/>
      <c r="AHY174" s="1"/>
      <c r="AHZ174" s="1"/>
      <c r="AIA174" s="1"/>
      <c r="AIB174" s="1"/>
      <c r="AIC174" s="1"/>
      <c r="AID174" s="1"/>
      <c r="AIE174" s="1"/>
      <c r="AIF174" s="1"/>
      <c r="AIG174" s="1"/>
      <c r="AIH174" s="1"/>
      <c r="AII174" s="1"/>
      <c r="AIJ174" s="1"/>
      <c r="AIK174" s="1"/>
      <c r="AIL174" s="1"/>
      <c r="AIM174" s="1"/>
      <c r="AIN174" s="1"/>
      <c r="AIO174" s="1"/>
      <c r="AIP174" s="1"/>
      <c r="AIQ174" s="1"/>
      <c r="AIR174" s="1"/>
      <c r="AIS174" s="1"/>
      <c r="AIT174" s="1"/>
      <c r="AIU174" s="1"/>
      <c r="AIV174" s="1"/>
      <c r="AIW174" s="1"/>
      <c r="AIX174" s="1"/>
      <c r="AIY174" s="1"/>
      <c r="AIZ174" s="1"/>
      <c r="AJA174" s="1"/>
      <c r="AJB174" s="1"/>
      <c r="AJC174" s="1"/>
      <c r="AJD174" s="1"/>
      <c r="AJE174" s="1"/>
      <c r="AJF174" s="1"/>
      <c r="AJG174" s="1"/>
      <c r="AJH174" s="1"/>
      <c r="AJI174" s="1"/>
      <c r="AJJ174" s="1"/>
      <c r="AJK174" s="1"/>
      <c r="AJL174" s="1"/>
      <c r="AJM174" s="1"/>
      <c r="AJN174" s="1"/>
      <c r="AJO174" s="1"/>
      <c r="AJP174" s="1"/>
      <c r="AJQ174" s="1"/>
      <c r="AJR174" s="1"/>
      <c r="AJS174" s="1"/>
      <c r="AJT174" s="1"/>
      <c r="AJU174" s="1"/>
      <c r="AJV174" s="1"/>
      <c r="AJW174" s="1"/>
      <c r="AJX174" s="1"/>
      <c r="AJY174" s="1"/>
      <c r="AJZ174" s="1"/>
      <c r="AKA174" s="1"/>
      <c r="AKB174" s="1"/>
      <c r="AKC174" s="1"/>
      <c r="AKD174" s="1"/>
      <c r="AKE174" s="1"/>
      <c r="AKF174" s="1"/>
      <c r="AKG174" s="1"/>
      <c r="AKH174" s="1"/>
      <c r="AKI174" s="1"/>
      <c r="AKJ174" s="1"/>
      <c r="AKK174" s="1"/>
      <c r="AKL174" s="1"/>
      <c r="AKM174" s="1"/>
      <c r="AKN174" s="1"/>
      <c r="AKO174" s="1"/>
      <c r="AKP174" s="1"/>
      <c r="AKQ174" s="1"/>
      <c r="AKR174" s="1"/>
      <c r="AKS174" s="1"/>
      <c r="AKT174" s="1"/>
      <c r="AKU174" s="1"/>
      <c r="AKV174" s="1"/>
      <c r="AKW174" s="1"/>
      <c r="AKX174" s="1"/>
      <c r="AKY174" s="1"/>
      <c r="AKZ174" s="1"/>
      <c r="ALA174" s="1"/>
      <c r="ALB174" s="1"/>
      <c r="ALC174" s="1"/>
      <c r="ALD174" s="1"/>
      <c r="ALE174" s="1"/>
      <c r="ALF174" s="1"/>
      <c r="ALG174" s="1"/>
      <c r="ALH174" s="1"/>
      <c r="ALI174" s="1"/>
      <c r="ALJ174" s="1"/>
      <c r="ALK174" s="1"/>
      <c r="ALL174" s="1"/>
      <c r="ALM174" s="1"/>
      <c r="ALN174" s="1"/>
      <c r="ALO174" s="1"/>
      <c r="ALP174" s="1"/>
      <c r="ALQ174" s="1"/>
      <c r="ALR174" s="1"/>
      <c r="ALS174" s="1"/>
      <c r="ALT174" s="1"/>
      <c r="ALU174" s="1"/>
      <c r="ALV174" s="1"/>
      <c r="ALW174" s="1"/>
      <c r="ALX174" s="1"/>
      <c r="ALY174" s="1"/>
      <c r="ALZ174" s="1"/>
      <c r="AMA174" s="1"/>
      <c r="AMB174" s="1"/>
      <c r="AMC174" s="1"/>
      <c r="AMD174" s="1"/>
      <c r="AME174" s="1"/>
      <c r="AMF174" s="1"/>
      <c r="AMG174" s="1"/>
      <c r="AMH174" s="1"/>
      <c r="AMI174" s="1"/>
      <c r="AMJ174" s="1"/>
    </row>
    <row r="175" customFormat="false" ht="10.5" hidden="false" customHeight="true" outlineLevel="0" collapsed="false">
      <c r="A175" s="217" t="s">
        <v>308</v>
      </c>
      <c r="B175" s="217"/>
      <c r="C175" s="217"/>
      <c r="D175" s="217"/>
      <c r="E175" s="217"/>
      <c r="F175" s="166" t="s">
        <v>309</v>
      </c>
      <c r="G175" s="166"/>
      <c r="H175" s="166"/>
      <c r="I175" s="166"/>
      <c r="J175" s="166"/>
      <c r="K175" s="166"/>
      <c r="L175" s="166"/>
      <c r="M175" s="166"/>
      <c r="N175" s="166"/>
      <c r="O175" s="166"/>
      <c r="P175" s="166" t="s">
        <v>310</v>
      </c>
      <c r="Q175" s="166"/>
      <c r="R175" s="166"/>
      <c r="S175" s="166"/>
      <c r="T175" s="166"/>
      <c r="U175" s="166"/>
      <c r="V175" s="166"/>
      <c r="W175" s="166"/>
      <c r="X175" s="166"/>
      <c r="Y175" s="166"/>
      <c r="Z175" s="168" t="n">
        <v>150000</v>
      </c>
      <c r="AA175" s="168"/>
      <c r="AB175" s="168"/>
      <c r="AC175" s="168"/>
      <c r="AD175" s="86" t="s">
        <v>67</v>
      </c>
      <c r="AE175" s="86"/>
      <c r="AF175" s="86"/>
      <c r="AG175" s="228" t="s">
        <v>311</v>
      </c>
      <c r="AH175" s="228"/>
      <c r="AI175" s="228"/>
      <c r="AJ175" s="228"/>
      <c r="AK175" s="228"/>
      <c r="AL175" s="228"/>
      <c r="AM175" s="228"/>
      <c r="AN175" s="228"/>
      <c r="AO175" s="228"/>
      <c r="BE175" s="1"/>
      <c r="BF175" s="1"/>
      <c r="BG175" s="1"/>
      <c r="BH175" s="1"/>
      <c r="BI175" s="1"/>
      <c r="BJ175" s="1"/>
      <c r="BK175" s="1"/>
      <c r="BL175" s="1"/>
      <c r="BM175" s="1"/>
      <c r="BN175" s="1"/>
      <c r="BO175" s="1"/>
      <c r="BP175" s="1"/>
      <c r="BQ175" s="1"/>
      <c r="BR175" s="1"/>
      <c r="BS175" s="1"/>
      <c r="BT175" s="1"/>
      <c r="BU175" s="1"/>
      <c r="BV175" s="1"/>
      <c r="BW175" s="1"/>
      <c r="BX175" s="1"/>
      <c r="BY175" s="1"/>
      <c r="BZ175" s="1"/>
      <c r="CA175" s="1"/>
      <c r="CB175" s="1"/>
      <c r="CC175" s="1"/>
      <c r="CD175" s="1"/>
      <c r="CE175" s="1"/>
      <c r="CF175" s="1"/>
      <c r="CG175" s="1"/>
      <c r="CH175" s="1"/>
      <c r="CI175" s="1"/>
      <c r="CJ175" s="1"/>
      <c r="CK175" s="1"/>
      <c r="CL175" s="1"/>
      <c r="CM175" s="1"/>
      <c r="CN175" s="1"/>
      <c r="CO175" s="1"/>
      <c r="CP175" s="1"/>
      <c r="CQ175" s="1"/>
      <c r="CR175" s="1"/>
      <c r="CS175" s="1"/>
      <c r="CT175" s="1"/>
      <c r="CU175" s="1"/>
      <c r="CV175" s="1"/>
      <c r="CW175" s="1"/>
      <c r="CX175" s="1"/>
      <c r="CY175" s="1"/>
      <c r="CZ175" s="1"/>
      <c r="DA175" s="1"/>
      <c r="DB175" s="1"/>
      <c r="DC175" s="1"/>
      <c r="DD175" s="1"/>
      <c r="DE175" s="1"/>
      <c r="DF175" s="1"/>
      <c r="DG175" s="1"/>
      <c r="DH175" s="1"/>
      <c r="DI175" s="1"/>
      <c r="DJ175" s="1"/>
      <c r="DK175" s="1"/>
      <c r="DL175" s="1"/>
      <c r="DM175" s="1"/>
      <c r="DN175" s="1"/>
      <c r="DO175" s="1"/>
      <c r="DP175" s="1"/>
      <c r="DQ175" s="1"/>
      <c r="DR175" s="1"/>
      <c r="DS175" s="1"/>
      <c r="DT175" s="1"/>
      <c r="DU175" s="1"/>
      <c r="DV175" s="1"/>
      <c r="DW175" s="1"/>
      <c r="DX175" s="1"/>
      <c r="DY175" s="1"/>
      <c r="DZ175" s="1"/>
      <c r="EA175" s="1"/>
      <c r="EB175" s="1"/>
      <c r="EC175" s="1"/>
      <c r="ED175" s="1"/>
      <c r="EE175" s="1"/>
      <c r="EF175" s="1"/>
      <c r="EG175" s="1"/>
      <c r="EH175" s="1"/>
      <c r="EI175" s="1"/>
      <c r="EJ175" s="1"/>
      <c r="EK175" s="1"/>
      <c r="EL175" s="1"/>
      <c r="EM175" s="1"/>
      <c r="EN175" s="1"/>
      <c r="EO175" s="1"/>
      <c r="EP175" s="1"/>
      <c r="EQ175" s="1"/>
      <c r="ER175" s="1"/>
      <c r="ES175" s="1"/>
      <c r="ET175" s="1"/>
      <c r="EU175" s="1"/>
      <c r="EV175" s="1"/>
      <c r="EW175" s="1"/>
      <c r="EX175" s="1"/>
      <c r="EY175" s="1"/>
      <c r="EZ175" s="1"/>
      <c r="FA175" s="1"/>
      <c r="FB175" s="1"/>
      <c r="FC175" s="1"/>
      <c r="FD175" s="1"/>
      <c r="FE175" s="1"/>
      <c r="FF175" s="1"/>
      <c r="FG175" s="1"/>
      <c r="FH175" s="1"/>
      <c r="FI175" s="1"/>
      <c r="FJ175" s="1"/>
      <c r="FK175" s="1"/>
      <c r="FL175" s="1"/>
      <c r="FM175" s="1"/>
      <c r="FN175" s="1"/>
      <c r="FO175" s="1"/>
      <c r="FP175" s="1"/>
      <c r="FQ175" s="1"/>
      <c r="FR175" s="1"/>
      <c r="FS175" s="1"/>
      <c r="FT175" s="1"/>
      <c r="FU175" s="1"/>
      <c r="FV175" s="1"/>
      <c r="FW175" s="1"/>
      <c r="FX175" s="1"/>
      <c r="FY175" s="1"/>
      <c r="FZ175" s="1"/>
      <c r="GA175" s="1"/>
      <c r="GB175" s="1"/>
      <c r="GC175" s="1"/>
      <c r="GD175" s="1"/>
      <c r="GE175" s="1"/>
      <c r="GF175" s="1"/>
      <c r="GG175" s="1"/>
      <c r="GH175" s="1"/>
      <c r="GI175" s="1"/>
      <c r="GJ175" s="1"/>
      <c r="GK175" s="1"/>
      <c r="GL175" s="1"/>
      <c r="GM175" s="1"/>
      <c r="GN175" s="1"/>
      <c r="GO175" s="1"/>
      <c r="GP175" s="1"/>
      <c r="GQ175" s="1"/>
      <c r="GR175" s="1"/>
      <c r="GS175" s="1"/>
      <c r="GT175" s="1"/>
      <c r="GU175" s="1"/>
      <c r="GV175" s="1"/>
      <c r="GW175" s="1"/>
      <c r="GX175" s="1"/>
      <c r="GY175" s="1"/>
      <c r="GZ175" s="1"/>
      <c r="HA175" s="1"/>
      <c r="HB175" s="1"/>
      <c r="HC175" s="1"/>
      <c r="HD175" s="1"/>
      <c r="HE175" s="1"/>
      <c r="HF175" s="1"/>
      <c r="HG175" s="1"/>
      <c r="HH175" s="1"/>
      <c r="HI175" s="1"/>
      <c r="HJ175" s="1"/>
      <c r="HK175" s="1"/>
      <c r="HL175" s="1"/>
      <c r="HM175" s="1"/>
      <c r="HN175" s="1"/>
      <c r="HO175" s="1"/>
      <c r="HP175" s="1"/>
      <c r="HQ175" s="1"/>
      <c r="HR175" s="1"/>
      <c r="HS175" s="1"/>
      <c r="HT175" s="1"/>
      <c r="HU175" s="1"/>
      <c r="HV175" s="1"/>
      <c r="HW175" s="1"/>
      <c r="HX175" s="1"/>
      <c r="HY175" s="1"/>
      <c r="HZ175" s="1"/>
      <c r="IA175" s="1"/>
      <c r="IB175" s="1"/>
      <c r="IC175" s="1"/>
      <c r="ID175" s="1"/>
      <c r="IE175" s="1"/>
      <c r="IF175" s="1"/>
      <c r="IG175" s="1"/>
      <c r="IH175" s="1"/>
      <c r="II175" s="1"/>
      <c r="IJ175" s="1"/>
      <c r="IK175" s="1"/>
      <c r="IL175" s="1"/>
      <c r="IM175" s="1"/>
      <c r="IN175" s="1"/>
      <c r="IO175" s="1"/>
      <c r="IP175" s="1"/>
      <c r="IQ175" s="1"/>
      <c r="IR175" s="1"/>
      <c r="IS175" s="1"/>
      <c r="IT175" s="1"/>
      <c r="IU175" s="1"/>
      <c r="IV175" s="1"/>
      <c r="IW175" s="1"/>
      <c r="IX175" s="1"/>
      <c r="IY175" s="1"/>
      <c r="IZ175" s="1"/>
      <c r="JA175" s="1"/>
      <c r="JB175" s="1"/>
      <c r="JC175" s="1"/>
      <c r="JD175" s="1"/>
      <c r="JE175" s="1"/>
      <c r="JF175" s="1"/>
      <c r="JG175" s="1"/>
      <c r="JH175" s="1"/>
      <c r="JI175" s="1"/>
      <c r="JJ175" s="1"/>
      <c r="JK175" s="1"/>
      <c r="JL175" s="1"/>
      <c r="JM175" s="1"/>
      <c r="JN175" s="1"/>
      <c r="JO175" s="1"/>
      <c r="JP175" s="1"/>
      <c r="JQ175" s="1"/>
      <c r="JR175" s="1"/>
      <c r="JS175" s="1"/>
      <c r="JT175" s="1"/>
      <c r="JU175" s="1"/>
      <c r="JV175" s="1"/>
      <c r="JW175" s="1"/>
      <c r="JX175" s="1"/>
      <c r="JY175" s="1"/>
      <c r="JZ175" s="1"/>
      <c r="KA175" s="1"/>
      <c r="KB175" s="1"/>
      <c r="KC175" s="1"/>
      <c r="KD175" s="1"/>
      <c r="KE175" s="1"/>
      <c r="KF175" s="1"/>
      <c r="KG175" s="1"/>
      <c r="KH175" s="1"/>
      <c r="KI175" s="1"/>
      <c r="KJ175" s="1"/>
      <c r="KK175" s="1"/>
      <c r="KL175" s="1"/>
      <c r="KM175" s="1"/>
      <c r="KN175" s="1"/>
      <c r="KO175" s="1"/>
      <c r="KP175" s="1"/>
      <c r="KQ175" s="1"/>
      <c r="KR175" s="1"/>
      <c r="KS175" s="1"/>
      <c r="KT175" s="1"/>
      <c r="KU175" s="1"/>
      <c r="KV175" s="1"/>
      <c r="KW175" s="1"/>
      <c r="KX175" s="1"/>
      <c r="KY175" s="1"/>
      <c r="KZ175" s="1"/>
      <c r="LA175" s="1"/>
      <c r="LB175" s="1"/>
      <c r="LC175" s="1"/>
      <c r="LD175" s="1"/>
      <c r="LE175" s="1"/>
      <c r="LF175" s="1"/>
      <c r="LG175" s="1"/>
      <c r="LH175" s="1"/>
      <c r="LI175" s="1"/>
      <c r="LJ175" s="1"/>
      <c r="LK175" s="1"/>
      <c r="LL175" s="1"/>
      <c r="LM175" s="1"/>
      <c r="LN175" s="1"/>
      <c r="LO175" s="1"/>
      <c r="LP175" s="1"/>
      <c r="LQ175" s="1"/>
      <c r="LR175" s="1"/>
      <c r="LS175" s="1"/>
      <c r="LT175" s="1"/>
      <c r="LU175" s="1"/>
      <c r="LV175" s="1"/>
      <c r="LW175" s="1"/>
      <c r="LX175" s="1"/>
      <c r="LY175" s="1"/>
      <c r="LZ175" s="1"/>
      <c r="MA175" s="1"/>
      <c r="MB175" s="1"/>
      <c r="MC175" s="1"/>
      <c r="MD175" s="1"/>
      <c r="ME175" s="1"/>
      <c r="MF175" s="1"/>
      <c r="MG175" s="1"/>
      <c r="MH175" s="1"/>
      <c r="MI175" s="1"/>
      <c r="MJ175" s="1"/>
      <c r="MK175" s="1"/>
      <c r="ML175" s="1"/>
      <c r="MM175" s="1"/>
      <c r="MN175" s="1"/>
      <c r="MO175" s="1"/>
      <c r="MP175" s="1"/>
      <c r="MQ175" s="1"/>
      <c r="MR175" s="1"/>
      <c r="MS175" s="1"/>
      <c r="MT175" s="1"/>
      <c r="MU175" s="1"/>
      <c r="MV175" s="1"/>
      <c r="MW175" s="1"/>
      <c r="MX175" s="1"/>
      <c r="MY175" s="1"/>
      <c r="MZ175" s="1"/>
      <c r="NA175" s="1"/>
      <c r="NB175" s="1"/>
      <c r="NC175" s="1"/>
      <c r="ND175" s="1"/>
      <c r="NE175" s="1"/>
      <c r="NF175" s="1"/>
      <c r="NG175" s="1"/>
      <c r="NH175" s="1"/>
      <c r="NI175" s="1"/>
      <c r="NJ175" s="1"/>
      <c r="NK175" s="1"/>
      <c r="NL175" s="1"/>
      <c r="NM175" s="1"/>
      <c r="NN175" s="1"/>
      <c r="NO175" s="1"/>
      <c r="NP175" s="1"/>
      <c r="NQ175" s="1"/>
      <c r="NR175" s="1"/>
      <c r="NS175" s="1"/>
      <c r="NT175" s="1"/>
      <c r="NU175" s="1"/>
      <c r="NV175" s="1"/>
      <c r="NW175" s="1"/>
      <c r="NX175" s="1"/>
      <c r="NY175" s="1"/>
      <c r="NZ175" s="1"/>
      <c r="OA175" s="1"/>
      <c r="OB175" s="1"/>
      <c r="OC175" s="1"/>
      <c r="OD175" s="1"/>
      <c r="OE175" s="1"/>
      <c r="OF175" s="1"/>
      <c r="OG175" s="1"/>
      <c r="OH175" s="1"/>
      <c r="OI175" s="1"/>
      <c r="OJ175" s="1"/>
      <c r="OK175" s="1"/>
      <c r="OL175" s="1"/>
      <c r="OM175" s="1"/>
      <c r="ON175" s="1"/>
      <c r="OO175" s="1"/>
      <c r="OP175" s="1"/>
      <c r="OQ175" s="1"/>
      <c r="OR175" s="1"/>
      <c r="OS175" s="1"/>
      <c r="OT175" s="1"/>
      <c r="OU175" s="1"/>
      <c r="OV175" s="1"/>
      <c r="OW175" s="1"/>
      <c r="OX175" s="1"/>
      <c r="OY175" s="1"/>
      <c r="OZ175" s="1"/>
      <c r="PA175" s="1"/>
      <c r="PB175" s="1"/>
      <c r="PC175" s="1"/>
      <c r="PD175" s="1"/>
      <c r="PE175" s="1"/>
      <c r="PF175" s="1"/>
      <c r="PG175" s="1"/>
      <c r="PH175" s="1"/>
      <c r="PI175" s="1"/>
      <c r="PJ175" s="1"/>
      <c r="PK175" s="1"/>
      <c r="PL175" s="1"/>
      <c r="PM175" s="1"/>
      <c r="PN175" s="1"/>
      <c r="PO175" s="1"/>
      <c r="PP175" s="1"/>
      <c r="PQ175" s="1"/>
      <c r="PR175" s="1"/>
      <c r="PS175" s="1"/>
      <c r="PT175" s="1"/>
      <c r="PU175" s="1"/>
      <c r="PV175" s="1"/>
      <c r="PW175" s="1"/>
      <c r="PX175" s="1"/>
      <c r="PY175" s="1"/>
      <c r="PZ175" s="1"/>
      <c r="QA175" s="1"/>
      <c r="QB175" s="1"/>
      <c r="QC175" s="1"/>
      <c r="QD175" s="1"/>
      <c r="QE175" s="1"/>
      <c r="QF175" s="1"/>
      <c r="QG175" s="1"/>
      <c r="QH175" s="1"/>
      <c r="QI175" s="1"/>
      <c r="QJ175" s="1"/>
      <c r="QK175" s="1"/>
      <c r="QL175" s="1"/>
      <c r="QM175" s="1"/>
      <c r="QN175" s="1"/>
      <c r="QO175" s="1"/>
      <c r="QP175" s="1"/>
      <c r="QQ175" s="1"/>
      <c r="QR175" s="1"/>
      <c r="QS175" s="1"/>
      <c r="QT175" s="1"/>
      <c r="QU175" s="1"/>
      <c r="QV175" s="1"/>
      <c r="QW175" s="1"/>
      <c r="QX175" s="1"/>
      <c r="QY175" s="1"/>
      <c r="QZ175" s="1"/>
      <c r="RA175" s="1"/>
      <c r="RB175" s="1"/>
      <c r="RC175" s="1"/>
      <c r="RD175" s="1"/>
      <c r="RE175" s="1"/>
      <c r="RF175" s="1"/>
      <c r="RG175" s="1"/>
      <c r="RH175" s="1"/>
      <c r="RI175" s="1"/>
      <c r="RJ175" s="1"/>
      <c r="RK175" s="1"/>
      <c r="RL175" s="1"/>
      <c r="RM175" s="1"/>
      <c r="RN175" s="1"/>
      <c r="RO175" s="1"/>
      <c r="RP175" s="1"/>
      <c r="RQ175" s="1"/>
      <c r="RR175" s="1"/>
      <c r="RS175" s="1"/>
      <c r="RT175" s="1"/>
      <c r="RU175" s="1"/>
      <c r="RV175" s="1"/>
      <c r="RW175" s="1"/>
      <c r="RX175" s="1"/>
      <c r="RY175" s="1"/>
      <c r="RZ175" s="1"/>
      <c r="SA175" s="1"/>
      <c r="SB175" s="1"/>
      <c r="SC175" s="1"/>
      <c r="SD175" s="1"/>
      <c r="SE175" s="1"/>
      <c r="SF175" s="1"/>
      <c r="SG175" s="1"/>
      <c r="SH175" s="1"/>
      <c r="SI175" s="1"/>
      <c r="SJ175" s="1"/>
      <c r="SK175" s="1"/>
      <c r="SL175" s="1"/>
      <c r="SM175" s="1"/>
      <c r="SN175" s="1"/>
      <c r="SO175" s="1"/>
      <c r="SP175" s="1"/>
      <c r="SQ175" s="1"/>
      <c r="SR175" s="1"/>
      <c r="SS175" s="1"/>
      <c r="ST175" s="1"/>
      <c r="SU175" s="1"/>
      <c r="SV175" s="1"/>
      <c r="SW175" s="1"/>
      <c r="SX175" s="1"/>
      <c r="SY175" s="1"/>
      <c r="SZ175" s="1"/>
      <c r="TA175" s="1"/>
      <c r="TB175" s="1"/>
      <c r="TC175" s="1"/>
      <c r="TD175" s="1"/>
      <c r="TE175" s="1"/>
      <c r="TF175" s="1"/>
      <c r="TG175" s="1"/>
      <c r="TH175" s="1"/>
      <c r="TI175" s="1"/>
      <c r="TJ175" s="1"/>
      <c r="TK175" s="1"/>
      <c r="TL175" s="1"/>
      <c r="TM175" s="1"/>
      <c r="TN175" s="1"/>
      <c r="TO175" s="1"/>
      <c r="TP175" s="1"/>
      <c r="TQ175" s="1"/>
      <c r="TR175" s="1"/>
      <c r="TS175" s="1"/>
      <c r="TT175" s="1"/>
      <c r="TU175" s="1"/>
      <c r="TV175" s="1"/>
      <c r="TW175" s="1"/>
      <c r="TX175" s="1"/>
      <c r="TY175" s="1"/>
      <c r="TZ175" s="1"/>
      <c r="UA175" s="1"/>
      <c r="UB175" s="1"/>
      <c r="UC175" s="1"/>
      <c r="UD175" s="1"/>
      <c r="UE175" s="1"/>
      <c r="UF175" s="1"/>
      <c r="UG175" s="1"/>
      <c r="UH175" s="1"/>
      <c r="UI175" s="1"/>
      <c r="UJ175" s="1"/>
      <c r="UK175" s="1"/>
      <c r="UL175" s="1"/>
      <c r="UM175" s="1"/>
      <c r="UN175" s="1"/>
      <c r="UO175" s="1"/>
      <c r="UP175" s="1"/>
      <c r="UQ175" s="1"/>
      <c r="UR175" s="1"/>
      <c r="US175" s="1"/>
      <c r="UT175" s="1"/>
      <c r="UU175" s="1"/>
      <c r="UV175" s="1"/>
      <c r="UW175" s="1"/>
      <c r="UX175" s="1"/>
      <c r="UY175" s="1"/>
      <c r="UZ175" s="1"/>
      <c r="VA175" s="1"/>
      <c r="VB175" s="1"/>
      <c r="VC175" s="1"/>
      <c r="VD175" s="1"/>
      <c r="VE175" s="1"/>
      <c r="VF175" s="1"/>
      <c r="VG175" s="1"/>
      <c r="VH175" s="1"/>
      <c r="VI175" s="1"/>
      <c r="VJ175" s="1"/>
      <c r="VK175" s="1"/>
      <c r="VL175" s="1"/>
      <c r="VM175" s="1"/>
      <c r="VN175" s="1"/>
      <c r="VO175" s="1"/>
      <c r="VP175" s="1"/>
      <c r="VQ175" s="1"/>
      <c r="VR175" s="1"/>
      <c r="VS175" s="1"/>
      <c r="VT175" s="1"/>
      <c r="VU175" s="1"/>
      <c r="VV175" s="1"/>
      <c r="VW175" s="1"/>
      <c r="VX175" s="1"/>
      <c r="VY175" s="1"/>
      <c r="VZ175" s="1"/>
      <c r="WA175" s="1"/>
      <c r="WB175" s="1"/>
      <c r="WC175" s="1"/>
      <c r="WD175" s="1"/>
      <c r="WE175" s="1"/>
      <c r="WF175" s="1"/>
      <c r="WG175" s="1"/>
      <c r="WH175" s="1"/>
      <c r="WI175" s="1"/>
      <c r="WJ175" s="1"/>
      <c r="WK175" s="1"/>
      <c r="WL175" s="1"/>
      <c r="WM175" s="1"/>
      <c r="WN175" s="1"/>
      <c r="WO175" s="1"/>
      <c r="WP175" s="1"/>
      <c r="WQ175" s="1"/>
      <c r="WR175" s="1"/>
      <c r="WS175" s="1"/>
      <c r="WT175" s="1"/>
      <c r="WU175" s="1"/>
      <c r="WV175" s="1"/>
      <c r="WW175" s="1"/>
      <c r="WX175" s="1"/>
      <c r="WY175" s="1"/>
      <c r="WZ175" s="1"/>
      <c r="XA175" s="1"/>
      <c r="XB175" s="1"/>
      <c r="XC175" s="1"/>
      <c r="XD175" s="1"/>
      <c r="XE175" s="1"/>
      <c r="XF175" s="1"/>
      <c r="XG175" s="1"/>
      <c r="XH175" s="1"/>
      <c r="XI175" s="1"/>
      <c r="XJ175" s="1"/>
      <c r="XK175" s="1"/>
      <c r="XL175" s="1"/>
      <c r="XM175" s="1"/>
      <c r="XN175" s="1"/>
      <c r="XO175" s="1"/>
      <c r="XP175" s="1"/>
      <c r="XQ175" s="1"/>
      <c r="XR175" s="1"/>
      <c r="XS175" s="1"/>
      <c r="XT175" s="1"/>
      <c r="XU175" s="1"/>
      <c r="XV175" s="1"/>
      <c r="XW175" s="1"/>
      <c r="XX175" s="1"/>
      <c r="XY175" s="1"/>
      <c r="XZ175" s="1"/>
      <c r="YA175" s="1"/>
      <c r="YB175" s="1"/>
      <c r="YC175" s="1"/>
      <c r="YD175" s="1"/>
      <c r="YE175" s="1"/>
      <c r="YF175" s="1"/>
      <c r="YG175" s="1"/>
      <c r="YH175" s="1"/>
      <c r="YI175" s="1"/>
      <c r="YJ175" s="1"/>
      <c r="YK175" s="1"/>
      <c r="YL175" s="1"/>
      <c r="YM175" s="1"/>
      <c r="YN175" s="1"/>
      <c r="YO175" s="1"/>
      <c r="YP175" s="1"/>
      <c r="YQ175" s="1"/>
      <c r="YR175" s="1"/>
      <c r="YS175" s="1"/>
      <c r="YT175" s="1"/>
      <c r="YU175" s="1"/>
      <c r="YV175" s="1"/>
      <c r="YW175" s="1"/>
      <c r="YX175" s="1"/>
      <c r="YY175" s="1"/>
      <c r="YZ175" s="1"/>
      <c r="ZA175" s="1"/>
      <c r="ZB175" s="1"/>
      <c r="ZC175" s="1"/>
      <c r="ZD175" s="1"/>
      <c r="ZE175" s="1"/>
      <c r="ZF175" s="1"/>
      <c r="ZG175" s="1"/>
      <c r="ZH175" s="1"/>
      <c r="ZI175" s="1"/>
      <c r="ZJ175" s="1"/>
      <c r="ZK175" s="1"/>
      <c r="ZL175" s="1"/>
      <c r="ZM175" s="1"/>
      <c r="ZN175" s="1"/>
      <c r="ZO175" s="1"/>
      <c r="ZP175" s="1"/>
      <c r="ZQ175" s="1"/>
      <c r="ZR175" s="1"/>
      <c r="ZS175" s="1"/>
      <c r="ZT175" s="1"/>
      <c r="ZU175" s="1"/>
      <c r="ZV175" s="1"/>
      <c r="ZW175" s="1"/>
      <c r="ZX175" s="1"/>
      <c r="ZY175" s="1"/>
      <c r="ZZ175" s="1"/>
      <c r="AAA175" s="1"/>
      <c r="AAB175" s="1"/>
      <c r="AAC175" s="1"/>
      <c r="AAD175" s="1"/>
      <c r="AAE175" s="1"/>
      <c r="AAF175" s="1"/>
      <c r="AAG175" s="1"/>
      <c r="AAH175" s="1"/>
      <c r="AAI175" s="1"/>
      <c r="AAJ175" s="1"/>
      <c r="AAK175" s="1"/>
      <c r="AAL175" s="1"/>
      <c r="AAM175" s="1"/>
      <c r="AAN175" s="1"/>
      <c r="AAO175" s="1"/>
      <c r="AAP175" s="1"/>
      <c r="AAQ175" s="1"/>
      <c r="AAR175" s="1"/>
      <c r="AAS175" s="1"/>
      <c r="AAT175" s="1"/>
      <c r="AAU175" s="1"/>
      <c r="AAV175" s="1"/>
      <c r="AAW175" s="1"/>
      <c r="AAX175" s="1"/>
      <c r="AAY175" s="1"/>
      <c r="AAZ175" s="1"/>
      <c r="ABA175" s="1"/>
      <c r="ABB175" s="1"/>
      <c r="ABC175" s="1"/>
      <c r="ABD175" s="1"/>
      <c r="ABE175" s="1"/>
      <c r="ABF175" s="1"/>
      <c r="ABG175" s="1"/>
      <c r="ABH175" s="1"/>
      <c r="ABI175" s="1"/>
      <c r="ABJ175" s="1"/>
      <c r="ABK175" s="1"/>
      <c r="ABL175" s="1"/>
      <c r="ABM175" s="1"/>
      <c r="ABN175" s="1"/>
      <c r="ABO175" s="1"/>
      <c r="ABP175" s="1"/>
      <c r="ABQ175" s="1"/>
      <c r="ABR175" s="1"/>
      <c r="ABS175" s="1"/>
      <c r="ABT175" s="1"/>
      <c r="ABU175" s="1"/>
      <c r="ABV175" s="1"/>
      <c r="ABW175" s="1"/>
      <c r="ABX175" s="1"/>
      <c r="ABY175" s="1"/>
      <c r="ABZ175" s="1"/>
      <c r="ACA175" s="1"/>
      <c r="ACB175" s="1"/>
      <c r="ACC175" s="1"/>
      <c r="ACD175" s="1"/>
      <c r="ACE175" s="1"/>
      <c r="ACF175" s="1"/>
      <c r="ACG175" s="1"/>
      <c r="ACH175" s="1"/>
      <c r="ACI175" s="1"/>
      <c r="ACJ175" s="1"/>
      <c r="ACK175" s="1"/>
      <c r="ACL175" s="1"/>
      <c r="ACM175" s="1"/>
      <c r="ACN175" s="1"/>
      <c r="ACO175" s="1"/>
      <c r="ACP175" s="1"/>
      <c r="ACQ175" s="1"/>
      <c r="ACR175" s="1"/>
      <c r="ACS175" s="1"/>
      <c r="ACT175" s="1"/>
      <c r="ACU175" s="1"/>
      <c r="ACV175" s="1"/>
      <c r="ACW175" s="1"/>
      <c r="ACX175" s="1"/>
      <c r="ACY175" s="1"/>
      <c r="ACZ175" s="1"/>
      <c r="ADA175" s="1"/>
      <c r="ADB175" s="1"/>
      <c r="ADC175" s="1"/>
      <c r="ADD175" s="1"/>
      <c r="ADE175" s="1"/>
      <c r="ADF175" s="1"/>
      <c r="ADG175" s="1"/>
      <c r="ADH175" s="1"/>
      <c r="ADI175" s="1"/>
      <c r="ADJ175" s="1"/>
      <c r="ADK175" s="1"/>
      <c r="ADL175" s="1"/>
      <c r="ADM175" s="1"/>
      <c r="ADN175" s="1"/>
      <c r="ADO175" s="1"/>
      <c r="ADP175" s="1"/>
      <c r="ADQ175" s="1"/>
      <c r="ADR175" s="1"/>
      <c r="ADS175" s="1"/>
      <c r="ADT175" s="1"/>
      <c r="ADU175" s="1"/>
      <c r="ADV175" s="1"/>
      <c r="ADW175" s="1"/>
      <c r="ADX175" s="1"/>
      <c r="ADY175" s="1"/>
      <c r="ADZ175" s="1"/>
      <c r="AEA175" s="1"/>
      <c r="AEB175" s="1"/>
      <c r="AEC175" s="1"/>
      <c r="AED175" s="1"/>
      <c r="AEE175" s="1"/>
      <c r="AEF175" s="1"/>
      <c r="AEG175" s="1"/>
      <c r="AEH175" s="1"/>
      <c r="AEI175" s="1"/>
      <c r="AEJ175" s="1"/>
      <c r="AEK175" s="1"/>
      <c r="AEL175" s="1"/>
      <c r="AEM175" s="1"/>
      <c r="AEN175" s="1"/>
      <c r="AEO175" s="1"/>
      <c r="AEP175" s="1"/>
      <c r="AEQ175" s="1"/>
      <c r="AER175" s="1"/>
      <c r="AES175" s="1"/>
      <c r="AET175" s="1"/>
      <c r="AEU175" s="1"/>
      <c r="AEV175" s="1"/>
      <c r="AEW175" s="1"/>
      <c r="AEX175" s="1"/>
      <c r="AEY175" s="1"/>
      <c r="AEZ175" s="1"/>
      <c r="AFA175" s="1"/>
      <c r="AFB175" s="1"/>
      <c r="AFC175" s="1"/>
      <c r="AFD175" s="1"/>
      <c r="AFE175" s="1"/>
      <c r="AFF175" s="1"/>
      <c r="AFG175" s="1"/>
      <c r="AFH175" s="1"/>
      <c r="AFI175" s="1"/>
      <c r="AFJ175" s="1"/>
      <c r="AFK175" s="1"/>
      <c r="AFL175" s="1"/>
      <c r="AFM175" s="1"/>
      <c r="AFN175" s="1"/>
      <c r="AFO175" s="1"/>
      <c r="AFP175" s="1"/>
      <c r="AFQ175" s="1"/>
      <c r="AFR175" s="1"/>
      <c r="AFS175" s="1"/>
      <c r="AFT175" s="1"/>
      <c r="AFU175" s="1"/>
      <c r="AFV175" s="1"/>
      <c r="AFW175" s="1"/>
      <c r="AFX175" s="1"/>
      <c r="AFY175" s="1"/>
      <c r="AFZ175" s="1"/>
      <c r="AGA175" s="1"/>
      <c r="AGB175" s="1"/>
      <c r="AGC175" s="1"/>
      <c r="AGD175" s="1"/>
      <c r="AGE175" s="1"/>
      <c r="AGF175" s="1"/>
      <c r="AGG175" s="1"/>
      <c r="AGH175" s="1"/>
      <c r="AGI175" s="1"/>
      <c r="AGJ175" s="1"/>
      <c r="AGK175" s="1"/>
      <c r="AGL175" s="1"/>
      <c r="AGM175" s="1"/>
      <c r="AGN175" s="1"/>
      <c r="AGO175" s="1"/>
      <c r="AGP175" s="1"/>
      <c r="AGQ175" s="1"/>
      <c r="AGR175" s="1"/>
      <c r="AGS175" s="1"/>
      <c r="AGT175" s="1"/>
      <c r="AGU175" s="1"/>
      <c r="AGV175" s="1"/>
      <c r="AGW175" s="1"/>
      <c r="AGX175" s="1"/>
      <c r="AGY175" s="1"/>
      <c r="AGZ175" s="1"/>
      <c r="AHA175" s="1"/>
      <c r="AHB175" s="1"/>
      <c r="AHC175" s="1"/>
      <c r="AHD175" s="1"/>
      <c r="AHE175" s="1"/>
      <c r="AHF175" s="1"/>
      <c r="AHG175" s="1"/>
      <c r="AHH175" s="1"/>
      <c r="AHI175" s="1"/>
      <c r="AHJ175" s="1"/>
      <c r="AHK175" s="1"/>
      <c r="AHL175" s="1"/>
      <c r="AHM175" s="1"/>
      <c r="AHN175" s="1"/>
      <c r="AHO175" s="1"/>
      <c r="AHP175" s="1"/>
      <c r="AHQ175" s="1"/>
      <c r="AHR175" s="1"/>
      <c r="AHS175" s="1"/>
      <c r="AHT175" s="1"/>
      <c r="AHU175" s="1"/>
      <c r="AHV175" s="1"/>
      <c r="AHW175" s="1"/>
      <c r="AHX175" s="1"/>
      <c r="AHY175" s="1"/>
      <c r="AHZ175" s="1"/>
      <c r="AIA175" s="1"/>
      <c r="AIB175" s="1"/>
      <c r="AIC175" s="1"/>
      <c r="AID175" s="1"/>
      <c r="AIE175" s="1"/>
      <c r="AIF175" s="1"/>
      <c r="AIG175" s="1"/>
      <c r="AIH175" s="1"/>
      <c r="AII175" s="1"/>
      <c r="AIJ175" s="1"/>
      <c r="AIK175" s="1"/>
      <c r="AIL175" s="1"/>
      <c r="AIM175" s="1"/>
      <c r="AIN175" s="1"/>
      <c r="AIO175" s="1"/>
      <c r="AIP175" s="1"/>
      <c r="AIQ175" s="1"/>
      <c r="AIR175" s="1"/>
      <c r="AIS175" s="1"/>
      <c r="AIT175" s="1"/>
      <c r="AIU175" s="1"/>
      <c r="AIV175" s="1"/>
      <c r="AIW175" s="1"/>
      <c r="AIX175" s="1"/>
      <c r="AIY175" s="1"/>
      <c r="AIZ175" s="1"/>
      <c r="AJA175" s="1"/>
      <c r="AJB175" s="1"/>
      <c r="AJC175" s="1"/>
      <c r="AJD175" s="1"/>
      <c r="AJE175" s="1"/>
      <c r="AJF175" s="1"/>
      <c r="AJG175" s="1"/>
      <c r="AJH175" s="1"/>
      <c r="AJI175" s="1"/>
      <c r="AJJ175" s="1"/>
      <c r="AJK175" s="1"/>
      <c r="AJL175" s="1"/>
      <c r="AJM175" s="1"/>
      <c r="AJN175" s="1"/>
      <c r="AJO175" s="1"/>
      <c r="AJP175" s="1"/>
      <c r="AJQ175" s="1"/>
      <c r="AJR175" s="1"/>
      <c r="AJS175" s="1"/>
      <c r="AJT175" s="1"/>
      <c r="AJU175" s="1"/>
      <c r="AJV175" s="1"/>
      <c r="AJW175" s="1"/>
      <c r="AJX175" s="1"/>
      <c r="AJY175" s="1"/>
      <c r="AJZ175" s="1"/>
      <c r="AKA175" s="1"/>
      <c r="AKB175" s="1"/>
      <c r="AKC175" s="1"/>
      <c r="AKD175" s="1"/>
      <c r="AKE175" s="1"/>
      <c r="AKF175" s="1"/>
      <c r="AKG175" s="1"/>
      <c r="AKH175" s="1"/>
      <c r="AKI175" s="1"/>
      <c r="AKJ175" s="1"/>
      <c r="AKK175" s="1"/>
      <c r="AKL175" s="1"/>
      <c r="AKM175" s="1"/>
      <c r="AKN175" s="1"/>
      <c r="AKO175" s="1"/>
      <c r="AKP175" s="1"/>
      <c r="AKQ175" s="1"/>
      <c r="AKR175" s="1"/>
      <c r="AKS175" s="1"/>
      <c r="AKT175" s="1"/>
      <c r="AKU175" s="1"/>
      <c r="AKV175" s="1"/>
      <c r="AKW175" s="1"/>
      <c r="AKX175" s="1"/>
      <c r="AKY175" s="1"/>
      <c r="AKZ175" s="1"/>
      <c r="ALA175" s="1"/>
      <c r="ALB175" s="1"/>
      <c r="ALC175" s="1"/>
      <c r="ALD175" s="1"/>
      <c r="ALE175" s="1"/>
      <c r="ALF175" s="1"/>
      <c r="ALG175" s="1"/>
      <c r="ALH175" s="1"/>
      <c r="ALI175" s="1"/>
      <c r="ALJ175" s="1"/>
      <c r="ALK175" s="1"/>
      <c r="ALL175" s="1"/>
      <c r="ALM175" s="1"/>
      <c r="ALN175" s="1"/>
      <c r="ALO175" s="1"/>
      <c r="ALP175" s="1"/>
      <c r="ALQ175" s="1"/>
      <c r="ALR175" s="1"/>
      <c r="ALS175" s="1"/>
      <c r="ALT175" s="1"/>
      <c r="ALU175" s="1"/>
      <c r="ALV175" s="1"/>
      <c r="ALW175" s="1"/>
      <c r="ALX175" s="1"/>
      <c r="ALY175" s="1"/>
      <c r="ALZ175" s="1"/>
      <c r="AMA175" s="1"/>
      <c r="AMB175" s="1"/>
      <c r="AMC175" s="1"/>
      <c r="AMD175" s="1"/>
      <c r="AME175" s="1"/>
      <c r="AMF175" s="1"/>
      <c r="AMG175" s="1"/>
      <c r="AMH175" s="1"/>
      <c r="AMI175" s="1"/>
      <c r="AMJ175" s="1"/>
    </row>
    <row r="176" customFormat="false" ht="10.5" hidden="false" customHeight="true" outlineLevel="0" collapsed="false">
      <c r="A176" s="230"/>
      <c r="B176" s="230"/>
      <c r="C176" s="230"/>
      <c r="D176" s="230"/>
      <c r="E176" s="230"/>
      <c r="F176" s="166"/>
      <c r="G176" s="166"/>
      <c r="H176" s="166"/>
      <c r="I176" s="166"/>
      <c r="J176" s="166"/>
      <c r="K176" s="166"/>
      <c r="L176" s="166"/>
      <c r="M176" s="166"/>
      <c r="N176" s="166"/>
      <c r="O176" s="166"/>
      <c r="P176" s="166"/>
      <c r="Q176" s="166"/>
      <c r="R176" s="166"/>
      <c r="S176" s="166"/>
      <c r="T176" s="166"/>
      <c r="U176" s="166"/>
      <c r="V176" s="166"/>
      <c r="W176" s="166"/>
      <c r="X176" s="166"/>
      <c r="Y176" s="166"/>
      <c r="Z176" s="168"/>
      <c r="AA176" s="168"/>
      <c r="AB176" s="168"/>
      <c r="AC176" s="168"/>
      <c r="AD176" s="231"/>
      <c r="AE176" s="231"/>
      <c r="AF176" s="231"/>
      <c r="AG176" s="228"/>
      <c r="AH176" s="228"/>
      <c r="AI176" s="228"/>
      <c r="AJ176" s="228"/>
      <c r="AK176" s="228"/>
      <c r="AL176" s="228"/>
      <c r="AM176" s="228"/>
      <c r="AN176" s="228"/>
      <c r="AO176" s="228"/>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c r="CE176" s="1"/>
      <c r="CF176" s="1"/>
      <c r="CG176" s="1"/>
      <c r="CH176" s="1"/>
      <c r="CI176" s="1"/>
      <c r="CJ176" s="1"/>
      <c r="CK176" s="1"/>
      <c r="CL176" s="1"/>
      <c r="CM176" s="1"/>
      <c r="CN176" s="1"/>
      <c r="CO176" s="1"/>
      <c r="CP176" s="1"/>
      <c r="CQ176" s="1"/>
      <c r="CR176" s="1"/>
      <c r="CS176" s="1"/>
      <c r="CT176" s="1"/>
      <c r="CU176" s="1"/>
      <c r="CV176" s="1"/>
      <c r="CW176" s="1"/>
      <c r="CX176" s="1"/>
      <c r="CY176" s="1"/>
      <c r="CZ176" s="1"/>
      <c r="DA176" s="1"/>
      <c r="DB176" s="1"/>
      <c r="DC176" s="1"/>
      <c r="DD176" s="1"/>
      <c r="DE176" s="1"/>
      <c r="DF176" s="1"/>
      <c r="DG176" s="1"/>
      <c r="DH176" s="1"/>
      <c r="DI176" s="1"/>
      <c r="DJ176" s="1"/>
      <c r="DK176" s="1"/>
      <c r="DL176" s="1"/>
      <c r="DM176" s="1"/>
      <c r="DN176" s="1"/>
      <c r="DO176" s="1"/>
      <c r="DP176" s="1"/>
      <c r="DQ176" s="1"/>
      <c r="DR176" s="1"/>
      <c r="DS176" s="1"/>
      <c r="DT176" s="1"/>
      <c r="DU176" s="1"/>
      <c r="DV176" s="1"/>
      <c r="DW176" s="1"/>
      <c r="DX176" s="1"/>
      <c r="DY176" s="1"/>
      <c r="DZ176" s="1"/>
      <c r="EA176" s="1"/>
      <c r="EB176" s="1"/>
      <c r="EC176" s="1"/>
      <c r="ED176" s="1"/>
      <c r="EE176" s="1"/>
      <c r="EF176" s="1"/>
      <c r="EG176" s="1"/>
      <c r="EH176" s="1"/>
      <c r="EI176" s="1"/>
      <c r="EJ176" s="1"/>
      <c r="EK176" s="1"/>
      <c r="EL176" s="1"/>
      <c r="EM176" s="1"/>
      <c r="EN176" s="1"/>
      <c r="EO176" s="1"/>
      <c r="EP176" s="1"/>
      <c r="EQ176" s="1"/>
      <c r="ER176" s="1"/>
      <c r="ES176" s="1"/>
      <c r="ET176" s="1"/>
      <c r="EU176" s="1"/>
      <c r="EV176" s="1"/>
      <c r="EW176" s="1"/>
      <c r="EX176" s="1"/>
      <c r="EY176" s="1"/>
      <c r="EZ176" s="1"/>
      <c r="FA176" s="1"/>
      <c r="FB176" s="1"/>
      <c r="FC176" s="1"/>
      <c r="FD176" s="1"/>
      <c r="FE176" s="1"/>
      <c r="FF176" s="1"/>
      <c r="FG176" s="1"/>
      <c r="FH176" s="1"/>
      <c r="FI176" s="1"/>
      <c r="FJ176" s="1"/>
      <c r="FK176" s="1"/>
      <c r="FL176" s="1"/>
      <c r="FM176" s="1"/>
      <c r="FN176" s="1"/>
      <c r="FO176" s="1"/>
      <c r="FP176" s="1"/>
      <c r="FQ176" s="1"/>
      <c r="FR176" s="1"/>
      <c r="FS176" s="1"/>
      <c r="FT176" s="1"/>
      <c r="FU176" s="1"/>
      <c r="FV176" s="1"/>
      <c r="FW176" s="1"/>
      <c r="FX176" s="1"/>
      <c r="FY176" s="1"/>
      <c r="FZ176" s="1"/>
      <c r="GA176" s="1"/>
      <c r="GB176" s="1"/>
      <c r="GC176" s="1"/>
      <c r="GD176" s="1"/>
      <c r="GE176" s="1"/>
      <c r="GF176" s="1"/>
      <c r="GG176" s="1"/>
      <c r="GH176" s="1"/>
      <c r="GI176" s="1"/>
      <c r="GJ176" s="1"/>
      <c r="GK176" s="1"/>
      <c r="GL176" s="1"/>
      <c r="GM176" s="1"/>
      <c r="GN176" s="1"/>
      <c r="GO176" s="1"/>
      <c r="GP176" s="1"/>
      <c r="GQ176" s="1"/>
      <c r="GR176" s="1"/>
      <c r="GS176" s="1"/>
      <c r="GT176" s="1"/>
      <c r="GU176" s="1"/>
      <c r="GV176" s="1"/>
      <c r="GW176" s="1"/>
      <c r="GX176" s="1"/>
      <c r="GY176" s="1"/>
      <c r="GZ176" s="1"/>
      <c r="HA176" s="1"/>
      <c r="HB176" s="1"/>
      <c r="HC176" s="1"/>
      <c r="HD176" s="1"/>
      <c r="HE176" s="1"/>
      <c r="HF176" s="1"/>
      <c r="HG176" s="1"/>
      <c r="HH176" s="1"/>
      <c r="HI176" s="1"/>
      <c r="HJ176" s="1"/>
      <c r="HK176" s="1"/>
      <c r="HL176" s="1"/>
      <c r="HM176" s="1"/>
      <c r="HN176" s="1"/>
      <c r="HO176" s="1"/>
      <c r="HP176" s="1"/>
      <c r="HQ176" s="1"/>
      <c r="HR176" s="1"/>
      <c r="HS176" s="1"/>
      <c r="HT176" s="1"/>
      <c r="HU176" s="1"/>
      <c r="HV176" s="1"/>
      <c r="HW176" s="1"/>
      <c r="HX176" s="1"/>
      <c r="HY176" s="1"/>
      <c r="HZ176" s="1"/>
      <c r="IA176" s="1"/>
      <c r="IB176" s="1"/>
      <c r="IC176" s="1"/>
      <c r="ID176" s="1"/>
      <c r="IE176" s="1"/>
      <c r="IF176" s="1"/>
      <c r="IG176" s="1"/>
      <c r="IH176" s="1"/>
      <c r="II176" s="1"/>
      <c r="IJ176" s="1"/>
      <c r="IK176" s="1"/>
      <c r="IL176" s="1"/>
      <c r="IM176" s="1"/>
      <c r="IN176" s="1"/>
      <c r="IO176" s="1"/>
      <c r="IP176" s="1"/>
      <c r="IQ176" s="1"/>
      <c r="IR176" s="1"/>
      <c r="IS176" s="1"/>
      <c r="IT176" s="1"/>
      <c r="IU176" s="1"/>
      <c r="IV176" s="1"/>
      <c r="IW176" s="1"/>
      <c r="IX176" s="1"/>
      <c r="IY176" s="1"/>
      <c r="IZ176" s="1"/>
      <c r="JA176" s="1"/>
      <c r="JB176" s="1"/>
      <c r="JC176" s="1"/>
      <c r="JD176" s="1"/>
      <c r="JE176" s="1"/>
      <c r="JF176" s="1"/>
      <c r="JG176" s="1"/>
      <c r="JH176" s="1"/>
      <c r="JI176" s="1"/>
      <c r="JJ176" s="1"/>
      <c r="JK176" s="1"/>
      <c r="JL176" s="1"/>
      <c r="JM176" s="1"/>
      <c r="JN176" s="1"/>
      <c r="JO176" s="1"/>
      <c r="JP176" s="1"/>
      <c r="JQ176" s="1"/>
      <c r="JR176" s="1"/>
      <c r="JS176" s="1"/>
      <c r="JT176" s="1"/>
      <c r="JU176" s="1"/>
      <c r="JV176" s="1"/>
      <c r="JW176" s="1"/>
      <c r="JX176" s="1"/>
      <c r="JY176" s="1"/>
      <c r="JZ176" s="1"/>
      <c r="KA176" s="1"/>
      <c r="KB176" s="1"/>
      <c r="KC176" s="1"/>
      <c r="KD176" s="1"/>
      <c r="KE176" s="1"/>
      <c r="KF176" s="1"/>
      <c r="KG176" s="1"/>
      <c r="KH176" s="1"/>
      <c r="KI176" s="1"/>
      <c r="KJ176" s="1"/>
      <c r="KK176" s="1"/>
      <c r="KL176" s="1"/>
      <c r="KM176" s="1"/>
      <c r="KN176" s="1"/>
      <c r="KO176" s="1"/>
      <c r="KP176" s="1"/>
      <c r="KQ176" s="1"/>
      <c r="KR176" s="1"/>
      <c r="KS176" s="1"/>
      <c r="KT176" s="1"/>
      <c r="KU176" s="1"/>
      <c r="KV176" s="1"/>
      <c r="KW176" s="1"/>
      <c r="KX176" s="1"/>
      <c r="KY176" s="1"/>
      <c r="KZ176" s="1"/>
      <c r="LA176" s="1"/>
      <c r="LB176" s="1"/>
      <c r="LC176" s="1"/>
      <c r="LD176" s="1"/>
      <c r="LE176" s="1"/>
      <c r="LF176" s="1"/>
      <c r="LG176" s="1"/>
      <c r="LH176" s="1"/>
      <c r="LI176" s="1"/>
      <c r="LJ176" s="1"/>
      <c r="LK176" s="1"/>
      <c r="LL176" s="1"/>
      <c r="LM176" s="1"/>
      <c r="LN176" s="1"/>
      <c r="LO176" s="1"/>
      <c r="LP176" s="1"/>
      <c r="LQ176" s="1"/>
      <c r="LR176" s="1"/>
      <c r="LS176" s="1"/>
      <c r="LT176" s="1"/>
      <c r="LU176" s="1"/>
      <c r="LV176" s="1"/>
      <c r="LW176" s="1"/>
      <c r="LX176" s="1"/>
      <c r="LY176" s="1"/>
      <c r="LZ176" s="1"/>
      <c r="MA176" s="1"/>
      <c r="MB176" s="1"/>
      <c r="MC176" s="1"/>
      <c r="MD176" s="1"/>
      <c r="ME176" s="1"/>
      <c r="MF176" s="1"/>
      <c r="MG176" s="1"/>
      <c r="MH176" s="1"/>
      <c r="MI176" s="1"/>
      <c r="MJ176" s="1"/>
      <c r="MK176" s="1"/>
      <c r="ML176" s="1"/>
      <c r="MM176" s="1"/>
      <c r="MN176" s="1"/>
      <c r="MO176" s="1"/>
      <c r="MP176" s="1"/>
      <c r="MQ176" s="1"/>
      <c r="MR176" s="1"/>
      <c r="MS176" s="1"/>
      <c r="MT176" s="1"/>
      <c r="MU176" s="1"/>
      <c r="MV176" s="1"/>
      <c r="MW176" s="1"/>
      <c r="MX176" s="1"/>
      <c r="MY176" s="1"/>
      <c r="MZ176" s="1"/>
      <c r="NA176" s="1"/>
      <c r="NB176" s="1"/>
      <c r="NC176" s="1"/>
      <c r="ND176" s="1"/>
      <c r="NE176" s="1"/>
      <c r="NF176" s="1"/>
      <c r="NG176" s="1"/>
      <c r="NH176" s="1"/>
      <c r="NI176" s="1"/>
      <c r="NJ176" s="1"/>
      <c r="NK176" s="1"/>
      <c r="NL176" s="1"/>
      <c r="NM176" s="1"/>
      <c r="NN176" s="1"/>
      <c r="NO176" s="1"/>
      <c r="NP176" s="1"/>
      <c r="NQ176" s="1"/>
      <c r="NR176" s="1"/>
      <c r="NS176" s="1"/>
      <c r="NT176" s="1"/>
      <c r="NU176" s="1"/>
      <c r="NV176" s="1"/>
      <c r="NW176" s="1"/>
      <c r="NX176" s="1"/>
      <c r="NY176" s="1"/>
      <c r="NZ176" s="1"/>
      <c r="OA176" s="1"/>
      <c r="OB176" s="1"/>
      <c r="OC176" s="1"/>
      <c r="OD176" s="1"/>
      <c r="OE176" s="1"/>
      <c r="OF176" s="1"/>
      <c r="OG176" s="1"/>
      <c r="OH176" s="1"/>
      <c r="OI176" s="1"/>
      <c r="OJ176" s="1"/>
      <c r="OK176" s="1"/>
      <c r="OL176" s="1"/>
      <c r="OM176" s="1"/>
      <c r="ON176" s="1"/>
      <c r="OO176" s="1"/>
      <c r="OP176" s="1"/>
      <c r="OQ176" s="1"/>
      <c r="OR176" s="1"/>
      <c r="OS176" s="1"/>
      <c r="OT176" s="1"/>
      <c r="OU176" s="1"/>
      <c r="OV176" s="1"/>
      <c r="OW176" s="1"/>
      <c r="OX176" s="1"/>
      <c r="OY176" s="1"/>
      <c r="OZ176" s="1"/>
      <c r="PA176" s="1"/>
      <c r="PB176" s="1"/>
      <c r="PC176" s="1"/>
      <c r="PD176" s="1"/>
      <c r="PE176" s="1"/>
      <c r="PF176" s="1"/>
      <c r="PG176" s="1"/>
      <c r="PH176" s="1"/>
      <c r="PI176" s="1"/>
      <c r="PJ176" s="1"/>
      <c r="PK176" s="1"/>
      <c r="PL176" s="1"/>
      <c r="PM176" s="1"/>
      <c r="PN176" s="1"/>
      <c r="PO176" s="1"/>
      <c r="PP176" s="1"/>
      <c r="PQ176" s="1"/>
      <c r="PR176" s="1"/>
      <c r="PS176" s="1"/>
      <c r="PT176" s="1"/>
      <c r="PU176" s="1"/>
      <c r="PV176" s="1"/>
      <c r="PW176" s="1"/>
      <c r="PX176" s="1"/>
      <c r="PY176" s="1"/>
      <c r="PZ176" s="1"/>
      <c r="QA176" s="1"/>
      <c r="QB176" s="1"/>
      <c r="QC176" s="1"/>
      <c r="QD176" s="1"/>
      <c r="QE176" s="1"/>
      <c r="QF176" s="1"/>
      <c r="QG176" s="1"/>
      <c r="QH176" s="1"/>
      <c r="QI176" s="1"/>
      <c r="QJ176" s="1"/>
      <c r="QK176" s="1"/>
      <c r="QL176" s="1"/>
      <c r="QM176" s="1"/>
      <c r="QN176" s="1"/>
      <c r="QO176" s="1"/>
      <c r="QP176" s="1"/>
      <c r="QQ176" s="1"/>
      <c r="QR176" s="1"/>
      <c r="QS176" s="1"/>
      <c r="QT176" s="1"/>
      <c r="QU176" s="1"/>
      <c r="QV176" s="1"/>
      <c r="QW176" s="1"/>
      <c r="QX176" s="1"/>
      <c r="QY176" s="1"/>
      <c r="QZ176" s="1"/>
      <c r="RA176" s="1"/>
      <c r="RB176" s="1"/>
      <c r="RC176" s="1"/>
      <c r="RD176" s="1"/>
      <c r="RE176" s="1"/>
      <c r="RF176" s="1"/>
      <c r="RG176" s="1"/>
      <c r="RH176" s="1"/>
      <c r="RI176" s="1"/>
      <c r="RJ176" s="1"/>
      <c r="RK176" s="1"/>
      <c r="RL176" s="1"/>
      <c r="RM176" s="1"/>
      <c r="RN176" s="1"/>
      <c r="RO176" s="1"/>
      <c r="RP176" s="1"/>
      <c r="RQ176" s="1"/>
      <c r="RR176" s="1"/>
      <c r="RS176" s="1"/>
      <c r="RT176" s="1"/>
      <c r="RU176" s="1"/>
      <c r="RV176" s="1"/>
      <c r="RW176" s="1"/>
      <c r="RX176" s="1"/>
      <c r="RY176" s="1"/>
      <c r="RZ176" s="1"/>
      <c r="SA176" s="1"/>
      <c r="SB176" s="1"/>
      <c r="SC176" s="1"/>
      <c r="SD176" s="1"/>
      <c r="SE176" s="1"/>
      <c r="SF176" s="1"/>
      <c r="SG176" s="1"/>
      <c r="SH176" s="1"/>
      <c r="SI176" s="1"/>
      <c r="SJ176" s="1"/>
      <c r="SK176" s="1"/>
      <c r="SL176" s="1"/>
      <c r="SM176" s="1"/>
      <c r="SN176" s="1"/>
      <c r="SO176" s="1"/>
      <c r="SP176" s="1"/>
      <c r="SQ176" s="1"/>
      <c r="SR176" s="1"/>
      <c r="SS176" s="1"/>
      <c r="ST176" s="1"/>
      <c r="SU176" s="1"/>
      <c r="SV176" s="1"/>
      <c r="SW176" s="1"/>
      <c r="SX176" s="1"/>
      <c r="SY176" s="1"/>
      <c r="SZ176" s="1"/>
      <c r="TA176" s="1"/>
      <c r="TB176" s="1"/>
      <c r="TC176" s="1"/>
      <c r="TD176" s="1"/>
      <c r="TE176" s="1"/>
      <c r="TF176" s="1"/>
      <c r="TG176" s="1"/>
      <c r="TH176" s="1"/>
      <c r="TI176" s="1"/>
      <c r="TJ176" s="1"/>
      <c r="TK176" s="1"/>
      <c r="TL176" s="1"/>
      <c r="TM176" s="1"/>
      <c r="TN176" s="1"/>
      <c r="TO176" s="1"/>
      <c r="TP176" s="1"/>
      <c r="TQ176" s="1"/>
      <c r="TR176" s="1"/>
      <c r="TS176" s="1"/>
      <c r="TT176" s="1"/>
      <c r="TU176" s="1"/>
      <c r="TV176" s="1"/>
      <c r="TW176" s="1"/>
      <c r="TX176" s="1"/>
      <c r="TY176" s="1"/>
      <c r="TZ176" s="1"/>
      <c r="UA176" s="1"/>
      <c r="UB176" s="1"/>
      <c r="UC176" s="1"/>
      <c r="UD176" s="1"/>
      <c r="UE176" s="1"/>
      <c r="UF176" s="1"/>
      <c r="UG176" s="1"/>
      <c r="UH176" s="1"/>
      <c r="UI176" s="1"/>
      <c r="UJ176" s="1"/>
      <c r="UK176" s="1"/>
      <c r="UL176" s="1"/>
      <c r="UM176" s="1"/>
      <c r="UN176" s="1"/>
      <c r="UO176" s="1"/>
      <c r="UP176" s="1"/>
      <c r="UQ176" s="1"/>
      <c r="UR176" s="1"/>
      <c r="US176" s="1"/>
      <c r="UT176" s="1"/>
      <c r="UU176" s="1"/>
      <c r="UV176" s="1"/>
      <c r="UW176" s="1"/>
      <c r="UX176" s="1"/>
      <c r="UY176" s="1"/>
      <c r="UZ176" s="1"/>
      <c r="VA176" s="1"/>
      <c r="VB176" s="1"/>
      <c r="VC176" s="1"/>
      <c r="VD176" s="1"/>
      <c r="VE176" s="1"/>
      <c r="VF176" s="1"/>
      <c r="VG176" s="1"/>
      <c r="VH176" s="1"/>
      <c r="VI176" s="1"/>
      <c r="VJ176" s="1"/>
      <c r="VK176" s="1"/>
      <c r="VL176" s="1"/>
      <c r="VM176" s="1"/>
      <c r="VN176" s="1"/>
      <c r="VO176" s="1"/>
      <c r="VP176" s="1"/>
      <c r="VQ176" s="1"/>
      <c r="VR176" s="1"/>
      <c r="VS176" s="1"/>
      <c r="VT176" s="1"/>
      <c r="VU176" s="1"/>
      <c r="VV176" s="1"/>
      <c r="VW176" s="1"/>
      <c r="VX176" s="1"/>
      <c r="VY176" s="1"/>
      <c r="VZ176" s="1"/>
      <c r="WA176" s="1"/>
      <c r="WB176" s="1"/>
      <c r="WC176" s="1"/>
      <c r="WD176" s="1"/>
      <c r="WE176" s="1"/>
      <c r="WF176" s="1"/>
      <c r="WG176" s="1"/>
      <c r="WH176" s="1"/>
      <c r="WI176" s="1"/>
      <c r="WJ176" s="1"/>
      <c r="WK176" s="1"/>
      <c r="WL176" s="1"/>
      <c r="WM176" s="1"/>
      <c r="WN176" s="1"/>
      <c r="WO176" s="1"/>
      <c r="WP176" s="1"/>
      <c r="WQ176" s="1"/>
      <c r="WR176" s="1"/>
      <c r="WS176" s="1"/>
      <c r="WT176" s="1"/>
      <c r="WU176" s="1"/>
      <c r="WV176" s="1"/>
      <c r="WW176" s="1"/>
      <c r="WX176" s="1"/>
      <c r="WY176" s="1"/>
      <c r="WZ176" s="1"/>
      <c r="XA176" s="1"/>
      <c r="XB176" s="1"/>
      <c r="XC176" s="1"/>
      <c r="XD176" s="1"/>
      <c r="XE176" s="1"/>
      <c r="XF176" s="1"/>
      <c r="XG176" s="1"/>
      <c r="XH176" s="1"/>
      <c r="XI176" s="1"/>
      <c r="XJ176" s="1"/>
      <c r="XK176" s="1"/>
      <c r="XL176" s="1"/>
      <c r="XM176" s="1"/>
      <c r="XN176" s="1"/>
      <c r="XO176" s="1"/>
      <c r="XP176" s="1"/>
      <c r="XQ176" s="1"/>
      <c r="XR176" s="1"/>
      <c r="XS176" s="1"/>
      <c r="XT176" s="1"/>
      <c r="XU176" s="1"/>
      <c r="XV176" s="1"/>
      <c r="XW176" s="1"/>
      <c r="XX176" s="1"/>
      <c r="XY176" s="1"/>
      <c r="XZ176" s="1"/>
      <c r="YA176" s="1"/>
      <c r="YB176" s="1"/>
      <c r="YC176" s="1"/>
      <c r="YD176" s="1"/>
      <c r="YE176" s="1"/>
      <c r="YF176" s="1"/>
      <c r="YG176" s="1"/>
      <c r="YH176" s="1"/>
      <c r="YI176" s="1"/>
      <c r="YJ176" s="1"/>
      <c r="YK176" s="1"/>
      <c r="YL176" s="1"/>
      <c r="YM176" s="1"/>
      <c r="YN176" s="1"/>
      <c r="YO176" s="1"/>
      <c r="YP176" s="1"/>
      <c r="YQ176" s="1"/>
      <c r="YR176" s="1"/>
      <c r="YS176" s="1"/>
      <c r="YT176" s="1"/>
      <c r="YU176" s="1"/>
      <c r="YV176" s="1"/>
      <c r="YW176" s="1"/>
      <c r="YX176" s="1"/>
      <c r="YY176" s="1"/>
      <c r="YZ176" s="1"/>
      <c r="ZA176" s="1"/>
      <c r="ZB176" s="1"/>
      <c r="ZC176" s="1"/>
      <c r="ZD176" s="1"/>
      <c r="ZE176" s="1"/>
      <c r="ZF176" s="1"/>
      <c r="ZG176" s="1"/>
      <c r="ZH176" s="1"/>
      <c r="ZI176" s="1"/>
      <c r="ZJ176" s="1"/>
      <c r="ZK176" s="1"/>
      <c r="ZL176" s="1"/>
      <c r="ZM176" s="1"/>
      <c r="ZN176" s="1"/>
      <c r="ZO176" s="1"/>
      <c r="ZP176" s="1"/>
      <c r="ZQ176" s="1"/>
      <c r="ZR176" s="1"/>
      <c r="ZS176" s="1"/>
      <c r="ZT176" s="1"/>
      <c r="ZU176" s="1"/>
      <c r="ZV176" s="1"/>
      <c r="ZW176" s="1"/>
      <c r="ZX176" s="1"/>
      <c r="ZY176" s="1"/>
      <c r="ZZ176" s="1"/>
      <c r="AAA176" s="1"/>
      <c r="AAB176" s="1"/>
      <c r="AAC176" s="1"/>
      <c r="AAD176" s="1"/>
      <c r="AAE176" s="1"/>
      <c r="AAF176" s="1"/>
      <c r="AAG176" s="1"/>
      <c r="AAH176" s="1"/>
      <c r="AAI176" s="1"/>
      <c r="AAJ176" s="1"/>
      <c r="AAK176" s="1"/>
      <c r="AAL176" s="1"/>
      <c r="AAM176" s="1"/>
      <c r="AAN176" s="1"/>
      <c r="AAO176" s="1"/>
      <c r="AAP176" s="1"/>
      <c r="AAQ176" s="1"/>
      <c r="AAR176" s="1"/>
      <c r="AAS176" s="1"/>
      <c r="AAT176" s="1"/>
      <c r="AAU176" s="1"/>
      <c r="AAV176" s="1"/>
      <c r="AAW176" s="1"/>
      <c r="AAX176" s="1"/>
      <c r="AAY176" s="1"/>
      <c r="AAZ176" s="1"/>
      <c r="ABA176" s="1"/>
      <c r="ABB176" s="1"/>
      <c r="ABC176" s="1"/>
      <c r="ABD176" s="1"/>
      <c r="ABE176" s="1"/>
      <c r="ABF176" s="1"/>
      <c r="ABG176" s="1"/>
      <c r="ABH176" s="1"/>
      <c r="ABI176" s="1"/>
      <c r="ABJ176" s="1"/>
      <c r="ABK176" s="1"/>
      <c r="ABL176" s="1"/>
      <c r="ABM176" s="1"/>
      <c r="ABN176" s="1"/>
      <c r="ABO176" s="1"/>
      <c r="ABP176" s="1"/>
      <c r="ABQ176" s="1"/>
      <c r="ABR176" s="1"/>
      <c r="ABS176" s="1"/>
      <c r="ABT176" s="1"/>
      <c r="ABU176" s="1"/>
      <c r="ABV176" s="1"/>
      <c r="ABW176" s="1"/>
      <c r="ABX176" s="1"/>
      <c r="ABY176" s="1"/>
      <c r="ABZ176" s="1"/>
      <c r="ACA176" s="1"/>
      <c r="ACB176" s="1"/>
      <c r="ACC176" s="1"/>
      <c r="ACD176" s="1"/>
      <c r="ACE176" s="1"/>
      <c r="ACF176" s="1"/>
      <c r="ACG176" s="1"/>
      <c r="ACH176" s="1"/>
      <c r="ACI176" s="1"/>
      <c r="ACJ176" s="1"/>
      <c r="ACK176" s="1"/>
      <c r="ACL176" s="1"/>
      <c r="ACM176" s="1"/>
      <c r="ACN176" s="1"/>
      <c r="ACO176" s="1"/>
      <c r="ACP176" s="1"/>
      <c r="ACQ176" s="1"/>
      <c r="ACR176" s="1"/>
      <c r="ACS176" s="1"/>
      <c r="ACT176" s="1"/>
      <c r="ACU176" s="1"/>
      <c r="ACV176" s="1"/>
      <c r="ACW176" s="1"/>
      <c r="ACX176" s="1"/>
      <c r="ACY176" s="1"/>
      <c r="ACZ176" s="1"/>
      <c r="ADA176" s="1"/>
      <c r="ADB176" s="1"/>
      <c r="ADC176" s="1"/>
      <c r="ADD176" s="1"/>
      <c r="ADE176" s="1"/>
      <c r="ADF176" s="1"/>
      <c r="ADG176" s="1"/>
      <c r="ADH176" s="1"/>
      <c r="ADI176" s="1"/>
      <c r="ADJ176" s="1"/>
      <c r="ADK176" s="1"/>
      <c r="ADL176" s="1"/>
      <c r="ADM176" s="1"/>
      <c r="ADN176" s="1"/>
      <c r="ADO176" s="1"/>
      <c r="ADP176" s="1"/>
      <c r="ADQ176" s="1"/>
      <c r="ADR176" s="1"/>
      <c r="ADS176" s="1"/>
      <c r="ADT176" s="1"/>
      <c r="ADU176" s="1"/>
      <c r="ADV176" s="1"/>
      <c r="ADW176" s="1"/>
      <c r="ADX176" s="1"/>
      <c r="ADY176" s="1"/>
      <c r="ADZ176" s="1"/>
      <c r="AEA176" s="1"/>
      <c r="AEB176" s="1"/>
      <c r="AEC176" s="1"/>
      <c r="AED176" s="1"/>
      <c r="AEE176" s="1"/>
      <c r="AEF176" s="1"/>
      <c r="AEG176" s="1"/>
      <c r="AEH176" s="1"/>
      <c r="AEI176" s="1"/>
      <c r="AEJ176" s="1"/>
      <c r="AEK176" s="1"/>
      <c r="AEL176" s="1"/>
      <c r="AEM176" s="1"/>
      <c r="AEN176" s="1"/>
      <c r="AEO176" s="1"/>
      <c r="AEP176" s="1"/>
      <c r="AEQ176" s="1"/>
      <c r="AER176" s="1"/>
      <c r="AES176" s="1"/>
      <c r="AET176" s="1"/>
      <c r="AEU176" s="1"/>
      <c r="AEV176" s="1"/>
      <c r="AEW176" s="1"/>
      <c r="AEX176" s="1"/>
      <c r="AEY176" s="1"/>
      <c r="AEZ176" s="1"/>
      <c r="AFA176" s="1"/>
      <c r="AFB176" s="1"/>
      <c r="AFC176" s="1"/>
      <c r="AFD176" s="1"/>
      <c r="AFE176" s="1"/>
      <c r="AFF176" s="1"/>
      <c r="AFG176" s="1"/>
      <c r="AFH176" s="1"/>
      <c r="AFI176" s="1"/>
      <c r="AFJ176" s="1"/>
      <c r="AFK176" s="1"/>
      <c r="AFL176" s="1"/>
      <c r="AFM176" s="1"/>
      <c r="AFN176" s="1"/>
      <c r="AFO176" s="1"/>
      <c r="AFP176" s="1"/>
      <c r="AFQ176" s="1"/>
      <c r="AFR176" s="1"/>
      <c r="AFS176" s="1"/>
      <c r="AFT176" s="1"/>
      <c r="AFU176" s="1"/>
      <c r="AFV176" s="1"/>
      <c r="AFW176" s="1"/>
      <c r="AFX176" s="1"/>
      <c r="AFY176" s="1"/>
      <c r="AFZ176" s="1"/>
      <c r="AGA176" s="1"/>
      <c r="AGB176" s="1"/>
      <c r="AGC176" s="1"/>
      <c r="AGD176" s="1"/>
      <c r="AGE176" s="1"/>
      <c r="AGF176" s="1"/>
      <c r="AGG176" s="1"/>
      <c r="AGH176" s="1"/>
      <c r="AGI176" s="1"/>
      <c r="AGJ176" s="1"/>
      <c r="AGK176" s="1"/>
      <c r="AGL176" s="1"/>
      <c r="AGM176" s="1"/>
      <c r="AGN176" s="1"/>
      <c r="AGO176" s="1"/>
      <c r="AGP176" s="1"/>
      <c r="AGQ176" s="1"/>
      <c r="AGR176" s="1"/>
      <c r="AGS176" s="1"/>
      <c r="AGT176" s="1"/>
      <c r="AGU176" s="1"/>
      <c r="AGV176" s="1"/>
      <c r="AGW176" s="1"/>
      <c r="AGX176" s="1"/>
      <c r="AGY176" s="1"/>
      <c r="AGZ176" s="1"/>
      <c r="AHA176" s="1"/>
      <c r="AHB176" s="1"/>
      <c r="AHC176" s="1"/>
      <c r="AHD176" s="1"/>
      <c r="AHE176" s="1"/>
      <c r="AHF176" s="1"/>
      <c r="AHG176" s="1"/>
      <c r="AHH176" s="1"/>
      <c r="AHI176" s="1"/>
      <c r="AHJ176" s="1"/>
      <c r="AHK176" s="1"/>
      <c r="AHL176" s="1"/>
      <c r="AHM176" s="1"/>
      <c r="AHN176" s="1"/>
      <c r="AHO176" s="1"/>
      <c r="AHP176" s="1"/>
      <c r="AHQ176" s="1"/>
      <c r="AHR176" s="1"/>
      <c r="AHS176" s="1"/>
      <c r="AHT176" s="1"/>
      <c r="AHU176" s="1"/>
      <c r="AHV176" s="1"/>
      <c r="AHW176" s="1"/>
      <c r="AHX176" s="1"/>
      <c r="AHY176" s="1"/>
      <c r="AHZ176" s="1"/>
      <c r="AIA176" s="1"/>
      <c r="AIB176" s="1"/>
      <c r="AIC176" s="1"/>
      <c r="AID176" s="1"/>
      <c r="AIE176" s="1"/>
      <c r="AIF176" s="1"/>
      <c r="AIG176" s="1"/>
      <c r="AIH176" s="1"/>
      <c r="AII176" s="1"/>
      <c r="AIJ176" s="1"/>
      <c r="AIK176" s="1"/>
      <c r="AIL176" s="1"/>
      <c r="AIM176" s="1"/>
      <c r="AIN176" s="1"/>
      <c r="AIO176" s="1"/>
      <c r="AIP176" s="1"/>
      <c r="AIQ176" s="1"/>
      <c r="AIR176" s="1"/>
      <c r="AIS176" s="1"/>
      <c r="AIT176" s="1"/>
      <c r="AIU176" s="1"/>
      <c r="AIV176" s="1"/>
      <c r="AIW176" s="1"/>
      <c r="AIX176" s="1"/>
      <c r="AIY176" s="1"/>
      <c r="AIZ176" s="1"/>
      <c r="AJA176" s="1"/>
      <c r="AJB176" s="1"/>
      <c r="AJC176" s="1"/>
      <c r="AJD176" s="1"/>
      <c r="AJE176" s="1"/>
      <c r="AJF176" s="1"/>
      <c r="AJG176" s="1"/>
      <c r="AJH176" s="1"/>
      <c r="AJI176" s="1"/>
      <c r="AJJ176" s="1"/>
      <c r="AJK176" s="1"/>
      <c r="AJL176" s="1"/>
      <c r="AJM176" s="1"/>
      <c r="AJN176" s="1"/>
      <c r="AJO176" s="1"/>
      <c r="AJP176" s="1"/>
      <c r="AJQ176" s="1"/>
      <c r="AJR176" s="1"/>
      <c r="AJS176" s="1"/>
      <c r="AJT176" s="1"/>
      <c r="AJU176" s="1"/>
      <c r="AJV176" s="1"/>
      <c r="AJW176" s="1"/>
      <c r="AJX176" s="1"/>
      <c r="AJY176" s="1"/>
      <c r="AJZ176" s="1"/>
      <c r="AKA176" s="1"/>
      <c r="AKB176" s="1"/>
      <c r="AKC176" s="1"/>
      <c r="AKD176" s="1"/>
      <c r="AKE176" s="1"/>
      <c r="AKF176" s="1"/>
      <c r="AKG176" s="1"/>
      <c r="AKH176" s="1"/>
      <c r="AKI176" s="1"/>
      <c r="AKJ176" s="1"/>
      <c r="AKK176" s="1"/>
      <c r="AKL176" s="1"/>
      <c r="AKM176" s="1"/>
      <c r="AKN176" s="1"/>
      <c r="AKO176" s="1"/>
      <c r="AKP176" s="1"/>
      <c r="AKQ176" s="1"/>
      <c r="AKR176" s="1"/>
      <c r="AKS176" s="1"/>
      <c r="AKT176" s="1"/>
      <c r="AKU176" s="1"/>
      <c r="AKV176" s="1"/>
      <c r="AKW176" s="1"/>
      <c r="AKX176" s="1"/>
      <c r="AKY176" s="1"/>
      <c r="AKZ176" s="1"/>
      <c r="ALA176" s="1"/>
      <c r="ALB176" s="1"/>
      <c r="ALC176" s="1"/>
      <c r="ALD176" s="1"/>
      <c r="ALE176" s="1"/>
      <c r="ALF176" s="1"/>
      <c r="ALG176" s="1"/>
      <c r="ALH176" s="1"/>
      <c r="ALI176" s="1"/>
      <c r="ALJ176" s="1"/>
      <c r="ALK176" s="1"/>
      <c r="ALL176" s="1"/>
      <c r="ALM176" s="1"/>
      <c r="ALN176" s="1"/>
      <c r="ALO176" s="1"/>
      <c r="ALP176" s="1"/>
      <c r="ALQ176" s="1"/>
      <c r="ALR176" s="1"/>
      <c r="ALS176" s="1"/>
      <c r="ALT176" s="1"/>
      <c r="ALU176" s="1"/>
      <c r="ALV176" s="1"/>
      <c r="ALW176" s="1"/>
      <c r="ALX176" s="1"/>
      <c r="ALY176" s="1"/>
      <c r="ALZ176" s="1"/>
      <c r="AMA176" s="1"/>
      <c r="AMB176" s="1"/>
      <c r="AMC176" s="1"/>
      <c r="AMD176" s="1"/>
      <c r="AME176" s="1"/>
      <c r="AMF176" s="1"/>
      <c r="AMG176" s="1"/>
      <c r="AMH176" s="1"/>
      <c r="AMI176" s="1"/>
      <c r="AMJ176" s="1"/>
    </row>
    <row r="177" customFormat="false" ht="10.5" hidden="false" customHeight="true" outlineLevel="0" collapsed="false">
      <c r="A177" s="230"/>
      <c r="B177" s="230"/>
      <c r="C177" s="230"/>
      <c r="D177" s="230"/>
      <c r="E177" s="230"/>
      <c r="F177" s="166"/>
      <c r="G177" s="166"/>
      <c r="H177" s="166"/>
      <c r="I177" s="166"/>
      <c r="J177" s="166"/>
      <c r="K177" s="166"/>
      <c r="L177" s="166"/>
      <c r="M177" s="166"/>
      <c r="N177" s="166"/>
      <c r="O177" s="166"/>
      <c r="P177" s="166"/>
      <c r="Q177" s="166"/>
      <c r="R177" s="166"/>
      <c r="S177" s="166"/>
      <c r="T177" s="166"/>
      <c r="U177" s="166"/>
      <c r="V177" s="166"/>
      <c r="W177" s="166"/>
      <c r="X177" s="166"/>
      <c r="Y177" s="166"/>
      <c r="Z177" s="168"/>
      <c r="AA177" s="168"/>
      <c r="AB177" s="168"/>
      <c r="AC177" s="168"/>
      <c r="AD177" s="231"/>
      <c r="AE177" s="231"/>
      <c r="AF177" s="231"/>
      <c r="AG177" s="228"/>
      <c r="AH177" s="228"/>
      <c r="AI177" s="228"/>
      <c r="AJ177" s="228"/>
      <c r="AK177" s="228"/>
      <c r="AL177" s="228"/>
      <c r="AM177" s="228"/>
      <c r="AN177" s="228"/>
      <c r="AO177" s="228"/>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c r="CE177" s="1"/>
      <c r="CF177" s="1"/>
      <c r="CG177" s="1"/>
      <c r="CH177" s="1"/>
      <c r="CI177" s="1"/>
      <c r="CJ177" s="1"/>
      <c r="CK177" s="1"/>
      <c r="CL177" s="1"/>
      <c r="CM177" s="1"/>
      <c r="CN177" s="1"/>
      <c r="CO177" s="1"/>
      <c r="CP177" s="1"/>
      <c r="CQ177" s="1"/>
      <c r="CR177" s="1"/>
      <c r="CS177" s="1"/>
      <c r="CT177" s="1"/>
      <c r="CU177" s="1"/>
      <c r="CV177" s="1"/>
      <c r="CW177" s="1"/>
      <c r="CX177" s="1"/>
      <c r="CY177" s="1"/>
      <c r="CZ177" s="1"/>
      <c r="DA177" s="1"/>
      <c r="DB177" s="1"/>
      <c r="DC177" s="1"/>
      <c r="DD177" s="1"/>
      <c r="DE177" s="1"/>
      <c r="DF177" s="1"/>
      <c r="DG177" s="1"/>
      <c r="DH177" s="1"/>
      <c r="DI177" s="1"/>
      <c r="DJ177" s="1"/>
      <c r="DK177" s="1"/>
      <c r="DL177" s="1"/>
      <c r="DM177" s="1"/>
      <c r="DN177" s="1"/>
      <c r="DO177" s="1"/>
      <c r="DP177" s="1"/>
      <c r="DQ177" s="1"/>
      <c r="DR177" s="1"/>
      <c r="DS177" s="1"/>
      <c r="DT177" s="1"/>
      <c r="DU177" s="1"/>
      <c r="DV177" s="1"/>
      <c r="DW177" s="1"/>
      <c r="DX177" s="1"/>
      <c r="DY177" s="1"/>
      <c r="DZ177" s="1"/>
      <c r="EA177" s="1"/>
      <c r="EB177" s="1"/>
      <c r="EC177" s="1"/>
      <c r="ED177" s="1"/>
      <c r="EE177" s="1"/>
      <c r="EF177" s="1"/>
      <c r="EG177" s="1"/>
      <c r="EH177" s="1"/>
      <c r="EI177" s="1"/>
      <c r="EJ177" s="1"/>
      <c r="EK177" s="1"/>
      <c r="EL177" s="1"/>
      <c r="EM177" s="1"/>
      <c r="EN177" s="1"/>
      <c r="EO177" s="1"/>
      <c r="EP177" s="1"/>
      <c r="EQ177" s="1"/>
      <c r="ER177" s="1"/>
      <c r="ES177" s="1"/>
      <c r="ET177" s="1"/>
      <c r="EU177" s="1"/>
      <c r="EV177" s="1"/>
      <c r="EW177" s="1"/>
      <c r="EX177" s="1"/>
      <c r="EY177" s="1"/>
      <c r="EZ177" s="1"/>
      <c r="FA177" s="1"/>
      <c r="FB177" s="1"/>
      <c r="FC177" s="1"/>
      <c r="FD177" s="1"/>
      <c r="FE177" s="1"/>
      <c r="FF177" s="1"/>
      <c r="FG177" s="1"/>
      <c r="FH177" s="1"/>
      <c r="FI177" s="1"/>
      <c r="FJ177" s="1"/>
      <c r="FK177" s="1"/>
      <c r="FL177" s="1"/>
      <c r="FM177" s="1"/>
      <c r="FN177" s="1"/>
      <c r="FO177" s="1"/>
      <c r="FP177" s="1"/>
      <c r="FQ177" s="1"/>
      <c r="FR177" s="1"/>
      <c r="FS177" s="1"/>
      <c r="FT177" s="1"/>
      <c r="FU177" s="1"/>
      <c r="FV177" s="1"/>
      <c r="FW177" s="1"/>
      <c r="FX177" s="1"/>
      <c r="FY177" s="1"/>
      <c r="FZ177" s="1"/>
      <c r="GA177" s="1"/>
      <c r="GB177" s="1"/>
      <c r="GC177" s="1"/>
      <c r="GD177" s="1"/>
      <c r="GE177" s="1"/>
      <c r="GF177" s="1"/>
      <c r="GG177" s="1"/>
      <c r="GH177" s="1"/>
      <c r="GI177" s="1"/>
      <c r="GJ177" s="1"/>
      <c r="GK177" s="1"/>
      <c r="GL177" s="1"/>
      <c r="GM177" s="1"/>
      <c r="GN177" s="1"/>
      <c r="GO177" s="1"/>
      <c r="GP177" s="1"/>
      <c r="GQ177" s="1"/>
      <c r="GR177" s="1"/>
      <c r="GS177" s="1"/>
      <c r="GT177" s="1"/>
      <c r="GU177" s="1"/>
      <c r="GV177" s="1"/>
      <c r="GW177" s="1"/>
      <c r="GX177" s="1"/>
      <c r="GY177" s="1"/>
      <c r="GZ177" s="1"/>
      <c r="HA177" s="1"/>
      <c r="HB177" s="1"/>
      <c r="HC177" s="1"/>
      <c r="HD177" s="1"/>
      <c r="HE177" s="1"/>
      <c r="HF177" s="1"/>
      <c r="HG177" s="1"/>
      <c r="HH177" s="1"/>
      <c r="HI177" s="1"/>
      <c r="HJ177" s="1"/>
      <c r="HK177" s="1"/>
      <c r="HL177" s="1"/>
      <c r="HM177" s="1"/>
      <c r="HN177" s="1"/>
      <c r="HO177" s="1"/>
      <c r="HP177" s="1"/>
      <c r="HQ177" s="1"/>
      <c r="HR177" s="1"/>
      <c r="HS177" s="1"/>
      <c r="HT177" s="1"/>
      <c r="HU177" s="1"/>
      <c r="HV177" s="1"/>
      <c r="HW177" s="1"/>
      <c r="HX177" s="1"/>
      <c r="HY177" s="1"/>
      <c r="HZ177" s="1"/>
      <c r="IA177" s="1"/>
      <c r="IB177" s="1"/>
      <c r="IC177" s="1"/>
      <c r="ID177" s="1"/>
      <c r="IE177" s="1"/>
      <c r="IF177" s="1"/>
      <c r="IG177" s="1"/>
      <c r="IH177" s="1"/>
      <c r="II177" s="1"/>
      <c r="IJ177" s="1"/>
      <c r="IK177" s="1"/>
      <c r="IL177" s="1"/>
      <c r="IM177" s="1"/>
      <c r="IN177" s="1"/>
      <c r="IO177" s="1"/>
      <c r="IP177" s="1"/>
      <c r="IQ177" s="1"/>
      <c r="IR177" s="1"/>
      <c r="IS177" s="1"/>
      <c r="IT177" s="1"/>
      <c r="IU177" s="1"/>
      <c r="IV177" s="1"/>
      <c r="IW177" s="1"/>
      <c r="IX177" s="1"/>
      <c r="IY177" s="1"/>
      <c r="IZ177" s="1"/>
      <c r="JA177" s="1"/>
      <c r="JB177" s="1"/>
      <c r="JC177" s="1"/>
      <c r="JD177" s="1"/>
      <c r="JE177" s="1"/>
      <c r="JF177" s="1"/>
      <c r="JG177" s="1"/>
      <c r="JH177" s="1"/>
      <c r="JI177" s="1"/>
      <c r="JJ177" s="1"/>
      <c r="JK177" s="1"/>
      <c r="JL177" s="1"/>
      <c r="JM177" s="1"/>
      <c r="JN177" s="1"/>
      <c r="JO177" s="1"/>
      <c r="JP177" s="1"/>
      <c r="JQ177" s="1"/>
      <c r="JR177" s="1"/>
      <c r="JS177" s="1"/>
      <c r="JT177" s="1"/>
      <c r="JU177" s="1"/>
      <c r="JV177" s="1"/>
      <c r="JW177" s="1"/>
      <c r="JX177" s="1"/>
      <c r="JY177" s="1"/>
      <c r="JZ177" s="1"/>
      <c r="KA177" s="1"/>
      <c r="KB177" s="1"/>
      <c r="KC177" s="1"/>
      <c r="KD177" s="1"/>
      <c r="KE177" s="1"/>
      <c r="KF177" s="1"/>
      <c r="KG177" s="1"/>
      <c r="KH177" s="1"/>
      <c r="KI177" s="1"/>
      <c r="KJ177" s="1"/>
      <c r="KK177" s="1"/>
      <c r="KL177" s="1"/>
      <c r="KM177" s="1"/>
      <c r="KN177" s="1"/>
      <c r="KO177" s="1"/>
      <c r="KP177" s="1"/>
      <c r="KQ177" s="1"/>
      <c r="KR177" s="1"/>
      <c r="KS177" s="1"/>
      <c r="KT177" s="1"/>
      <c r="KU177" s="1"/>
      <c r="KV177" s="1"/>
      <c r="KW177" s="1"/>
      <c r="KX177" s="1"/>
      <c r="KY177" s="1"/>
      <c r="KZ177" s="1"/>
      <c r="LA177" s="1"/>
      <c r="LB177" s="1"/>
      <c r="LC177" s="1"/>
      <c r="LD177" s="1"/>
      <c r="LE177" s="1"/>
      <c r="LF177" s="1"/>
      <c r="LG177" s="1"/>
      <c r="LH177" s="1"/>
      <c r="LI177" s="1"/>
      <c r="LJ177" s="1"/>
      <c r="LK177" s="1"/>
      <c r="LL177" s="1"/>
      <c r="LM177" s="1"/>
      <c r="LN177" s="1"/>
      <c r="LO177" s="1"/>
      <c r="LP177" s="1"/>
      <c r="LQ177" s="1"/>
      <c r="LR177" s="1"/>
      <c r="LS177" s="1"/>
      <c r="LT177" s="1"/>
      <c r="LU177" s="1"/>
      <c r="LV177" s="1"/>
      <c r="LW177" s="1"/>
      <c r="LX177" s="1"/>
      <c r="LY177" s="1"/>
      <c r="LZ177" s="1"/>
      <c r="MA177" s="1"/>
      <c r="MB177" s="1"/>
      <c r="MC177" s="1"/>
      <c r="MD177" s="1"/>
      <c r="ME177" s="1"/>
      <c r="MF177" s="1"/>
      <c r="MG177" s="1"/>
      <c r="MH177" s="1"/>
      <c r="MI177" s="1"/>
      <c r="MJ177" s="1"/>
      <c r="MK177" s="1"/>
      <c r="ML177" s="1"/>
      <c r="MM177" s="1"/>
      <c r="MN177" s="1"/>
      <c r="MO177" s="1"/>
      <c r="MP177" s="1"/>
      <c r="MQ177" s="1"/>
      <c r="MR177" s="1"/>
      <c r="MS177" s="1"/>
      <c r="MT177" s="1"/>
      <c r="MU177" s="1"/>
      <c r="MV177" s="1"/>
      <c r="MW177" s="1"/>
      <c r="MX177" s="1"/>
      <c r="MY177" s="1"/>
      <c r="MZ177" s="1"/>
      <c r="NA177" s="1"/>
      <c r="NB177" s="1"/>
      <c r="NC177" s="1"/>
      <c r="ND177" s="1"/>
      <c r="NE177" s="1"/>
      <c r="NF177" s="1"/>
      <c r="NG177" s="1"/>
      <c r="NH177" s="1"/>
      <c r="NI177" s="1"/>
      <c r="NJ177" s="1"/>
      <c r="NK177" s="1"/>
      <c r="NL177" s="1"/>
      <c r="NM177" s="1"/>
      <c r="NN177" s="1"/>
      <c r="NO177" s="1"/>
      <c r="NP177" s="1"/>
      <c r="NQ177" s="1"/>
      <c r="NR177" s="1"/>
      <c r="NS177" s="1"/>
      <c r="NT177" s="1"/>
      <c r="NU177" s="1"/>
      <c r="NV177" s="1"/>
      <c r="NW177" s="1"/>
      <c r="NX177" s="1"/>
      <c r="NY177" s="1"/>
      <c r="NZ177" s="1"/>
      <c r="OA177" s="1"/>
      <c r="OB177" s="1"/>
      <c r="OC177" s="1"/>
      <c r="OD177" s="1"/>
      <c r="OE177" s="1"/>
      <c r="OF177" s="1"/>
      <c r="OG177" s="1"/>
      <c r="OH177" s="1"/>
      <c r="OI177" s="1"/>
      <c r="OJ177" s="1"/>
      <c r="OK177" s="1"/>
      <c r="OL177" s="1"/>
      <c r="OM177" s="1"/>
      <c r="ON177" s="1"/>
      <c r="OO177" s="1"/>
      <c r="OP177" s="1"/>
      <c r="OQ177" s="1"/>
      <c r="OR177" s="1"/>
      <c r="OS177" s="1"/>
      <c r="OT177" s="1"/>
      <c r="OU177" s="1"/>
      <c r="OV177" s="1"/>
      <c r="OW177" s="1"/>
      <c r="OX177" s="1"/>
      <c r="OY177" s="1"/>
      <c r="OZ177" s="1"/>
      <c r="PA177" s="1"/>
      <c r="PB177" s="1"/>
      <c r="PC177" s="1"/>
      <c r="PD177" s="1"/>
      <c r="PE177" s="1"/>
      <c r="PF177" s="1"/>
      <c r="PG177" s="1"/>
      <c r="PH177" s="1"/>
      <c r="PI177" s="1"/>
      <c r="PJ177" s="1"/>
      <c r="PK177" s="1"/>
      <c r="PL177" s="1"/>
      <c r="PM177" s="1"/>
      <c r="PN177" s="1"/>
      <c r="PO177" s="1"/>
      <c r="PP177" s="1"/>
      <c r="PQ177" s="1"/>
      <c r="PR177" s="1"/>
      <c r="PS177" s="1"/>
      <c r="PT177" s="1"/>
      <c r="PU177" s="1"/>
      <c r="PV177" s="1"/>
      <c r="PW177" s="1"/>
      <c r="PX177" s="1"/>
      <c r="PY177" s="1"/>
      <c r="PZ177" s="1"/>
      <c r="QA177" s="1"/>
      <c r="QB177" s="1"/>
      <c r="QC177" s="1"/>
      <c r="QD177" s="1"/>
      <c r="QE177" s="1"/>
      <c r="QF177" s="1"/>
      <c r="QG177" s="1"/>
      <c r="QH177" s="1"/>
      <c r="QI177" s="1"/>
      <c r="QJ177" s="1"/>
      <c r="QK177" s="1"/>
      <c r="QL177" s="1"/>
      <c r="QM177" s="1"/>
      <c r="QN177" s="1"/>
      <c r="QO177" s="1"/>
      <c r="QP177" s="1"/>
      <c r="QQ177" s="1"/>
      <c r="QR177" s="1"/>
      <c r="QS177" s="1"/>
      <c r="QT177" s="1"/>
      <c r="QU177" s="1"/>
      <c r="QV177" s="1"/>
      <c r="QW177" s="1"/>
      <c r="QX177" s="1"/>
      <c r="QY177" s="1"/>
      <c r="QZ177" s="1"/>
      <c r="RA177" s="1"/>
      <c r="RB177" s="1"/>
      <c r="RC177" s="1"/>
      <c r="RD177" s="1"/>
      <c r="RE177" s="1"/>
      <c r="RF177" s="1"/>
      <c r="RG177" s="1"/>
      <c r="RH177" s="1"/>
      <c r="RI177" s="1"/>
      <c r="RJ177" s="1"/>
      <c r="RK177" s="1"/>
      <c r="RL177" s="1"/>
      <c r="RM177" s="1"/>
      <c r="RN177" s="1"/>
      <c r="RO177" s="1"/>
      <c r="RP177" s="1"/>
      <c r="RQ177" s="1"/>
      <c r="RR177" s="1"/>
      <c r="RS177" s="1"/>
      <c r="RT177" s="1"/>
      <c r="RU177" s="1"/>
      <c r="RV177" s="1"/>
      <c r="RW177" s="1"/>
      <c r="RX177" s="1"/>
      <c r="RY177" s="1"/>
      <c r="RZ177" s="1"/>
      <c r="SA177" s="1"/>
      <c r="SB177" s="1"/>
      <c r="SC177" s="1"/>
      <c r="SD177" s="1"/>
      <c r="SE177" s="1"/>
      <c r="SF177" s="1"/>
      <c r="SG177" s="1"/>
      <c r="SH177" s="1"/>
      <c r="SI177" s="1"/>
      <c r="SJ177" s="1"/>
      <c r="SK177" s="1"/>
      <c r="SL177" s="1"/>
      <c r="SM177" s="1"/>
      <c r="SN177" s="1"/>
      <c r="SO177" s="1"/>
      <c r="SP177" s="1"/>
      <c r="SQ177" s="1"/>
      <c r="SR177" s="1"/>
      <c r="SS177" s="1"/>
      <c r="ST177" s="1"/>
      <c r="SU177" s="1"/>
      <c r="SV177" s="1"/>
      <c r="SW177" s="1"/>
      <c r="SX177" s="1"/>
      <c r="SY177" s="1"/>
      <c r="SZ177" s="1"/>
      <c r="TA177" s="1"/>
      <c r="TB177" s="1"/>
      <c r="TC177" s="1"/>
      <c r="TD177" s="1"/>
      <c r="TE177" s="1"/>
      <c r="TF177" s="1"/>
      <c r="TG177" s="1"/>
      <c r="TH177" s="1"/>
      <c r="TI177" s="1"/>
      <c r="TJ177" s="1"/>
      <c r="TK177" s="1"/>
      <c r="TL177" s="1"/>
      <c r="TM177" s="1"/>
      <c r="TN177" s="1"/>
      <c r="TO177" s="1"/>
      <c r="TP177" s="1"/>
      <c r="TQ177" s="1"/>
      <c r="TR177" s="1"/>
      <c r="TS177" s="1"/>
      <c r="TT177" s="1"/>
      <c r="TU177" s="1"/>
      <c r="TV177" s="1"/>
      <c r="TW177" s="1"/>
      <c r="TX177" s="1"/>
      <c r="TY177" s="1"/>
      <c r="TZ177" s="1"/>
      <c r="UA177" s="1"/>
      <c r="UB177" s="1"/>
      <c r="UC177" s="1"/>
      <c r="UD177" s="1"/>
      <c r="UE177" s="1"/>
      <c r="UF177" s="1"/>
      <c r="UG177" s="1"/>
      <c r="UH177" s="1"/>
      <c r="UI177" s="1"/>
      <c r="UJ177" s="1"/>
      <c r="UK177" s="1"/>
      <c r="UL177" s="1"/>
      <c r="UM177" s="1"/>
      <c r="UN177" s="1"/>
      <c r="UO177" s="1"/>
      <c r="UP177" s="1"/>
      <c r="UQ177" s="1"/>
      <c r="UR177" s="1"/>
      <c r="US177" s="1"/>
      <c r="UT177" s="1"/>
      <c r="UU177" s="1"/>
      <c r="UV177" s="1"/>
      <c r="UW177" s="1"/>
      <c r="UX177" s="1"/>
      <c r="UY177" s="1"/>
      <c r="UZ177" s="1"/>
      <c r="VA177" s="1"/>
      <c r="VB177" s="1"/>
      <c r="VC177" s="1"/>
      <c r="VD177" s="1"/>
      <c r="VE177" s="1"/>
      <c r="VF177" s="1"/>
      <c r="VG177" s="1"/>
      <c r="VH177" s="1"/>
      <c r="VI177" s="1"/>
      <c r="VJ177" s="1"/>
      <c r="VK177" s="1"/>
      <c r="VL177" s="1"/>
      <c r="VM177" s="1"/>
      <c r="VN177" s="1"/>
      <c r="VO177" s="1"/>
      <c r="VP177" s="1"/>
      <c r="VQ177" s="1"/>
      <c r="VR177" s="1"/>
      <c r="VS177" s="1"/>
      <c r="VT177" s="1"/>
      <c r="VU177" s="1"/>
      <c r="VV177" s="1"/>
      <c r="VW177" s="1"/>
      <c r="VX177" s="1"/>
      <c r="VY177" s="1"/>
      <c r="VZ177" s="1"/>
      <c r="WA177" s="1"/>
      <c r="WB177" s="1"/>
      <c r="WC177" s="1"/>
      <c r="WD177" s="1"/>
      <c r="WE177" s="1"/>
      <c r="WF177" s="1"/>
      <c r="WG177" s="1"/>
      <c r="WH177" s="1"/>
      <c r="WI177" s="1"/>
      <c r="WJ177" s="1"/>
      <c r="WK177" s="1"/>
      <c r="WL177" s="1"/>
      <c r="WM177" s="1"/>
      <c r="WN177" s="1"/>
      <c r="WO177" s="1"/>
      <c r="WP177" s="1"/>
      <c r="WQ177" s="1"/>
      <c r="WR177" s="1"/>
      <c r="WS177" s="1"/>
      <c r="WT177" s="1"/>
      <c r="WU177" s="1"/>
      <c r="WV177" s="1"/>
      <c r="WW177" s="1"/>
      <c r="WX177" s="1"/>
      <c r="WY177" s="1"/>
      <c r="WZ177" s="1"/>
      <c r="XA177" s="1"/>
      <c r="XB177" s="1"/>
      <c r="XC177" s="1"/>
      <c r="XD177" s="1"/>
      <c r="XE177" s="1"/>
      <c r="XF177" s="1"/>
      <c r="XG177" s="1"/>
      <c r="XH177" s="1"/>
      <c r="XI177" s="1"/>
      <c r="XJ177" s="1"/>
      <c r="XK177" s="1"/>
      <c r="XL177" s="1"/>
      <c r="XM177" s="1"/>
      <c r="XN177" s="1"/>
      <c r="XO177" s="1"/>
      <c r="XP177" s="1"/>
      <c r="XQ177" s="1"/>
      <c r="XR177" s="1"/>
      <c r="XS177" s="1"/>
      <c r="XT177" s="1"/>
      <c r="XU177" s="1"/>
      <c r="XV177" s="1"/>
      <c r="XW177" s="1"/>
      <c r="XX177" s="1"/>
      <c r="XY177" s="1"/>
      <c r="XZ177" s="1"/>
      <c r="YA177" s="1"/>
      <c r="YB177" s="1"/>
      <c r="YC177" s="1"/>
      <c r="YD177" s="1"/>
      <c r="YE177" s="1"/>
      <c r="YF177" s="1"/>
      <c r="YG177" s="1"/>
      <c r="YH177" s="1"/>
      <c r="YI177" s="1"/>
      <c r="YJ177" s="1"/>
      <c r="YK177" s="1"/>
      <c r="YL177" s="1"/>
      <c r="YM177" s="1"/>
      <c r="YN177" s="1"/>
      <c r="YO177" s="1"/>
      <c r="YP177" s="1"/>
      <c r="YQ177" s="1"/>
      <c r="YR177" s="1"/>
      <c r="YS177" s="1"/>
      <c r="YT177" s="1"/>
      <c r="YU177" s="1"/>
      <c r="YV177" s="1"/>
      <c r="YW177" s="1"/>
      <c r="YX177" s="1"/>
      <c r="YY177" s="1"/>
      <c r="YZ177" s="1"/>
      <c r="ZA177" s="1"/>
      <c r="ZB177" s="1"/>
      <c r="ZC177" s="1"/>
      <c r="ZD177" s="1"/>
      <c r="ZE177" s="1"/>
      <c r="ZF177" s="1"/>
      <c r="ZG177" s="1"/>
      <c r="ZH177" s="1"/>
      <c r="ZI177" s="1"/>
      <c r="ZJ177" s="1"/>
      <c r="ZK177" s="1"/>
      <c r="ZL177" s="1"/>
      <c r="ZM177" s="1"/>
      <c r="ZN177" s="1"/>
      <c r="ZO177" s="1"/>
      <c r="ZP177" s="1"/>
      <c r="ZQ177" s="1"/>
      <c r="ZR177" s="1"/>
      <c r="ZS177" s="1"/>
      <c r="ZT177" s="1"/>
      <c r="ZU177" s="1"/>
      <c r="ZV177" s="1"/>
      <c r="ZW177" s="1"/>
      <c r="ZX177" s="1"/>
      <c r="ZY177" s="1"/>
      <c r="ZZ177" s="1"/>
      <c r="AAA177" s="1"/>
      <c r="AAB177" s="1"/>
      <c r="AAC177" s="1"/>
      <c r="AAD177" s="1"/>
      <c r="AAE177" s="1"/>
      <c r="AAF177" s="1"/>
      <c r="AAG177" s="1"/>
      <c r="AAH177" s="1"/>
      <c r="AAI177" s="1"/>
      <c r="AAJ177" s="1"/>
      <c r="AAK177" s="1"/>
      <c r="AAL177" s="1"/>
      <c r="AAM177" s="1"/>
      <c r="AAN177" s="1"/>
      <c r="AAO177" s="1"/>
      <c r="AAP177" s="1"/>
      <c r="AAQ177" s="1"/>
      <c r="AAR177" s="1"/>
      <c r="AAS177" s="1"/>
      <c r="AAT177" s="1"/>
      <c r="AAU177" s="1"/>
      <c r="AAV177" s="1"/>
      <c r="AAW177" s="1"/>
      <c r="AAX177" s="1"/>
      <c r="AAY177" s="1"/>
      <c r="AAZ177" s="1"/>
      <c r="ABA177" s="1"/>
      <c r="ABB177" s="1"/>
      <c r="ABC177" s="1"/>
      <c r="ABD177" s="1"/>
      <c r="ABE177" s="1"/>
      <c r="ABF177" s="1"/>
      <c r="ABG177" s="1"/>
      <c r="ABH177" s="1"/>
      <c r="ABI177" s="1"/>
      <c r="ABJ177" s="1"/>
      <c r="ABK177" s="1"/>
      <c r="ABL177" s="1"/>
      <c r="ABM177" s="1"/>
      <c r="ABN177" s="1"/>
      <c r="ABO177" s="1"/>
      <c r="ABP177" s="1"/>
      <c r="ABQ177" s="1"/>
      <c r="ABR177" s="1"/>
      <c r="ABS177" s="1"/>
      <c r="ABT177" s="1"/>
      <c r="ABU177" s="1"/>
      <c r="ABV177" s="1"/>
      <c r="ABW177" s="1"/>
      <c r="ABX177" s="1"/>
      <c r="ABY177" s="1"/>
      <c r="ABZ177" s="1"/>
      <c r="ACA177" s="1"/>
      <c r="ACB177" s="1"/>
      <c r="ACC177" s="1"/>
      <c r="ACD177" s="1"/>
      <c r="ACE177" s="1"/>
      <c r="ACF177" s="1"/>
      <c r="ACG177" s="1"/>
      <c r="ACH177" s="1"/>
      <c r="ACI177" s="1"/>
      <c r="ACJ177" s="1"/>
      <c r="ACK177" s="1"/>
      <c r="ACL177" s="1"/>
      <c r="ACM177" s="1"/>
      <c r="ACN177" s="1"/>
      <c r="ACO177" s="1"/>
      <c r="ACP177" s="1"/>
      <c r="ACQ177" s="1"/>
      <c r="ACR177" s="1"/>
      <c r="ACS177" s="1"/>
      <c r="ACT177" s="1"/>
      <c r="ACU177" s="1"/>
      <c r="ACV177" s="1"/>
      <c r="ACW177" s="1"/>
      <c r="ACX177" s="1"/>
      <c r="ACY177" s="1"/>
      <c r="ACZ177" s="1"/>
      <c r="ADA177" s="1"/>
      <c r="ADB177" s="1"/>
      <c r="ADC177" s="1"/>
      <c r="ADD177" s="1"/>
      <c r="ADE177" s="1"/>
      <c r="ADF177" s="1"/>
      <c r="ADG177" s="1"/>
      <c r="ADH177" s="1"/>
      <c r="ADI177" s="1"/>
      <c r="ADJ177" s="1"/>
      <c r="ADK177" s="1"/>
      <c r="ADL177" s="1"/>
      <c r="ADM177" s="1"/>
      <c r="ADN177" s="1"/>
      <c r="ADO177" s="1"/>
      <c r="ADP177" s="1"/>
      <c r="ADQ177" s="1"/>
      <c r="ADR177" s="1"/>
      <c r="ADS177" s="1"/>
      <c r="ADT177" s="1"/>
      <c r="ADU177" s="1"/>
      <c r="ADV177" s="1"/>
      <c r="ADW177" s="1"/>
      <c r="ADX177" s="1"/>
      <c r="ADY177" s="1"/>
      <c r="ADZ177" s="1"/>
      <c r="AEA177" s="1"/>
      <c r="AEB177" s="1"/>
      <c r="AEC177" s="1"/>
      <c r="AED177" s="1"/>
      <c r="AEE177" s="1"/>
      <c r="AEF177" s="1"/>
      <c r="AEG177" s="1"/>
      <c r="AEH177" s="1"/>
      <c r="AEI177" s="1"/>
      <c r="AEJ177" s="1"/>
      <c r="AEK177" s="1"/>
      <c r="AEL177" s="1"/>
      <c r="AEM177" s="1"/>
      <c r="AEN177" s="1"/>
      <c r="AEO177" s="1"/>
      <c r="AEP177" s="1"/>
      <c r="AEQ177" s="1"/>
      <c r="AER177" s="1"/>
      <c r="AES177" s="1"/>
      <c r="AET177" s="1"/>
      <c r="AEU177" s="1"/>
      <c r="AEV177" s="1"/>
      <c r="AEW177" s="1"/>
      <c r="AEX177" s="1"/>
      <c r="AEY177" s="1"/>
      <c r="AEZ177" s="1"/>
      <c r="AFA177" s="1"/>
      <c r="AFB177" s="1"/>
      <c r="AFC177" s="1"/>
      <c r="AFD177" s="1"/>
      <c r="AFE177" s="1"/>
      <c r="AFF177" s="1"/>
      <c r="AFG177" s="1"/>
      <c r="AFH177" s="1"/>
      <c r="AFI177" s="1"/>
      <c r="AFJ177" s="1"/>
      <c r="AFK177" s="1"/>
      <c r="AFL177" s="1"/>
      <c r="AFM177" s="1"/>
      <c r="AFN177" s="1"/>
      <c r="AFO177" s="1"/>
      <c r="AFP177" s="1"/>
      <c r="AFQ177" s="1"/>
      <c r="AFR177" s="1"/>
      <c r="AFS177" s="1"/>
      <c r="AFT177" s="1"/>
      <c r="AFU177" s="1"/>
      <c r="AFV177" s="1"/>
      <c r="AFW177" s="1"/>
      <c r="AFX177" s="1"/>
      <c r="AFY177" s="1"/>
      <c r="AFZ177" s="1"/>
      <c r="AGA177" s="1"/>
      <c r="AGB177" s="1"/>
      <c r="AGC177" s="1"/>
      <c r="AGD177" s="1"/>
      <c r="AGE177" s="1"/>
      <c r="AGF177" s="1"/>
      <c r="AGG177" s="1"/>
      <c r="AGH177" s="1"/>
      <c r="AGI177" s="1"/>
      <c r="AGJ177" s="1"/>
      <c r="AGK177" s="1"/>
      <c r="AGL177" s="1"/>
      <c r="AGM177" s="1"/>
      <c r="AGN177" s="1"/>
      <c r="AGO177" s="1"/>
      <c r="AGP177" s="1"/>
      <c r="AGQ177" s="1"/>
      <c r="AGR177" s="1"/>
      <c r="AGS177" s="1"/>
      <c r="AGT177" s="1"/>
      <c r="AGU177" s="1"/>
      <c r="AGV177" s="1"/>
      <c r="AGW177" s="1"/>
      <c r="AGX177" s="1"/>
      <c r="AGY177" s="1"/>
      <c r="AGZ177" s="1"/>
      <c r="AHA177" s="1"/>
      <c r="AHB177" s="1"/>
      <c r="AHC177" s="1"/>
      <c r="AHD177" s="1"/>
      <c r="AHE177" s="1"/>
      <c r="AHF177" s="1"/>
      <c r="AHG177" s="1"/>
      <c r="AHH177" s="1"/>
      <c r="AHI177" s="1"/>
      <c r="AHJ177" s="1"/>
      <c r="AHK177" s="1"/>
      <c r="AHL177" s="1"/>
      <c r="AHM177" s="1"/>
      <c r="AHN177" s="1"/>
      <c r="AHO177" s="1"/>
      <c r="AHP177" s="1"/>
      <c r="AHQ177" s="1"/>
      <c r="AHR177" s="1"/>
      <c r="AHS177" s="1"/>
      <c r="AHT177" s="1"/>
      <c r="AHU177" s="1"/>
      <c r="AHV177" s="1"/>
      <c r="AHW177" s="1"/>
      <c r="AHX177" s="1"/>
      <c r="AHY177" s="1"/>
      <c r="AHZ177" s="1"/>
      <c r="AIA177" s="1"/>
      <c r="AIB177" s="1"/>
      <c r="AIC177" s="1"/>
      <c r="AID177" s="1"/>
      <c r="AIE177" s="1"/>
      <c r="AIF177" s="1"/>
      <c r="AIG177" s="1"/>
      <c r="AIH177" s="1"/>
      <c r="AII177" s="1"/>
      <c r="AIJ177" s="1"/>
      <c r="AIK177" s="1"/>
      <c r="AIL177" s="1"/>
      <c r="AIM177" s="1"/>
      <c r="AIN177" s="1"/>
      <c r="AIO177" s="1"/>
      <c r="AIP177" s="1"/>
      <c r="AIQ177" s="1"/>
      <c r="AIR177" s="1"/>
      <c r="AIS177" s="1"/>
      <c r="AIT177" s="1"/>
      <c r="AIU177" s="1"/>
      <c r="AIV177" s="1"/>
      <c r="AIW177" s="1"/>
      <c r="AIX177" s="1"/>
      <c r="AIY177" s="1"/>
      <c r="AIZ177" s="1"/>
      <c r="AJA177" s="1"/>
      <c r="AJB177" s="1"/>
      <c r="AJC177" s="1"/>
      <c r="AJD177" s="1"/>
      <c r="AJE177" s="1"/>
      <c r="AJF177" s="1"/>
      <c r="AJG177" s="1"/>
      <c r="AJH177" s="1"/>
      <c r="AJI177" s="1"/>
      <c r="AJJ177" s="1"/>
      <c r="AJK177" s="1"/>
      <c r="AJL177" s="1"/>
      <c r="AJM177" s="1"/>
      <c r="AJN177" s="1"/>
      <c r="AJO177" s="1"/>
      <c r="AJP177" s="1"/>
      <c r="AJQ177" s="1"/>
      <c r="AJR177" s="1"/>
      <c r="AJS177" s="1"/>
      <c r="AJT177" s="1"/>
      <c r="AJU177" s="1"/>
      <c r="AJV177" s="1"/>
      <c r="AJW177" s="1"/>
      <c r="AJX177" s="1"/>
      <c r="AJY177" s="1"/>
      <c r="AJZ177" s="1"/>
      <c r="AKA177" s="1"/>
      <c r="AKB177" s="1"/>
      <c r="AKC177" s="1"/>
      <c r="AKD177" s="1"/>
      <c r="AKE177" s="1"/>
      <c r="AKF177" s="1"/>
      <c r="AKG177" s="1"/>
      <c r="AKH177" s="1"/>
      <c r="AKI177" s="1"/>
      <c r="AKJ177" s="1"/>
      <c r="AKK177" s="1"/>
      <c r="AKL177" s="1"/>
      <c r="AKM177" s="1"/>
      <c r="AKN177" s="1"/>
      <c r="AKO177" s="1"/>
      <c r="AKP177" s="1"/>
      <c r="AKQ177" s="1"/>
      <c r="AKR177" s="1"/>
      <c r="AKS177" s="1"/>
      <c r="AKT177" s="1"/>
      <c r="AKU177" s="1"/>
      <c r="AKV177" s="1"/>
      <c r="AKW177" s="1"/>
      <c r="AKX177" s="1"/>
      <c r="AKY177" s="1"/>
      <c r="AKZ177" s="1"/>
      <c r="ALA177" s="1"/>
      <c r="ALB177" s="1"/>
      <c r="ALC177" s="1"/>
      <c r="ALD177" s="1"/>
      <c r="ALE177" s="1"/>
      <c r="ALF177" s="1"/>
      <c r="ALG177" s="1"/>
      <c r="ALH177" s="1"/>
      <c r="ALI177" s="1"/>
      <c r="ALJ177" s="1"/>
      <c r="ALK177" s="1"/>
      <c r="ALL177" s="1"/>
      <c r="ALM177" s="1"/>
      <c r="ALN177" s="1"/>
      <c r="ALO177" s="1"/>
      <c r="ALP177" s="1"/>
      <c r="ALQ177" s="1"/>
      <c r="ALR177" s="1"/>
      <c r="ALS177" s="1"/>
      <c r="ALT177" s="1"/>
      <c r="ALU177" s="1"/>
      <c r="ALV177" s="1"/>
      <c r="ALW177" s="1"/>
      <c r="ALX177" s="1"/>
      <c r="ALY177" s="1"/>
      <c r="ALZ177" s="1"/>
      <c r="AMA177" s="1"/>
      <c r="AMB177" s="1"/>
      <c r="AMC177" s="1"/>
      <c r="AMD177" s="1"/>
      <c r="AME177" s="1"/>
      <c r="AMF177" s="1"/>
      <c r="AMG177" s="1"/>
      <c r="AMH177" s="1"/>
      <c r="AMI177" s="1"/>
      <c r="AMJ177" s="1"/>
    </row>
    <row r="178" customFormat="false" ht="10.5" hidden="false" customHeight="true" outlineLevel="0" collapsed="false">
      <c r="A178" s="230"/>
      <c r="B178" s="230"/>
      <c r="C178" s="230"/>
      <c r="D178" s="230"/>
      <c r="E178" s="230"/>
      <c r="F178" s="166"/>
      <c r="G178" s="166"/>
      <c r="H178" s="166"/>
      <c r="I178" s="166"/>
      <c r="J178" s="166"/>
      <c r="K178" s="166"/>
      <c r="L178" s="166"/>
      <c r="M178" s="166"/>
      <c r="N178" s="166"/>
      <c r="O178" s="166"/>
      <c r="P178" s="166"/>
      <c r="Q178" s="166"/>
      <c r="R178" s="166"/>
      <c r="S178" s="166"/>
      <c r="T178" s="166"/>
      <c r="U178" s="166"/>
      <c r="V178" s="166"/>
      <c r="W178" s="166"/>
      <c r="X178" s="166"/>
      <c r="Y178" s="166"/>
      <c r="Z178" s="168"/>
      <c r="AA178" s="168"/>
      <c r="AB178" s="168"/>
      <c r="AC178" s="168"/>
      <c r="AD178" s="231"/>
      <c r="AE178" s="231"/>
      <c r="AF178" s="231"/>
      <c r="AG178" s="228"/>
      <c r="AH178" s="228"/>
      <c r="AI178" s="228"/>
      <c r="AJ178" s="228"/>
      <c r="AK178" s="228"/>
      <c r="AL178" s="228"/>
      <c r="AM178" s="228"/>
      <c r="AN178" s="228"/>
      <c r="AO178" s="228"/>
      <c r="BE178" s="1"/>
      <c r="BF178" s="1"/>
      <c r="BG178" s="1"/>
      <c r="BH178" s="1"/>
      <c r="BI178" s="1"/>
      <c r="BJ178" s="1"/>
      <c r="BK178" s="1"/>
      <c r="BL178" s="1"/>
      <c r="BM178" s="1"/>
      <c r="BN178" s="1"/>
      <c r="BO178" s="1"/>
      <c r="BP178" s="1"/>
      <c r="BQ178" s="1"/>
      <c r="BR178" s="1"/>
      <c r="BS178" s="1"/>
      <c r="BT178" s="1"/>
      <c r="BU178" s="1"/>
      <c r="BV178" s="1"/>
      <c r="BW178" s="1"/>
      <c r="BX178" s="1"/>
      <c r="BY178" s="1"/>
      <c r="BZ178" s="1"/>
      <c r="CA178" s="1"/>
      <c r="CB178" s="1"/>
      <c r="CC178" s="1"/>
      <c r="CD178" s="1"/>
      <c r="CE178" s="1"/>
      <c r="CF178" s="1"/>
      <c r="CG178" s="1"/>
      <c r="CH178" s="1"/>
      <c r="CI178" s="1"/>
      <c r="CJ178" s="1"/>
      <c r="CK178" s="1"/>
      <c r="CL178" s="1"/>
      <c r="CM178" s="1"/>
      <c r="CN178" s="1"/>
      <c r="CO178" s="1"/>
      <c r="CP178" s="1"/>
      <c r="CQ178" s="1"/>
      <c r="CR178" s="1"/>
      <c r="CS178" s="1"/>
      <c r="CT178" s="1"/>
      <c r="CU178" s="1"/>
      <c r="CV178" s="1"/>
      <c r="CW178" s="1"/>
      <c r="CX178" s="1"/>
      <c r="CY178" s="1"/>
      <c r="CZ178" s="1"/>
      <c r="DA178" s="1"/>
      <c r="DB178" s="1"/>
      <c r="DC178" s="1"/>
      <c r="DD178" s="1"/>
      <c r="DE178" s="1"/>
      <c r="DF178" s="1"/>
      <c r="DG178" s="1"/>
      <c r="DH178" s="1"/>
      <c r="DI178" s="1"/>
      <c r="DJ178" s="1"/>
      <c r="DK178" s="1"/>
      <c r="DL178" s="1"/>
      <c r="DM178" s="1"/>
      <c r="DN178" s="1"/>
      <c r="DO178" s="1"/>
      <c r="DP178" s="1"/>
      <c r="DQ178" s="1"/>
      <c r="DR178" s="1"/>
      <c r="DS178" s="1"/>
      <c r="DT178" s="1"/>
      <c r="DU178" s="1"/>
      <c r="DV178" s="1"/>
      <c r="DW178" s="1"/>
      <c r="DX178" s="1"/>
      <c r="DY178" s="1"/>
      <c r="DZ178" s="1"/>
      <c r="EA178" s="1"/>
      <c r="EB178" s="1"/>
      <c r="EC178" s="1"/>
      <c r="ED178" s="1"/>
      <c r="EE178" s="1"/>
      <c r="EF178" s="1"/>
      <c r="EG178" s="1"/>
      <c r="EH178" s="1"/>
      <c r="EI178" s="1"/>
      <c r="EJ178" s="1"/>
      <c r="EK178" s="1"/>
      <c r="EL178" s="1"/>
      <c r="EM178" s="1"/>
      <c r="EN178" s="1"/>
      <c r="EO178" s="1"/>
      <c r="EP178" s="1"/>
      <c r="EQ178" s="1"/>
      <c r="ER178" s="1"/>
      <c r="ES178" s="1"/>
      <c r="ET178" s="1"/>
      <c r="EU178" s="1"/>
      <c r="EV178" s="1"/>
      <c r="EW178" s="1"/>
      <c r="EX178" s="1"/>
      <c r="EY178" s="1"/>
      <c r="EZ178" s="1"/>
      <c r="FA178" s="1"/>
      <c r="FB178" s="1"/>
      <c r="FC178" s="1"/>
      <c r="FD178" s="1"/>
      <c r="FE178" s="1"/>
      <c r="FF178" s="1"/>
      <c r="FG178" s="1"/>
      <c r="FH178" s="1"/>
      <c r="FI178" s="1"/>
      <c r="FJ178" s="1"/>
      <c r="FK178" s="1"/>
      <c r="FL178" s="1"/>
      <c r="FM178" s="1"/>
      <c r="FN178" s="1"/>
      <c r="FO178" s="1"/>
      <c r="FP178" s="1"/>
      <c r="FQ178" s="1"/>
      <c r="FR178" s="1"/>
      <c r="FS178" s="1"/>
      <c r="FT178" s="1"/>
      <c r="FU178" s="1"/>
      <c r="FV178" s="1"/>
      <c r="FW178" s="1"/>
      <c r="FX178" s="1"/>
      <c r="FY178" s="1"/>
      <c r="FZ178" s="1"/>
      <c r="GA178" s="1"/>
      <c r="GB178" s="1"/>
      <c r="GC178" s="1"/>
      <c r="GD178" s="1"/>
      <c r="GE178" s="1"/>
      <c r="GF178" s="1"/>
      <c r="GG178" s="1"/>
      <c r="GH178" s="1"/>
      <c r="GI178" s="1"/>
      <c r="GJ178" s="1"/>
      <c r="GK178" s="1"/>
      <c r="GL178" s="1"/>
      <c r="GM178" s="1"/>
      <c r="GN178" s="1"/>
      <c r="GO178" s="1"/>
      <c r="GP178" s="1"/>
      <c r="GQ178" s="1"/>
      <c r="GR178" s="1"/>
      <c r="GS178" s="1"/>
      <c r="GT178" s="1"/>
      <c r="GU178" s="1"/>
      <c r="GV178" s="1"/>
      <c r="GW178" s="1"/>
      <c r="GX178" s="1"/>
      <c r="GY178" s="1"/>
      <c r="GZ178" s="1"/>
      <c r="HA178" s="1"/>
      <c r="HB178" s="1"/>
      <c r="HC178" s="1"/>
      <c r="HD178" s="1"/>
      <c r="HE178" s="1"/>
      <c r="HF178" s="1"/>
      <c r="HG178" s="1"/>
      <c r="HH178" s="1"/>
      <c r="HI178" s="1"/>
      <c r="HJ178" s="1"/>
      <c r="HK178" s="1"/>
      <c r="HL178" s="1"/>
      <c r="HM178" s="1"/>
      <c r="HN178" s="1"/>
      <c r="HO178" s="1"/>
      <c r="HP178" s="1"/>
      <c r="HQ178" s="1"/>
      <c r="HR178" s="1"/>
      <c r="HS178" s="1"/>
      <c r="HT178" s="1"/>
      <c r="HU178" s="1"/>
      <c r="HV178" s="1"/>
      <c r="HW178" s="1"/>
      <c r="HX178" s="1"/>
      <c r="HY178" s="1"/>
      <c r="HZ178" s="1"/>
      <c r="IA178" s="1"/>
      <c r="IB178" s="1"/>
      <c r="IC178" s="1"/>
      <c r="ID178" s="1"/>
      <c r="IE178" s="1"/>
      <c r="IF178" s="1"/>
      <c r="IG178" s="1"/>
      <c r="IH178" s="1"/>
      <c r="II178" s="1"/>
      <c r="IJ178" s="1"/>
      <c r="IK178" s="1"/>
      <c r="IL178" s="1"/>
      <c r="IM178" s="1"/>
      <c r="IN178" s="1"/>
      <c r="IO178" s="1"/>
      <c r="IP178" s="1"/>
      <c r="IQ178" s="1"/>
      <c r="IR178" s="1"/>
      <c r="IS178" s="1"/>
      <c r="IT178" s="1"/>
      <c r="IU178" s="1"/>
      <c r="IV178" s="1"/>
      <c r="IW178" s="1"/>
      <c r="IX178" s="1"/>
      <c r="IY178" s="1"/>
      <c r="IZ178" s="1"/>
      <c r="JA178" s="1"/>
      <c r="JB178" s="1"/>
      <c r="JC178" s="1"/>
      <c r="JD178" s="1"/>
      <c r="JE178" s="1"/>
      <c r="JF178" s="1"/>
      <c r="JG178" s="1"/>
      <c r="JH178" s="1"/>
      <c r="JI178" s="1"/>
      <c r="JJ178" s="1"/>
      <c r="JK178" s="1"/>
      <c r="JL178" s="1"/>
      <c r="JM178" s="1"/>
      <c r="JN178" s="1"/>
      <c r="JO178" s="1"/>
      <c r="JP178" s="1"/>
      <c r="JQ178" s="1"/>
      <c r="JR178" s="1"/>
      <c r="JS178" s="1"/>
      <c r="JT178" s="1"/>
      <c r="JU178" s="1"/>
      <c r="JV178" s="1"/>
      <c r="JW178" s="1"/>
      <c r="JX178" s="1"/>
      <c r="JY178" s="1"/>
      <c r="JZ178" s="1"/>
      <c r="KA178" s="1"/>
      <c r="KB178" s="1"/>
      <c r="KC178" s="1"/>
      <c r="KD178" s="1"/>
      <c r="KE178" s="1"/>
      <c r="KF178" s="1"/>
      <c r="KG178" s="1"/>
      <c r="KH178" s="1"/>
      <c r="KI178" s="1"/>
      <c r="KJ178" s="1"/>
      <c r="KK178" s="1"/>
      <c r="KL178" s="1"/>
      <c r="KM178" s="1"/>
      <c r="KN178" s="1"/>
      <c r="KO178" s="1"/>
      <c r="KP178" s="1"/>
      <c r="KQ178" s="1"/>
      <c r="KR178" s="1"/>
      <c r="KS178" s="1"/>
      <c r="KT178" s="1"/>
      <c r="KU178" s="1"/>
      <c r="KV178" s="1"/>
      <c r="KW178" s="1"/>
      <c r="KX178" s="1"/>
      <c r="KY178" s="1"/>
      <c r="KZ178" s="1"/>
      <c r="LA178" s="1"/>
      <c r="LB178" s="1"/>
      <c r="LC178" s="1"/>
      <c r="LD178" s="1"/>
      <c r="LE178" s="1"/>
      <c r="LF178" s="1"/>
      <c r="LG178" s="1"/>
      <c r="LH178" s="1"/>
      <c r="LI178" s="1"/>
      <c r="LJ178" s="1"/>
      <c r="LK178" s="1"/>
      <c r="LL178" s="1"/>
      <c r="LM178" s="1"/>
      <c r="LN178" s="1"/>
      <c r="LO178" s="1"/>
      <c r="LP178" s="1"/>
      <c r="LQ178" s="1"/>
      <c r="LR178" s="1"/>
      <c r="LS178" s="1"/>
      <c r="LT178" s="1"/>
      <c r="LU178" s="1"/>
      <c r="LV178" s="1"/>
      <c r="LW178" s="1"/>
      <c r="LX178" s="1"/>
      <c r="LY178" s="1"/>
      <c r="LZ178" s="1"/>
      <c r="MA178" s="1"/>
      <c r="MB178" s="1"/>
      <c r="MC178" s="1"/>
      <c r="MD178" s="1"/>
      <c r="ME178" s="1"/>
      <c r="MF178" s="1"/>
      <c r="MG178" s="1"/>
      <c r="MH178" s="1"/>
      <c r="MI178" s="1"/>
      <c r="MJ178" s="1"/>
      <c r="MK178" s="1"/>
      <c r="ML178" s="1"/>
      <c r="MM178" s="1"/>
      <c r="MN178" s="1"/>
      <c r="MO178" s="1"/>
      <c r="MP178" s="1"/>
      <c r="MQ178" s="1"/>
      <c r="MR178" s="1"/>
      <c r="MS178" s="1"/>
      <c r="MT178" s="1"/>
      <c r="MU178" s="1"/>
      <c r="MV178" s="1"/>
      <c r="MW178" s="1"/>
      <c r="MX178" s="1"/>
      <c r="MY178" s="1"/>
      <c r="MZ178" s="1"/>
      <c r="NA178" s="1"/>
      <c r="NB178" s="1"/>
      <c r="NC178" s="1"/>
      <c r="ND178" s="1"/>
      <c r="NE178" s="1"/>
      <c r="NF178" s="1"/>
      <c r="NG178" s="1"/>
      <c r="NH178" s="1"/>
      <c r="NI178" s="1"/>
      <c r="NJ178" s="1"/>
      <c r="NK178" s="1"/>
      <c r="NL178" s="1"/>
      <c r="NM178" s="1"/>
      <c r="NN178" s="1"/>
      <c r="NO178" s="1"/>
      <c r="NP178" s="1"/>
      <c r="NQ178" s="1"/>
      <c r="NR178" s="1"/>
      <c r="NS178" s="1"/>
      <c r="NT178" s="1"/>
      <c r="NU178" s="1"/>
      <c r="NV178" s="1"/>
      <c r="NW178" s="1"/>
      <c r="NX178" s="1"/>
      <c r="NY178" s="1"/>
      <c r="NZ178" s="1"/>
      <c r="OA178" s="1"/>
      <c r="OB178" s="1"/>
      <c r="OC178" s="1"/>
      <c r="OD178" s="1"/>
      <c r="OE178" s="1"/>
      <c r="OF178" s="1"/>
      <c r="OG178" s="1"/>
      <c r="OH178" s="1"/>
      <c r="OI178" s="1"/>
      <c r="OJ178" s="1"/>
      <c r="OK178" s="1"/>
      <c r="OL178" s="1"/>
      <c r="OM178" s="1"/>
      <c r="ON178" s="1"/>
      <c r="OO178" s="1"/>
      <c r="OP178" s="1"/>
      <c r="OQ178" s="1"/>
      <c r="OR178" s="1"/>
      <c r="OS178" s="1"/>
      <c r="OT178" s="1"/>
      <c r="OU178" s="1"/>
      <c r="OV178" s="1"/>
      <c r="OW178" s="1"/>
      <c r="OX178" s="1"/>
      <c r="OY178" s="1"/>
      <c r="OZ178" s="1"/>
      <c r="PA178" s="1"/>
      <c r="PB178" s="1"/>
      <c r="PC178" s="1"/>
      <c r="PD178" s="1"/>
      <c r="PE178" s="1"/>
      <c r="PF178" s="1"/>
      <c r="PG178" s="1"/>
      <c r="PH178" s="1"/>
      <c r="PI178" s="1"/>
      <c r="PJ178" s="1"/>
      <c r="PK178" s="1"/>
      <c r="PL178" s="1"/>
      <c r="PM178" s="1"/>
      <c r="PN178" s="1"/>
      <c r="PO178" s="1"/>
      <c r="PP178" s="1"/>
      <c r="PQ178" s="1"/>
      <c r="PR178" s="1"/>
      <c r="PS178" s="1"/>
      <c r="PT178" s="1"/>
      <c r="PU178" s="1"/>
      <c r="PV178" s="1"/>
      <c r="PW178" s="1"/>
      <c r="PX178" s="1"/>
      <c r="PY178" s="1"/>
      <c r="PZ178" s="1"/>
      <c r="QA178" s="1"/>
      <c r="QB178" s="1"/>
      <c r="QC178" s="1"/>
      <c r="QD178" s="1"/>
      <c r="QE178" s="1"/>
      <c r="QF178" s="1"/>
      <c r="QG178" s="1"/>
      <c r="QH178" s="1"/>
      <c r="QI178" s="1"/>
      <c r="QJ178" s="1"/>
      <c r="QK178" s="1"/>
      <c r="QL178" s="1"/>
      <c r="QM178" s="1"/>
      <c r="QN178" s="1"/>
      <c r="QO178" s="1"/>
      <c r="QP178" s="1"/>
      <c r="QQ178" s="1"/>
      <c r="QR178" s="1"/>
      <c r="QS178" s="1"/>
      <c r="QT178" s="1"/>
      <c r="QU178" s="1"/>
      <c r="QV178" s="1"/>
      <c r="QW178" s="1"/>
      <c r="QX178" s="1"/>
      <c r="QY178" s="1"/>
      <c r="QZ178" s="1"/>
      <c r="RA178" s="1"/>
      <c r="RB178" s="1"/>
      <c r="RC178" s="1"/>
      <c r="RD178" s="1"/>
      <c r="RE178" s="1"/>
      <c r="RF178" s="1"/>
      <c r="RG178" s="1"/>
      <c r="RH178" s="1"/>
      <c r="RI178" s="1"/>
      <c r="RJ178" s="1"/>
      <c r="RK178" s="1"/>
      <c r="RL178" s="1"/>
      <c r="RM178" s="1"/>
      <c r="RN178" s="1"/>
      <c r="RO178" s="1"/>
      <c r="RP178" s="1"/>
      <c r="RQ178" s="1"/>
      <c r="RR178" s="1"/>
      <c r="RS178" s="1"/>
      <c r="RT178" s="1"/>
      <c r="RU178" s="1"/>
      <c r="RV178" s="1"/>
      <c r="RW178" s="1"/>
      <c r="RX178" s="1"/>
      <c r="RY178" s="1"/>
      <c r="RZ178" s="1"/>
      <c r="SA178" s="1"/>
      <c r="SB178" s="1"/>
      <c r="SC178" s="1"/>
      <c r="SD178" s="1"/>
      <c r="SE178" s="1"/>
      <c r="SF178" s="1"/>
      <c r="SG178" s="1"/>
      <c r="SH178" s="1"/>
      <c r="SI178" s="1"/>
      <c r="SJ178" s="1"/>
      <c r="SK178" s="1"/>
      <c r="SL178" s="1"/>
      <c r="SM178" s="1"/>
      <c r="SN178" s="1"/>
      <c r="SO178" s="1"/>
      <c r="SP178" s="1"/>
      <c r="SQ178" s="1"/>
      <c r="SR178" s="1"/>
      <c r="SS178" s="1"/>
      <c r="ST178" s="1"/>
      <c r="SU178" s="1"/>
      <c r="SV178" s="1"/>
      <c r="SW178" s="1"/>
      <c r="SX178" s="1"/>
      <c r="SY178" s="1"/>
      <c r="SZ178" s="1"/>
      <c r="TA178" s="1"/>
      <c r="TB178" s="1"/>
      <c r="TC178" s="1"/>
      <c r="TD178" s="1"/>
      <c r="TE178" s="1"/>
      <c r="TF178" s="1"/>
      <c r="TG178" s="1"/>
      <c r="TH178" s="1"/>
      <c r="TI178" s="1"/>
      <c r="TJ178" s="1"/>
      <c r="TK178" s="1"/>
      <c r="TL178" s="1"/>
      <c r="TM178" s="1"/>
      <c r="TN178" s="1"/>
      <c r="TO178" s="1"/>
      <c r="TP178" s="1"/>
      <c r="TQ178" s="1"/>
      <c r="TR178" s="1"/>
      <c r="TS178" s="1"/>
      <c r="TT178" s="1"/>
      <c r="TU178" s="1"/>
      <c r="TV178" s="1"/>
      <c r="TW178" s="1"/>
      <c r="TX178" s="1"/>
      <c r="TY178" s="1"/>
      <c r="TZ178" s="1"/>
      <c r="UA178" s="1"/>
      <c r="UB178" s="1"/>
      <c r="UC178" s="1"/>
      <c r="UD178" s="1"/>
      <c r="UE178" s="1"/>
      <c r="UF178" s="1"/>
      <c r="UG178" s="1"/>
      <c r="UH178" s="1"/>
      <c r="UI178" s="1"/>
      <c r="UJ178" s="1"/>
      <c r="UK178" s="1"/>
      <c r="UL178" s="1"/>
      <c r="UM178" s="1"/>
      <c r="UN178" s="1"/>
      <c r="UO178" s="1"/>
      <c r="UP178" s="1"/>
      <c r="UQ178" s="1"/>
      <c r="UR178" s="1"/>
      <c r="US178" s="1"/>
      <c r="UT178" s="1"/>
      <c r="UU178" s="1"/>
      <c r="UV178" s="1"/>
      <c r="UW178" s="1"/>
      <c r="UX178" s="1"/>
      <c r="UY178" s="1"/>
      <c r="UZ178" s="1"/>
      <c r="VA178" s="1"/>
      <c r="VB178" s="1"/>
      <c r="VC178" s="1"/>
      <c r="VD178" s="1"/>
      <c r="VE178" s="1"/>
      <c r="VF178" s="1"/>
      <c r="VG178" s="1"/>
      <c r="VH178" s="1"/>
      <c r="VI178" s="1"/>
      <c r="VJ178" s="1"/>
      <c r="VK178" s="1"/>
      <c r="VL178" s="1"/>
      <c r="VM178" s="1"/>
      <c r="VN178" s="1"/>
      <c r="VO178" s="1"/>
      <c r="VP178" s="1"/>
      <c r="VQ178" s="1"/>
      <c r="VR178" s="1"/>
      <c r="VS178" s="1"/>
      <c r="VT178" s="1"/>
      <c r="VU178" s="1"/>
      <c r="VV178" s="1"/>
      <c r="VW178" s="1"/>
      <c r="VX178" s="1"/>
      <c r="VY178" s="1"/>
      <c r="VZ178" s="1"/>
      <c r="WA178" s="1"/>
      <c r="WB178" s="1"/>
      <c r="WC178" s="1"/>
      <c r="WD178" s="1"/>
      <c r="WE178" s="1"/>
      <c r="WF178" s="1"/>
      <c r="WG178" s="1"/>
      <c r="WH178" s="1"/>
      <c r="WI178" s="1"/>
      <c r="WJ178" s="1"/>
      <c r="WK178" s="1"/>
      <c r="WL178" s="1"/>
      <c r="WM178" s="1"/>
      <c r="WN178" s="1"/>
      <c r="WO178" s="1"/>
      <c r="WP178" s="1"/>
      <c r="WQ178" s="1"/>
      <c r="WR178" s="1"/>
      <c r="WS178" s="1"/>
      <c r="WT178" s="1"/>
      <c r="WU178" s="1"/>
      <c r="WV178" s="1"/>
      <c r="WW178" s="1"/>
      <c r="WX178" s="1"/>
      <c r="WY178" s="1"/>
      <c r="WZ178" s="1"/>
      <c r="XA178" s="1"/>
      <c r="XB178" s="1"/>
      <c r="XC178" s="1"/>
      <c r="XD178" s="1"/>
      <c r="XE178" s="1"/>
      <c r="XF178" s="1"/>
      <c r="XG178" s="1"/>
      <c r="XH178" s="1"/>
      <c r="XI178" s="1"/>
      <c r="XJ178" s="1"/>
      <c r="XK178" s="1"/>
      <c r="XL178" s="1"/>
      <c r="XM178" s="1"/>
      <c r="XN178" s="1"/>
      <c r="XO178" s="1"/>
      <c r="XP178" s="1"/>
      <c r="XQ178" s="1"/>
      <c r="XR178" s="1"/>
      <c r="XS178" s="1"/>
      <c r="XT178" s="1"/>
      <c r="XU178" s="1"/>
      <c r="XV178" s="1"/>
      <c r="XW178" s="1"/>
      <c r="XX178" s="1"/>
      <c r="XY178" s="1"/>
      <c r="XZ178" s="1"/>
      <c r="YA178" s="1"/>
      <c r="YB178" s="1"/>
      <c r="YC178" s="1"/>
      <c r="YD178" s="1"/>
      <c r="YE178" s="1"/>
      <c r="YF178" s="1"/>
      <c r="YG178" s="1"/>
      <c r="YH178" s="1"/>
      <c r="YI178" s="1"/>
      <c r="YJ178" s="1"/>
      <c r="YK178" s="1"/>
      <c r="YL178" s="1"/>
      <c r="YM178" s="1"/>
      <c r="YN178" s="1"/>
      <c r="YO178" s="1"/>
      <c r="YP178" s="1"/>
      <c r="YQ178" s="1"/>
      <c r="YR178" s="1"/>
      <c r="YS178" s="1"/>
      <c r="YT178" s="1"/>
      <c r="YU178" s="1"/>
      <c r="YV178" s="1"/>
      <c r="YW178" s="1"/>
      <c r="YX178" s="1"/>
      <c r="YY178" s="1"/>
      <c r="YZ178" s="1"/>
      <c r="ZA178" s="1"/>
      <c r="ZB178" s="1"/>
      <c r="ZC178" s="1"/>
      <c r="ZD178" s="1"/>
      <c r="ZE178" s="1"/>
      <c r="ZF178" s="1"/>
      <c r="ZG178" s="1"/>
      <c r="ZH178" s="1"/>
      <c r="ZI178" s="1"/>
      <c r="ZJ178" s="1"/>
      <c r="ZK178" s="1"/>
      <c r="ZL178" s="1"/>
      <c r="ZM178" s="1"/>
      <c r="ZN178" s="1"/>
      <c r="ZO178" s="1"/>
      <c r="ZP178" s="1"/>
      <c r="ZQ178" s="1"/>
      <c r="ZR178" s="1"/>
      <c r="ZS178" s="1"/>
      <c r="ZT178" s="1"/>
      <c r="ZU178" s="1"/>
      <c r="ZV178" s="1"/>
      <c r="ZW178" s="1"/>
      <c r="ZX178" s="1"/>
      <c r="ZY178" s="1"/>
      <c r="ZZ178" s="1"/>
      <c r="AAA178" s="1"/>
      <c r="AAB178" s="1"/>
      <c r="AAC178" s="1"/>
      <c r="AAD178" s="1"/>
      <c r="AAE178" s="1"/>
      <c r="AAF178" s="1"/>
      <c r="AAG178" s="1"/>
      <c r="AAH178" s="1"/>
      <c r="AAI178" s="1"/>
      <c r="AAJ178" s="1"/>
      <c r="AAK178" s="1"/>
      <c r="AAL178" s="1"/>
      <c r="AAM178" s="1"/>
      <c r="AAN178" s="1"/>
      <c r="AAO178" s="1"/>
      <c r="AAP178" s="1"/>
      <c r="AAQ178" s="1"/>
      <c r="AAR178" s="1"/>
      <c r="AAS178" s="1"/>
      <c r="AAT178" s="1"/>
      <c r="AAU178" s="1"/>
      <c r="AAV178" s="1"/>
      <c r="AAW178" s="1"/>
      <c r="AAX178" s="1"/>
      <c r="AAY178" s="1"/>
      <c r="AAZ178" s="1"/>
      <c r="ABA178" s="1"/>
      <c r="ABB178" s="1"/>
      <c r="ABC178" s="1"/>
      <c r="ABD178" s="1"/>
      <c r="ABE178" s="1"/>
      <c r="ABF178" s="1"/>
      <c r="ABG178" s="1"/>
      <c r="ABH178" s="1"/>
      <c r="ABI178" s="1"/>
      <c r="ABJ178" s="1"/>
      <c r="ABK178" s="1"/>
      <c r="ABL178" s="1"/>
      <c r="ABM178" s="1"/>
      <c r="ABN178" s="1"/>
      <c r="ABO178" s="1"/>
      <c r="ABP178" s="1"/>
      <c r="ABQ178" s="1"/>
      <c r="ABR178" s="1"/>
      <c r="ABS178" s="1"/>
      <c r="ABT178" s="1"/>
      <c r="ABU178" s="1"/>
      <c r="ABV178" s="1"/>
      <c r="ABW178" s="1"/>
      <c r="ABX178" s="1"/>
      <c r="ABY178" s="1"/>
      <c r="ABZ178" s="1"/>
      <c r="ACA178" s="1"/>
      <c r="ACB178" s="1"/>
      <c r="ACC178" s="1"/>
      <c r="ACD178" s="1"/>
      <c r="ACE178" s="1"/>
      <c r="ACF178" s="1"/>
      <c r="ACG178" s="1"/>
      <c r="ACH178" s="1"/>
      <c r="ACI178" s="1"/>
      <c r="ACJ178" s="1"/>
      <c r="ACK178" s="1"/>
      <c r="ACL178" s="1"/>
      <c r="ACM178" s="1"/>
      <c r="ACN178" s="1"/>
      <c r="ACO178" s="1"/>
      <c r="ACP178" s="1"/>
      <c r="ACQ178" s="1"/>
      <c r="ACR178" s="1"/>
      <c r="ACS178" s="1"/>
      <c r="ACT178" s="1"/>
      <c r="ACU178" s="1"/>
      <c r="ACV178" s="1"/>
      <c r="ACW178" s="1"/>
      <c r="ACX178" s="1"/>
      <c r="ACY178" s="1"/>
      <c r="ACZ178" s="1"/>
      <c r="ADA178" s="1"/>
      <c r="ADB178" s="1"/>
      <c r="ADC178" s="1"/>
      <c r="ADD178" s="1"/>
      <c r="ADE178" s="1"/>
      <c r="ADF178" s="1"/>
      <c r="ADG178" s="1"/>
      <c r="ADH178" s="1"/>
      <c r="ADI178" s="1"/>
      <c r="ADJ178" s="1"/>
      <c r="ADK178" s="1"/>
      <c r="ADL178" s="1"/>
      <c r="ADM178" s="1"/>
      <c r="ADN178" s="1"/>
      <c r="ADO178" s="1"/>
      <c r="ADP178" s="1"/>
      <c r="ADQ178" s="1"/>
      <c r="ADR178" s="1"/>
      <c r="ADS178" s="1"/>
      <c r="ADT178" s="1"/>
      <c r="ADU178" s="1"/>
      <c r="ADV178" s="1"/>
      <c r="ADW178" s="1"/>
      <c r="ADX178" s="1"/>
      <c r="ADY178" s="1"/>
      <c r="ADZ178" s="1"/>
      <c r="AEA178" s="1"/>
      <c r="AEB178" s="1"/>
      <c r="AEC178" s="1"/>
      <c r="AED178" s="1"/>
      <c r="AEE178" s="1"/>
      <c r="AEF178" s="1"/>
      <c r="AEG178" s="1"/>
      <c r="AEH178" s="1"/>
      <c r="AEI178" s="1"/>
      <c r="AEJ178" s="1"/>
      <c r="AEK178" s="1"/>
      <c r="AEL178" s="1"/>
      <c r="AEM178" s="1"/>
      <c r="AEN178" s="1"/>
      <c r="AEO178" s="1"/>
      <c r="AEP178" s="1"/>
      <c r="AEQ178" s="1"/>
      <c r="AER178" s="1"/>
      <c r="AES178" s="1"/>
      <c r="AET178" s="1"/>
      <c r="AEU178" s="1"/>
      <c r="AEV178" s="1"/>
      <c r="AEW178" s="1"/>
      <c r="AEX178" s="1"/>
      <c r="AEY178" s="1"/>
      <c r="AEZ178" s="1"/>
      <c r="AFA178" s="1"/>
      <c r="AFB178" s="1"/>
      <c r="AFC178" s="1"/>
      <c r="AFD178" s="1"/>
      <c r="AFE178" s="1"/>
      <c r="AFF178" s="1"/>
      <c r="AFG178" s="1"/>
      <c r="AFH178" s="1"/>
      <c r="AFI178" s="1"/>
      <c r="AFJ178" s="1"/>
      <c r="AFK178" s="1"/>
      <c r="AFL178" s="1"/>
      <c r="AFM178" s="1"/>
      <c r="AFN178" s="1"/>
      <c r="AFO178" s="1"/>
      <c r="AFP178" s="1"/>
      <c r="AFQ178" s="1"/>
      <c r="AFR178" s="1"/>
      <c r="AFS178" s="1"/>
      <c r="AFT178" s="1"/>
      <c r="AFU178" s="1"/>
      <c r="AFV178" s="1"/>
      <c r="AFW178" s="1"/>
      <c r="AFX178" s="1"/>
      <c r="AFY178" s="1"/>
      <c r="AFZ178" s="1"/>
      <c r="AGA178" s="1"/>
      <c r="AGB178" s="1"/>
      <c r="AGC178" s="1"/>
      <c r="AGD178" s="1"/>
      <c r="AGE178" s="1"/>
      <c r="AGF178" s="1"/>
      <c r="AGG178" s="1"/>
      <c r="AGH178" s="1"/>
      <c r="AGI178" s="1"/>
      <c r="AGJ178" s="1"/>
      <c r="AGK178" s="1"/>
      <c r="AGL178" s="1"/>
      <c r="AGM178" s="1"/>
      <c r="AGN178" s="1"/>
      <c r="AGO178" s="1"/>
      <c r="AGP178" s="1"/>
      <c r="AGQ178" s="1"/>
      <c r="AGR178" s="1"/>
      <c r="AGS178" s="1"/>
      <c r="AGT178" s="1"/>
      <c r="AGU178" s="1"/>
      <c r="AGV178" s="1"/>
      <c r="AGW178" s="1"/>
      <c r="AGX178" s="1"/>
      <c r="AGY178" s="1"/>
      <c r="AGZ178" s="1"/>
      <c r="AHA178" s="1"/>
      <c r="AHB178" s="1"/>
      <c r="AHC178" s="1"/>
      <c r="AHD178" s="1"/>
      <c r="AHE178" s="1"/>
      <c r="AHF178" s="1"/>
      <c r="AHG178" s="1"/>
      <c r="AHH178" s="1"/>
      <c r="AHI178" s="1"/>
      <c r="AHJ178" s="1"/>
      <c r="AHK178" s="1"/>
      <c r="AHL178" s="1"/>
      <c r="AHM178" s="1"/>
      <c r="AHN178" s="1"/>
      <c r="AHO178" s="1"/>
      <c r="AHP178" s="1"/>
      <c r="AHQ178" s="1"/>
      <c r="AHR178" s="1"/>
      <c r="AHS178" s="1"/>
      <c r="AHT178" s="1"/>
      <c r="AHU178" s="1"/>
      <c r="AHV178" s="1"/>
      <c r="AHW178" s="1"/>
      <c r="AHX178" s="1"/>
      <c r="AHY178" s="1"/>
      <c r="AHZ178" s="1"/>
      <c r="AIA178" s="1"/>
      <c r="AIB178" s="1"/>
      <c r="AIC178" s="1"/>
      <c r="AID178" s="1"/>
      <c r="AIE178" s="1"/>
      <c r="AIF178" s="1"/>
      <c r="AIG178" s="1"/>
      <c r="AIH178" s="1"/>
      <c r="AII178" s="1"/>
      <c r="AIJ178" s="1"/>
      <c r="AIK178" s="1"/>
      <c r="AIL178" s="1"/>
      <c r="AIM178" s="1"/>
      <c r="AIN178" s="1"/>
      <c r="AIO178" s="1"/>
      <c r="AIP178" s="1"/>
      <c r="AIQ178" s="1"/>
      <c r="AIR178" s="1"/>
      <c r="AIS178" s="1"/>
      <c r="AIT178" s="1"/>
      <c r="AIU178" s="1"/>
      <c r="AIV178" s="1"/>
      <c r="AIW178" s="1"/>
      <c r="AIX178" s="1"/>
      <c r="AIY178" s="1"/>
      <c r="AIZ178" s="1"/>
      <c r="AJA178" s="1"/>
      <c r="AJB178" s="1"/>
      <c r="AJC178" s="1"/>
      <c r="AJD178" s="1"/>
      <c r="AJE178" s="1"/>
      <c r="AJF178" s="1"/>
      <c r="AJG178" s="1"/>
      <c r="AJH178" s="1"/>
      <c r="AJI178" s="1"/>
      <c r="AJJ178" s="1"/>
      <c r="AJK178" s="1"/>
      <c r="AJL178" s="1"/>
      <c r="AJM178" s="1"/>
      <c r="AJN178" s="1"/>
      <c r="AJO178" s="1"/>
      <c r="AJP178" s="1"/>
      <c r="AJQ178" s="1"/>
      <c r="AJR178" s="1"/>
      <c r="AJS178" s="1"/>
      <c r="AJT178" s="1"/>
      <c r="AJU178" s="1"/>
      <c r="AJV178" s="1"/>
      <c r="AJW178" s="1"/>
      <c r="AJX178" s="1"/>
      <c r="AJY178" s="1"/>
      <c r="AJZ178" s="1"/>
      <c r="AKA178" s="1"/>
      <c r="AKB178" s="1"/>
      <c r="AKC178" s="1"/>
      <c r="AKD178" s="1"/>
      <c r="AKE178" s="1"/>
      <c r="AKF178" s="1"/>
      <c r="AKG178" s="1"/>
      <c r="AKH178" s="1"/>
      <c r="AKI178" s="1"/>
      <c r="AKJ178" s="1"/>
      <c r="AKK178" s="1"/>
      <c r="AKL178" s="1"/>
      <c r="AKM178" s="1"/>
      <c r="AKN178" s="1"/>
      <c r="AKO178" s="1"/>
      <c r="AKP178" s="1"/>
      <c r="AKQ178" s="1"/>
      <c r="AKR178" s="1"/>
      <c r="AKS178" s="1"/>
      <c r="AKT178" s="1"/>
      <c r="AKU178" s="1"/>
      <c r="AKV178" s="1"/>
      <c r="AKW178" s="1"/>
      <c r="AKX178" s="1"/>
      <c r="AKY178" s="1"/>
      <c r="AKZ178" s="1"/>
      <c r="ALA178" s="1"/>
      <c r="ALB178" s="1"/>
      <c r="ALC178" s="1"/>
      <c r="ALD178" s="1"/>
      <c r="ALE178" s="1"/>
      <c r="ALF178" s="1"/>
      <c r="ALG178" s="1"/>
      <c r="ALH178" s="1"/>
      <c r="ALI178" s="1"/>
      <c r="ALJ178" s="1"/>
      <c r="ALK178" s="1"/>
      <c r="ALL178" s="1"/>
      <c r="ALM178" s="1"/>
      <c r="ALN178" s="1"/>
      <c r="ALO178" s="1"/>
      <c r="ALP178" s="1"/>
      <c r="ALQ178" s="1"/>
      <c r="ALR178" s="1"/>
      <c r="ALS178" s="1"/>
      <c r="ALT178" s="1"/>
      <c r="ALU178" s="1"/>
      <c r="ALV178" s="1"/>
      <c r="ALW178" s="1"/>
      <c r="ALX178" s="1"/>
      <c r="ALY178" s="1"/>
      <c r="ALZ178" s="1"/>
      <c r="AMA178" s="1"/>
      <c r="AMB178" s="1"/>
      <c r="AMC178" s="1"/>
      <c r="AMD178" s="1"/>
      <c r="AME178" s="1"/>
      <c r="AMF178" s="1"/>
      <c r="AMG178" s="1"/>
      <c r="AMH178" s="1"/>
      <c r="AMI178" s="1"/>
      <c r="AMJ178" s="1"/>
    </row>
    <row r="179" customFormat="false" ht="10.5" hidden="false" customHeight="true" outlineLevel="0" collapsed="false">
      <c r="A179" s="230"/>
      <c r="B179" s="230"/>
      <c r="C179" s="230"/>
      <c r="D179" s="230"/>
      <c r="E179" s="230"/>
      <c r="F179" s="166"/>
      <c r="G179" s="166"/>
      <c r="H179" s="166"/>
      <c r="I179" s="166"/>
      <c r="J179" s="166"/>
      <c r="K179" s="166"/>
      <c r="L179" s="166"/>
      <c r="M179" s="166"/>
      <c r="N179" s="166"/>
      <c r="O179" s="166"/>
      <c r="P179" s="166"/>
      <c r="Q179" s="166"/>
      <c r="R179" s="166"/>
      <c r="S179" s="166"/>
      <c r="T179" s="166"/>
      <c r="U179" s="166"/>
      <c r="V179" s="166"/>
      <c r="W179" s="166"/>
      <c r="X179" s="166"/>
      <c r="Y179" s="166"/>
      <c r="Z179" s="168"/>
      <c r="AA179" s="168"/>
      <c r="AB179" s="168"/>
      <c r="AC179" s="168"/>
      <c r="AD179" s="231"/>
      <c r="AE179" s="231"/>
      <c r="AF179" s="231"/>
      <c r="AG179" s="228"/>
      <c r="AH179" s="228"/>
      <c r="AI179" s="228"/>
      <c r="AJ179" s="228"/>
      <c r="AK179" s="228"/>
      <c r="AL179" s="228"/>
      <c r="AM179" s="228"/>
      <c r="AN179" s="228"/>
      <c r="AO179" s="228"/>
      <c r="BE179" s="1"/>
      <c r="BF179" s="1"/>
      <c r="BG179" s="1"/>
      <c r="BH179" s="1"/>
      <c r="BI179" s="1"/>
      <c r="BJ179" s="1"/>
      <c r="BK179" s="1"/>
      <c r="BL179" s="1"/>
      <c r="BM179" s="1"/>
      <c r="BN179" s="1"/>
      <c r="BO179" s="1"/>
      <c r="BP179" s="1"/>
      <c r="BQ179" s="1"/>
      <c r="BR179" s="1"/>
      <c r="BS179" s="1"/>
      <c r="BT179" s="1"/>
      <c r="BU179" s="1"/>
      <c r="BV179" s="1"/>
      <c r="BW179" s="1"/>
      <c r="BX179" s="1"/>
      <c r="BY179" s="1"/>
      <c r="BZ179" s="1"/>
      <c r="CA179" s="1"/>
      <c r="CB179" s="1"/>
      <c r="CC179" s="1"/>
      <c r="CD179" s="1"/>
      <c r="CE179" s="1"/>
      <c r="CF179" s="1"/>
      <c r="CG179" s="1"/>
      <c r="CH179" s="1"/>
      <c r="CI179" s="1"/>
      <c r="CJ179" s="1"/>
      <c r="CK179" s="1"/>
      <c r="CL179" s="1"/>
      <c r="CM179" s="1"/>
      <c r="CN179" s="1"/>
      <c r="CO179" s="1"/>
      <c r="CP179" s="1"/>
      <c r="CQ179" s="1"/>
      <c r="CR179" s="1"/>
      <c r="CS179" s="1"/>
      <c r="CT179" s="1"/>
      <c r="CU179" s="1"/>
      <c r="CV179" s="1"/>
      <c r="CW179" s="1"/>
      <c r="CX179" s="1"/>
      <c r="CY179" s="1"/>
      <c r="CZ179" s="1"/>
      <c r="DA179" s="1"/>
      <c r="DB179" s="1"/>
      <c r="DC179" s="1"/>
      <c r="DD179" s="1"/>
      <c r="DE179" s="1"/>
      <c r="DF179" s="1"/>
      <c r="DG179" s="1"/>
      <c r="DH179" s="1"/>
      <c r="DI179" s="1"/>
      <c r="DJ179" s="1"/>
      <c r="DK179" s="1"/>
      <c r="DL179" s="1"/>
      <c r="DM179" s="1"/>
      <c r="DN179" s="1"/>
      <c r="DO179" s="1"/>
      <c r="DP179" s="1"/>
      <c r="DQ179" s="1"/>
      <c r="DR179" s="1"/>
      <c r="DS179" s="1"/>
      <c r="DT179" s="1"/>
      <c r="DU179" s="1"/>
      <c r="DV179" s="1"/>
      <c r="DW179" s="1"/>
      <c r="DX179" s="1"/>
      <c r="DY179" s="1"/>
      <c r="DZ179" s="1"/>
      <c r="EA179" s="1"/>
      <c r="EB179" s="1"/>
      <c r="EC179" s="1"/>
      <c r="ED179" s="1"/>
      <c r="EE179" s="1"/>
      <c r="EF179" s="1"/>
      <c r="EG179" s="1"/>
      <c r="EH179" s="1"/>
      <c r="EI179" s="1"/>
      <c r="EJ179" s="1"/>
      <c r="EK179" s="1"/>
      <c r="EL179" s="1"/>
      <c r="EM179" s="1"/>
      <c r="EN179" s="1"/>
      <c r="EO179" s="1"/>
      <c r="EP179" s="1"/>
      <c r="EQ179" s="1"/>
      <c r="ER179" s="1"/>
      <c r="ES179" s="1"/>
      <c r="ET179" s="1"/>
      <c r="EU179" s="1"/>
      <c r="EV179" s="1"/>
      <c r="EW179" s="1"/>
      <c r="EX179" s="1"/>
      <c r="EY179" s="1"/>
      <c r="EZ179" s="1"/>
      <c r="FA179" s="1"/>
      <c r="FB179" s="1"/>
      <c r="FC179" s="1"/>
      <c r="FD179" s="1"/>
      <c r="FE179" s="1"/>
      <c r="FF179" s="1"/>
      <c r="FG179" s="1"/>
      <c r="FH179" s="1"/>
      <c r="FI179" s="1"/>
      <c r="FJ179" s="1"/>
      <c r="FK179" s="1"/>
      <c r="FL179" s="1"/>
      <c r="FM179" s="1"/>
      <c r="FN179" s="1"/>
      <c r="FO179" s="1"/>
      <c r="FP179" s="1"/>
      <c r="FQ179" s="1"/>
      <c r="FR179" s="1"/>
      <c r="FS179" s="1"/>
      <c r="FT179" s="1"/>
      <c r="FU179" s="1"/>
      <c r="FV179" s="1"/>
      <c r="FW179" s="1"/>
      <c r="FX179" s="1"/>
      <c r="FY179" s="1"/>
      <c r="FZ179" s="1"/>
      <c r="GA179" s="1"/>
      <c r="GB179" s="1"/>
      <c r="GC179" s="1"/>
      <c r="GD179" s="1"/>
      <c r="GE179" s="1"/>
      <c r="GF179" s="1"/>
      <c r="GG179" s="1"/>
      <c r="GH179" s="1"/>
      <c r="GI179" s="1"/>
      <c r="GJ179" s="1"/>
      <c r="GK179" s="1"/>
      <c r="GL179" s="1"/>
      <c r="GM179" s="1"/>
      <c r="GN179" s="1"/>
      <c r="GO179" s="1"/>
      <c r="GP179" s="1"/>
      <c r="GQ179" s="1"/>
      <c r="GR179" s="1"/>
      <c r="GS179" s="1"/>
      <c r="GT179" s="1"/>
      <c r="GU179" s="1"/>
      <c r="GV179" s="1"/>
      <c r="GW179" s="1"/>
      <c r="GX179" s="1"/>
      <c r="GY179" s="1"/>
      <c r="GZ179" s="1"/>
      <c r="HA179" s="1"/>
      <c r="HB179" s="1"/>
      <c r="HC179" s="1"/>
      <c r="HD179" s="1"/>
      <c r="HE179" s="1"/>
      <c r="HF179" s="1"/>
      <c r="HG179" s="1"/>
      <c r="HH179" s="1"/>
      <c r="HI179" s="1"/>
      <c r="HJ179" s="1"/>
      <c r="HK179" s="1"/>
      <c r="HL179" s="1"/>
      <c r="HM179" s="1"/>
      <c r="HN179" s="1"/>
      <c r="HO179" s="1"/>
      <c r="HP179" s="1"/>
      <c r="HQ179" s="1"/>
      <c r="HR179" s="1"/>
      <c r="HS179" s="1"/>
      <c r="HT179" s="1"/>
      <c r="HU179" s="1"/>
      <c r="HV179" s="1"/>
      <c r="HW179" s="1"/>
      <c r="HX179" s="1"/>
      <c r="HY179" s="1"/>
      <c r="HZ179" s="1"/>
      <c r="IA179" s="1"/>
      <c r="IB179" s="1"/>
      <c r="IC179" s="1"/>
      <c r="ID179" s="1"/>
      <c r="IE179" s="1"/>
      <c r="IF179" s="1"/>
      <c r="IG179" s="1"/>
      <c r="IH179" s="1"/>
      <c r="II179" s="1"/>
      <c r="IJ179" s="1"/>
      <c r="IK179" s="1"/>
      <c r="IL179" s="1"/>
      <c r="IM179" s="1"/>
      <c r="IN179" s="1"/>
      <c r="IO179" s="1"/>
      <c r="IP179" s="1"/>
      <c r="IQ179" s="1"/>
      <c r="IR179" s="1"/>
      <c r="IS179" s="1"/>
      <c r="IT179" s="1"/>
      <c r="IU179" s="1"/>
      <c r="IV179" s="1"/>
      <c r="IW179" s="1"/>
      <c r="IX179" s="1"/>
      <c r="IY179" s="1"/>
      <c r="IZ179" s="1"/>
      <c r="JA179" s="1"/>
      <c r="JB179" s="1"/>
      <c r="JC179" s="1"/>
      <c r="JD179" s="1"/>
      <c r="JE179" s="1"/>
      <c r="JF179" s="1"/>
      <c r="JG179" s="1"/>
      <c r="JH179" s="1"/>
      <c r="JI179" s="1"/>
      <c r="JJ179" s="1"/>
      <c r="JK179" s="1"/>
      <c r="JL179" s="1"/>
      <c r="JM179" s="1"/>
      <c r="JN179" s="1"/>
      <c r="JO179" s="1"/>
      <c r="JP179" s="1"/>
      <c r="JQ179" s="1"/>
      <c r="JR179" s="1"/>
      <c r="JS179" s="1"/>
      <c r="JT179" s="1"/>
      <c r="JU179" s="1"/>
      <c r="JV179" s="1"/>
      <c r="JW179" s="1"/>
      <c r="JX179" s="1"/>
      <c r="JY179" s="1"/>
      <c r="JZ179" s="1"/>
      <c r="KA179" s="1"/>
      <c r="KB179" s="1"/>
      <c r="KC179" s="1"/>
      <c r="KD179" s="1"/>
      <c r="KE179" s="1"/>
      <c r="KF179" s="1"/>
      <c r="KG179" s="1"/>
      <c r="KH179" s="1"/>
      <c r="KI179" s="1"/>
      <c r="KJ179" s="1"/>
      <c r="KK179" s="1"/>
      <c r="KL179" s="1"/>
      <c r="KM179" s="1"/>
      <c r="KN179" s="1"/>
      <c r="KO179" s="1"/>
      <c r="KP179" s="1"/>
      <c r="KQ179" s="1"/>
      <c r="KR179" s="1"/>
      <c r="KS179" s="1"/>
      <c r="KT179" s="1"/>
      <c r="KU179" s="1"/>
      <c r="KV179" s="1"/>
      <c r="KW179" s="1"/>
      <c r="KX179" s="1"/>
      <c r="KY179" s="1"/>
      <c r="KZ179" s="1"/>
      <c r="LA179" s="1"/>
      <c r="LB179" s="1"/>
      <c r="LC179" s="1"/>
      <c r="LD179" s="1"/>
      <c r="LE179" s="1"/>
      <c r="LF179" s="1"/>
      <c r="LG179" s="1"/>
      <c r="LH179" s="1"/>
      <c r="LI179" s="1"/>
      <c r="LJ179" s="1"/>
      <c r="LK179" s="1"/>
      <c r="LL179" s="1"/>
      <c r="LM179" s="1"/>
      <c r="LN179" s="1"/>
      <c r="LO179" s="1"/>
      <c r="LP179" s="1"/>
      <c r="LQ179" s="1"/>
      <c r="LR179" s="1"/>
      <c r="LS179" s="1"/>
      <c r="LT179" s="1"/>
      <c r="LU179" s="1"/>
      <c r="LV179" s="1"/>
      <c r="LW179" s="1"/>
      <c r="LX179" s="1"/>
      <c r="LY179" s="1"/>
      <c r="LZ179" s="1"/>
      <c r="MA179" s="1"/>
      <c r="MB179" s="1"/>
      <c r="MC179" s="1"/>
      <c r="MD179" s="1"/>
      <c r="ME179" s="1"/>
      <c r="MF179" s="1"/>
      <c r="MG179" s="1"/>
      <c r="MH179" s="1"/>
      <c r="MI179" s="1"/>
      <c r="MJ179" s="1"/>
      <c r="MK179" s="1"/>
      <c r="ML179" s="1"/>
      <c r="MM179" s="1"/>
      <c r="MN179" s="1"/>
      <c r="MO179" s="1"/>
      <c r="MP179" s="1"/>
      <c r="MQ179" s="1"/>
      <c r="MR179" s="1"/>
      <c r="MS179" s="1"/>
      <c r="MT179" s="1"/>
      <c r="MU179" s="1"/>
      <c r="MV179" s="1"/>
      <c r="MW179" s="1"/>
      <c r="MX179" s="1"/>
      <c r="MY179" s="1"/>
      <c r="MZ179" s="1"/>
      <c r="NA179" s="1"/>
      <c r="NB179" s="1"/>
      <c r="NC179" s="1"/>
      <c r="ND179" s="1"/>
      <c r="NE179" s="1"/>
      <c r="NF179" s="1"/>
      <c r="NG179" s="1"/>
      <c r="NH179" s="1"/>
      <c r="NI179" s="1"/>
      <c r="NJ179" s="1"/>
      <c r="NK179" s="1"/>
      <c r="NL179" s="1"/>
      <c r="NM179" s="1"/>
      <c r="NN179" s="1"/>
      <c r="NO179" s="1"/>
      <c r="NP179" s="1"/>
      <c r="NQ179" s="1"/>
      <c r="NR179" s="1"/>
      <c r="NS179" s="1"/>
      <c r="NT179" s="1"/>
      <c r="NU179" s="1"/>
      <c r="NV179" s="1"/>
      <c r="NW179" s="1"/>
      <c r="NX179" s="1"/>
      <c r="NY179" s="1"/>
      <c r="NZ179" s="1"/>
      <c r="OA179" s="1"/>
      <c r="OB179" s="1"/>
      <c r="OC179" s="1"/>
      <c r="OD179" s="1"/>
      <c r="OE179" s="1"/>
      <c r="OF179" s="1"/>
      <c r="OG179" s="1"/>
      <c r="OH179" s="1"/>
      <c r="OI179" s="1"/>
      <c r="OJ179" s="1"/>
      <c r="OK179" s="1"/>
      <c r="OL179" s="1"/>
      <c r="OM179" s="1"/>
      <c r="ON179" s="1"/>
      <c r="OO179" s="1"/>
      <c r="OP179" s="1"/>
      <c r="OQ179" s="1"/>
      <c r="OR179" s="1"/>
      <c r="OS179" s="1"/>
      <c r="OT179" s="1"/>
      <c r="OU179" s="1"/>
      <c r="OV179" s="1"/>
      <c r="OW179" s="1"/>
      <c r="OX179" s="1"/>
      <c r="OY179" s="1"/>
      <c r="OZ179" s="1"/>
      <c r="PA179" s="1"/>
      <c r="PB179" s="1"/>
      <c r="PC179" s="1"/>
      <c r="PD179" s="1"/>
      <c r="PE179" s="1"/>
      <c r="PF179" s="1"/>
      <c r="PG179" s="1"/>
      <c r="PH179" s="1"/>
      <c r="PI179" s="1"/>
      <c r="PJ179" s="1"/>
      <c r="PK179" s="1"/>
      <c r="PL179" s="1"/>
      <c r="PM179" s="1"/>
      <c r="PN179" s="1"/>
      <c r="PO179" s="1"/>
      <c r="PP179" s="1"/>
      <c r="PQ179" s="1"/>
      <c r="PR179" s="1"/>
      <c r="PS179" s="1"/>
      <c r="PT179" s="1"/>
      <c r="PU179" s="1"/>
      <c r="PV179" s="1"/>
      <c r="PW179" s="1"/>
      <c r="PX179" s="1"/>
      <c r="PY179" s="1"/>
      <c r="PZ179" s="1"/>
      <c r="QA179" s="1"/>
      <c r="QB179" s="1"/>
      <c r="QC179" s="1"/>
      <c r="QD179" s="1"/>
      <c r="QE179" s="1"/>
      <c r="QF179" s="1"/>
      <c r="QG179" s="1"/>
      <c r="QH179" s="1"/>
      <c r="QI179" s="1"/>
      <c r="QJ179" s="1"/>
      <c r="QK179" s="1"/>
      <c r="QL179" s="1"/>
      <c r="QM179" s="1"/>
      <c r="QN179" s="1"/>
      <c r="QO179" s="1"/>
      <c r="QP179" s="1"/>
      <c r="QQ179" s="1"/>
      <c r="QR179" s="1"/>
      <c r="QS179" s="1"/>
      <c r="QT179" s="1"/>
      <c r="QU179" s="1"/>
      <c r="QV179" s="1"/>
      <c r="QW179" s="1"/>
      <c r="QX179" s="1"/>
      <c r="QY179" s="1"/>
      <c r="QZ179" s="1"/>
      <c r="RA179" s="1"/>
      <c r="RB179" s="1"/>
      <c r="RC179" s="1"/>
      <c r="RD179" s="1"/>
      <c r="RE179" s="1"/>
      <c r="RF179" s="1"/>
      <c r="RG179" s="1"/>
      <c r="RH179" s="1"/>
      <c r="RI179" s="1"/>
      <c r="RJ179" s="1"/>
      <c r="RK179" s="1"/>
      <c r="RL179" s="1"/>
      <c r="RM179" s="1"/>
      <c r="RN179" s="1"/>
      <c r="RO179" s="1"/>
      <c r="RP179" s="1"/>
      <c r="RQ179" s="1"/>
      <c r="RR179" s="1"/>
      <c r="RS179" s="1"/>
      <c r="RT179" s="1"/>
      <c r="RU179" s="1"/>
      <c r="RV179" s="1"/>
      <c r="RW179" s="1"/>
      <c r="RX179" s="1"/>
      <c r="RY179" s="1"/>
      <c r="RZ179" s="1"/>
      <c r="SA179" s="1"/>
      <c r="SB179" s="1"/>
      <c r="SC179" s="1"/>
      <c r="SD179" s="1"/>
      <c r="SE179" s="1"/>
      <c r="SF179" s="1"/>
      <c r="SG179" s="1"/>
      <c r="SH179" s="1"/>
      <c r="SI179" s="1"/>
      <c r="SJ179" s="1"/>
      <c r="SK179" s="1"/>
      <c r="SL179" s="1"/>
      <c r="SM179" s="1"/>
      <c r="SN179" s="1"/>
      <c r="SO179" s="1"/>
      <c r="SP179" s="1"/>
      <c r="SQ179" s="1"/>
      <c r="SR179" s="1"/>
      <c r="SS179" s="1"/>
      <c r="ST179" s="1"/>
      <c r="SU179" s="1"/>
      <c r="SV179" s="1"/>
      <c r="SW179" s="1"/>
      <c r="SX179" s="1"/>
      <c r="SY179" s="1"/>
      <c r="SZ179" s="1"/>
      <c r="TA179" s="1"/>
      <c r="TB179" s="1"/>
      <c r="TC179" s="1"/>
      <c r="TD179" s="1"/>
      <c r="TE179" s="1"/>
      <c r="TF179" s="1"/>
      <c r="TG179" s="1"/>
      <c r="TH179" s="1"/>
      <c r="TI179" s="1"/>
      <c r="TJ179" s="1"/>
      <c r="TK179" s="1"/>
      <c r="TL179" s="1"/>
      <c r="TM179" s="1"/>
      <c r="TN179" s="1"/>
      <c r="TO179" s="1"/>
      <c r="TP179" s="1"/>
      <c r="TQ179" s="1"/>
      <c r="TR179" s="1"/>
      <c r="TS179" s="1"/>
      <c r="TT179" s="1"/>
      <c r="TU179" s="1"/>
      <c r="TV179" s="1"/>
      <c r="TW179" s="1"/>
      <c r="TX179" s="1"/>
      <c r="TY179" s="1"/>
      <c r="TZ179" s="1"/>
      <c r="UA179" s="1"/>
      <c r="UB179" s="1"/>
      <c r="UC179" s="1"/>
      <c r="UD179" s="1"/>
      <c r="UE179" s="1"/>
      <c r="UF179" s="1"/>
      <c r="UG179" s="1"/>
      <c r="UH179" s="1"/>
      <c r="UI179" s="1"/>
      <c r="UJ179" s="1"/>
      <c r="UK179" s="1"/>
      <c r="UL179" s="1"/>
      <c r="UM179" s="1"/>
      <c r="UN179" s="1"/>
      <c r="UO179" s="1"/>
      <c r="UP179" s="1"/>
      <c r="UQ179" s="1"/>
      <c r="UR179" s="1"/>
      <c r="US179" s="1"/>
      <c r="UT179" s="1"/>
      <c r="UU179" s="1"/>
      <c r="UV179" s="1"/>
      <c r="UW179" s="1"/>
      <c r="UX179" s="1"/>
      <c r="UY179" s="1"/>
      <c r="UZ179" s="1"/>
      <c r="VA179" s="1"/>
      <c r="VB179" s="1"/>
      <c r="VC179" s="1"/>
      <c r="VD179" s="1"/>
      <c r="VE179" s="1"/>
      <c r="VF179" s="1"/>
      <c r="VG179" s="1"/>
      <c r="VH179" s="1"/>
      <c r="VI179" s="1"/>
      <c r="VJ179" s="1"/>
      <c r="VK179" s="1"/>
      <c r="VL179" s="1"/>
      <c r="VM179" s="1"/>
      <c r="VN179" s="1"/>
      <c r="VO179" s="1"/>
      <c r="VP179" s="1"/>
      <c r="VQ179" s="1"/>
      <c r="VR179" s="1"/>
      <c r="VS179" s="1"/>
      <c r="VT179" s="1"/>
      <c r="VU179" s="1"/>
      <c r="VV179" s="1"/>
      <c r="VW179" s="1"/>
      <c r="VX179" s="1"/>
      <c r="VY179" s="1"/>
      <c r="VZ179" s="1"/>
      <c r="WA179" s="1"/>
      <c r="WB179" s="1"/>
      <c r="WC179" s="1"/>
      <c r="WD179" s="1"/>
      <c r="WE179" s="1"/>
      <c r="WF179" s="1"/>
      <c r="WG179" s="1"/>
      <c r="WH179" s="1"/>
      <c r="WI179" s="1"/>
      <c r="WJ179" s="1"/>
      <c r="WK179" s="1"/>
      <c r="WL179" s="1"/>
      <c r="WM179" s="1"/>
      <c r="WN179" s="1"/>
      <c r="WO179" s="1"/>
      <c r="WP179" s="1"/>
      <c r="WQ179" s="1"/>
      <c r="WR179" s="1"/>
      <c r="WS179" s="1"/>
      <c r="WT179" s="1"/>
      <c r="WU179" s="1"/>
      <c r="WV179" s="1"/>
      <c r="WW179" s="1"/>
      <c r="WX179" s="1"/>
      <c r="WY179" s="1"/>
      <c r="WZ179" s="1"/>
      <c r="XA179" s="1"/>
      <c r="XB179" s="1"/>
      <c r="XC179" s="1"/>
      <c r="XD179" s="1"/>
      <c r="XE179" s="1"/>
      <c r="XF179" s="1"/>
      <c r="XG179" s="1"/>
      <c r="XH179" s="1"/>
      <c r="XI179" s="1"/>
      <c r="XJ179" s="1"/>
      <c r="XK179" s="1"/>
      <c r="XL179" s="1"/>
      <c r="XM179" s="1"/>
      <c r="XN179" s="1"/>
      <c r="XO179" s="1"/>
      <c r="XP179" s="1"/>
      <c r="XQ179" s="1"/>
      <c r="XR179" s="1"/>
      <c r="XS179" s="1"/>
      <c r="XT179" s="1"/>
      <c r="XU179" s="1"/>
      <c r="XV179" s="1"/>
      <c r="XW179" s="1"/>
      <c r="XX179" s="1"/>
      <c r="XY179" s="1"/>
      <c r="XZ179" s="1"/>
      <c r="YA179" s="1"/>
      <c r="YB179" s="1"/>
      <c r="YC179" s="1"/>
      <c r="YD179" s="1"/>
      <c r="YE179" s="1"/>
      <c r="YF179" s="1"/>
      <c r="YG179" s="1"/>
      <c r="YH179" s="1"/>
      <c r="YI179" s="1"/>
      <c r="YJ179" s="1"/>
      <c r="YK179" s="1"/>
      <c r="YL179" s="1"/>
      <c r="YM179" s="1"/>
      <c r="YN179" s="1"/>
      <c r="YO179" s="1"/>
      <c r="YP179" s="1"/>
      <c r="YQ179" s="1"/>
      <c r="YR179" s="1"/>
      <c r="YS179" s="1"/>
      <c r="YT179" s="1"/>
      <c r="YU179" s="1"/>
      <c r="YV179" s="1"/>
      <c r="YW179" s="1"/>
      <c r="YX179" s="1"/>
      <c r="YY179" s="1"/>
      <c r="YZ179" s="1"/>
      <c r="ZA179" s="1"/>
      <c r="ZB179" s="1"/>
      <c r="ZC179" s="1"/>
      <c r="ZD179" s="1"/>
      <c r="ZE179" s="1"/>
      <c r="ZF179" s="1"/>
      <c r="ZG179" s="1"/>
      <c r="ZH179" s="1"/>
      <c r="ZI179" s="1"/>
      <c r="ZJ179" s="1"/>
      <c r="ZK179" s="1"/>
      <c r="ZL179" s="1"/>
      <c r="ZM179" s="1"/>
      <c r="ZN179" s="1"/>
      <c r="ZO179" s="1"/>
      <c r="ZP179" s="1"/>
      <c r="ZQ179" s="1"/>
      <c r="ZR179" s="1"/>
      <c r="ZS179" s="1"/>
      <c r="ZT179" s="1"/>
      <c r="ZU179" s="1"/>
      <c r="ZV179" s="1"/>
      <c r="ZW179" s="1"/>
      <c r="ZX179" s="1"/>
      <c r="ZY179" s="1"/>
      <c r="ZZ179" s="1"/>
      <c r="AAA179" s="1"/>
      <c r="AAB179" s="1"/>
      <c r="AAC179" s="1"/>
      <c r="AAD179" s="1"/>
      <c r="AAE179" s="1"/>
      <c r="AAF179" s="1"/>
      <c r="AAG179" s="1"/>
      <c r="AAH179" s="1"/>
      <c r="AAI179" s="1"/>
      <c r="AAJ179" s="1"/>
      <c r="AAK179" s="1"/>
      <c r="AAL179" s="1"/>
      <c r="AAM179" s="1"/>
      <c r="AAN179" s="1"/>
      <c r="AAO179" s="1"/>
      <c r="AAP179" s="1"/>
      <c r="AAQ179" s="1"/>
      <c r="AAR179" s="1"/>
      <c r="AAS179" s="1"/>
      <c r="AAT179" s="1"/>
      <c r="AAU179" s="1"/>
      <c r="AAV179" s="1"/>
      <c r="AAW179" s="1"/>
      <c r="AAX179" s="1"/>
      <c r="AAY179" s="1"/>
      <c r="AAZ179" s="1"/>
      <c r="ABA179" s="1"/>
      <c r="ABB179" s="1"/>
      <c r="ABC179" s="1"/>
      <c r="ABD179" s="1"/>
      <c r="ABE179" s="1"/>
      <c r="ABF179" s="1"/>
      <c r="ABG179" s="1"/>
      <c r="ABH179" s="1"/>
      <c r="ABI179" s="1"/>
      <c r="ABJ179" s="1"/>
      <c r="ABK179" s="1"/>
      <c r="ABL179" s="1"/>
      <c r="ABM179" s="1"/>
      <c r="ABN179" s="1"/>
      <c r="ABO179" s="1"/>
      <c r="ABP179" s="1"/>
      <c r="ABQ179" s="1"/>
      <c r="ABR179" s="1"/>
      <c r="ABS179" s="1"/>
      <c r="ABT179" s="1"/>
      <c r="ABU179" s="1"/>
      <c r="ABV179" s="1"/>
      <c r="ABW179" s="1"/>
      <c r="ABX179" s="1"/>
      <c r="ABY179" s="1"/>
      <c r="ABZ179" s="1"/>
      <c r="ACA179" s="1"/>
      <c r="ACB179" s="1"/>
      <c r="ACC179" s="1"/>
      <c r="ACD179" s="1"/>
      <c r="ACE179" s="1"/>
      <c r="ACF179" s="1"/>
      <c r="ACG179" s="1"/>
      <c r="ACH179" s="1"/>
      <c r="ACI179" s="1"/>
      <c r="ACJ179" s="1"/>
      <c r="ACK179" s="1"/>
      <c r="ACL179" s="1"/>
      <c r="ACM179" s="1"/>
      <c r="ACN179" s="1"/>
      <c r="ACO179" s="1"/>
      <c r="ACP179" s="1"/>
      <c r="ACQ179" s="1"/>
      <c r="ACR179" s="1"/>
      <c r="ACS179" s="1"/>
      <c r="ACT179" s="1"/>
      <c r="ACU179" s="1"/>
      <c r="ACV179" s="1"/>
      <c r="ACW179" s="1"/>
      <c r="ACX179" s="1"/>
      <c r="ACY179" s="1"/>
      <c r="ACZ179" s="1"/>
      <c r="ADA179" s="1"/>
      <c r="ADB179" s="1"/>
      <c r="ADC179" s="1"/>
      <c r="ADD179" s="1"/>
      <c r="ADE179" s="1"/>
      <c r="ADF179" s="1"/>
      <c r="ADG179" s="1"/>
      <c r="ADH179" s="1"/>
      <c r="ADI179" s="1"/>
      <c r="ADJ179" s="1"/>
      <c r="ADK179" s="1"/>
      <c r="ADL179" s="1"/>
      <c r="ADM179" s="1"/>
      <c r="ADN179" s="1"/>
      <c r="ADO179" s="1"/>
      <c r="ADP179" s="1"/>
      <c r="ADQ179" s="1"/>
      <c r="ADR179" s="1"/>
      <c r="ADS179" s="1"/>
      <c r="ADT179" s="1"/>
      <c r="ADU179" s="1"/>
      <c r="ADV179" s="1"/>
      <c r="ADW179" s="1"/>
      <c r="ADX179" s="1"/>
      <c r="ADY179" s="1"/>
      <c r="ADZ179" s="1"/>
      <c r="AEA179" s="1"/>
      <c r="AEB179" s="1"/>
      <c r="AEC179" s="1"/>
      <c r="AED179" s="1"/>
      <c r="AEE179" s="1"/>
      <c r="AEF179" s="1"/>
      <c r="AEG179" s="1"/>
      <c r="AEH179" s="1"/>
      <c r="AEI179" s="1"/>
      <c r="AEJ179" s="1"/>
      <c r="AEK179" s="1"/>
      <c r="AEL179" s="1"/>
      <c r="AEM179" s="1"/>
      <c r="AEN179" s="1"/>
      <c r="AEO179" s="1"/>
      <c r="AEP179" s="1"/>
      <c r="AEQ179" s="1"/>
      <c r="AER179" s="1"/>
      <c r="AES179" s="1"/>
      <c r="AET179" s="1"/>
      <c r="AEU179" s="1"/>
      <c r="AEV179" s="1"/>
      <c r="AEW179" s="1"/>
      <c r="AEX179" s="1"/>
      <c r="AEY179" s="1"/>
      <c r="AEZ179" s="1"/>
      <c r="AFA179" s="1"/>
      <c r="AFB179" s="1"/>
      <c r="AFC179" s="1"/>
      <c r="AFD179" s="1"/>
      <c r="AFE179" s="1"/>
      <c r="AFF179" s="1"/>
      <c r="AFG179" s="1"/>
      <c r="AFH179" s="1"/>
      <c r="AFI179" s="1"/>
      <c r="AFJ179" s="1"/>
      <c r="AFK179" s="1"/>
      <c r="AFL179" s="1"/>
      <c r="AFM179" s="1"/>
      <c r="AFN179" s="1"/>
      <c r="AFO179" s="1"/>
      <c r="AFP179" s="1"/>
      <c r="AFQ179" s="1"/>
      <c r="AFR179" s="1"/>
      <c r="AFS179" s="1"/>
      <c r="AFT179" s="1"/>
      <c r="AFU179" s="1"/>
      <c r="AFV179" s="1"/>
      <c r="AFW179" s="1"/>
      <c r="AFX179" s="1"/>
      <c r="AFY179" s="1"/>
      <c r="AFZ179" s="1"/>
      <c r="AGA179" s="1"/>
      <c r="AGB179" s="1"/>
      <c r="AGC179" s="1"/>
      <c r="AGD179" s="1"/>
      <c r="AGE179" s="1"/>
      <c r="AGF179" s="1"/>
      <c r="AGG179" s="1"/>
      <c r="AGH179" s="1"/>
      <c r="AGI179" s="1"/>
      <c r="AGJ179" s="1"/>
      <c r="AGK179" s="1"/>
      <c r="AGL179" s="1"/>
      <c r="AGM179" s="1"/>
      <c r="AGN179" s="1"/>
      <c r="AGO179" s="1"/>
      <c r="AGP179" s="1"/>
      <c r="AGQ179" s="1"/>
      <c r="AGR179" s="1"/>
      <c r="AGS179" s="1"/>
      <c r="AGT179" s="1"/>
      <c r="AGU179" s="1"/>
      <c r="AGV179" s="1"/>
      <c r="AGW179" s="1"/>
      <c r="AGX179" s="1"/>
      <c r="AGY179" s="1"/>
      <c r="AGZ179" s="1"/>
      <c r="AHA179" s="1"/>
      <c r="AHB179" s="1"/>
      <c r="AHC179" s="1"/>
      <c r="AHD179" s="1"/>
      <c r="AHE179" s="1"/>
      <c r="AHF179" s="1"/>
      <c r="AHG179" s="1"/>
      <c r="AHH179" s="1"/>
      <c r="AHI179" s="1"/>
      <c r="AHJ179" s="1"/>
      <c r="AHK179" s="1"/>
      <c r="AHL179" s="1"/>
      <c r="AHM179" s="1"/>
      <c r="AHN179" s="1"/>
      <c r="AHO179" s="1"/>
      <c r="AHP179" s="1"/>
      <c r="AHQ179" s="1"/>
      <c r="AHR179" s="1"/>
      <c r="AHS179" s="1"/>
      <c r="AHT179" s="1"/>
      <c r="AHU179" s="1"/>
      <c r="AHV179" s="1"/>
      <c r="AHW179" s="1"/>
      <c r="AHX179" s="1"/>
      <c r="AHY179" s="1"/>
      <c r="AHZ179" s="1"/>
      <c r="AIA179" s="1"/>
      <c r="AIB179" s="1"/>
      <c r="AIC179" s="1"/>
      <c r="AID179" s="1"/>
      <c r="AIE179" s="1"/>
      <c r="AIF179" s="1"/>
      <c r="AIG179" s="1"/>
      <c r="AIH179" s="1"/>
      <c r="AII179" s="1"/>
      <c r="AIJ179" s="1"/>
      <c r="AIK179" s="1"/>
      <c r="AIL179" s="1"/>
      <c r="AIM179" s="1"/>
      <c r="AIN179" s="1"/>
      <c r="AIO179" s="1"/>
      <c r="AIP179" s="1"/>
      <c r="AIQ179" s="1"/>
      <c r="AIR179" s="1"/>
      <c r="AIS179" s="1"/>
      <c r="AIT179" s="1"/>
      <c r="AIU179" s="1"/>
      <c r="AIV179" s="1"/>
      <c r="AIW179" s="1"/>
      <c r="AIX179" s="1"/>
      <c r="AIY179" s="1"/>
      <c r="AIZ179" s="1"/>
      <c r="AJA179" s="1"/>
      <c r="AJB179" s="1"/>
      <c r="AJC179" s="1"/>
      <c r="AJD179" s="1"/>
      <c r="AJE179" s="1"/>
      <c r="AJF179" s="1"/>
      <c r="AJG179" s="1"/>
      <c r="AJH179" s="1"/>
      <c r="AJI179" s="1"/>
      <c r="AJJ179" s="1"/>
      <c r="AJK179" s="1"/>
      <c r="AJL179" s="1"/>
      <c r="AJM179" s="1"/>
      <c r="AJN179" s="1"/>
      <c r="AJO179" s="1"/>
      <c r="AJP179" s="1"/>
      <c r="AJQ179" s="1"/>
      <c r="AJR179" s="1"/>
      <c r="AJS179" s="1"/>
      <c r="AJT179" s="1"/>
      <c r="AJU179" s="1"/>
      <c r="AJV179" s="1"/>
      <c r="AJW179" s="1"/>
      <c r="AJX179" s="1"/>
      <c r="AJY179" s="1"/>
      <c r="AJZ179" s="1"/>
      <c r="AKA179" s="1"/>
      <c r="AKB179" s="1"/>
      <c r="AKC179" s="1"/>
      <c r="AKD179" s="1"/>
      <c r="AKE179" s="1"/>
      <c r="AKF179" s="1"/>
      <c r="AKG179" s="1"/>
      <c r="AKH179" s="1"/>
      <c r="AKI179" s="1"/>
      <c r="AKJ179" s="1"/>
      <c r="AKK179" s="1"/>
      <c r="AKL179" s="1"/>
      <c r="AKM179" s="1"/>
      <c r="AKN179" s="1"/>
      <c r="AKO179" s="1"/>
      <c r="AKP179" s="1"/>
      <c r="AKQ179" s="1"/>
      <c r="AKR179" s="1"/>
      <c r="AKS179" s="1"/>
      <c r="AKT179" s="1"/>
      <c r="AKU179" s="1"/>
      <c r="AKV179" s="1"/>
      <c r="AKW179" s="1"/>
      <c r="AKX179" s="1"/>
      <c r="AKY179" s="1"/>
      <c r="AKZ179" s="1"/>
      <c r="ALA179" s="1"/>
      <c r="ALB179" s="1"/>
      <c r="ALC179" s="1"/>
      <c r="ALD179" s="1"/>
      <c r="ALE179" s="1"/>
      <c r="ALF179" s="1"/>
      <c r="ALG179" s="1"/>
      <c r="ALH179" s="1"/>
      <c r="ALI179" s="1"/>
      <c r="ALJ179" s="1"/>
      <c r="ALK179" s="1"/>
      <c r="ALL179" s="1"/>
      <c r="ALM179" s="1"/>
      <c r="ALN179" s="1"/>
      <c r="ALO179" s="1"/>
      <c r="ALP179" s="1"/>
      <c r="ALQ179" s="1"/>
      <c r="ALR179" s="1"/>
      <c r="ALS179" s="1"/>
      <c r="ALT179" s="1"/>
      <c r="ALU179" s="1"/>
      <c r="ALV179" s="1"/>
      <c r="ALW179" s="1"/>
      <c r="ALX179" s="1"/>
      <c r="ALY179" s="1"/>
      <c r="ALZ179" s="1"/>
      <c r="AMA179" s="1"/>
      <c r="AMB179" s="1"/>
      <c r="AMC179" s="1"/>
      <c r="AMD179" s="1"/>
      <c r="AME179" s="1"/>
      <c r="AMF179" s="1"/>
      <c r="AMG179" s="1"/>
      <c r="AMH179" s="1"/>
      <c r="AMI179" s="1"/>
      <c r="AMJ179" s="1"/>
    </row>
    <row r="180" customFormat="false" ht="10.5" hidden="false" customHeight="true" outlineLevel="0" collapsed="false">
      <c r="A180" s="232"/>
      <c r="B180" s="232"/>
      <c r="C180" s="232"/>
      <c r="D180" s="232"/>
      <c r="E180" s="232"/>
      <c r="F180" s="233"/>
      <c r="G180" s="233"/>
      <c r="H180" s="233"/>
      <c r="I180" s="233"/>
      <c r="J180" s="233"/>
      <c r="K180" s="233"/>
      <c r="L180" s="233"/>
      <c r="M180" s="233"/>
      <c r="N180" s="233"/>
      <c r="O180" s="233"/>
      <c r="P180" s="233"/>
      <c r="Q180" s="233"/>
      <c r="R180" s="233"/>
      <c r="S180" s="233"/>
      <c r="T180" s="233"/>
      <c r="U180" s="233"/>
      <c r="V180" s="233"/>
      <c r="W180" s="233"/>
      <c r="X180" s="233"/>
      <c r="Y180" s="233"/>
      <c r="Z180" s="175"/>
      <c r="AA180" s="175"/>
      <c r="AB180" s="175"/>
      <c r="AC180" s="175"/>
      <c r="AD180" s="234"/>
      <c r="AE180" s="234"/>
      <c r="AF180" s="234"/>
      <c r="AG180" s="235"/>
      <c r="AH180" s="235"/>
      <c r="AI180" s="235"/>
      <c r="AJ180" s="235"/>
      <c r="AK180" s="235"/>
      <c r="AL180" s="235"/>
      <c r="AM180" s="235"/>
      <c r="AN180" s="235"/>
      <c r="AO180" s="235"/>
      <c r="BE180" s="1"/>
      <c r="BF180" s="1"/>
      <c r="BG180" s="1"/>
      <c r="BH180" s="1"/>
      <c r="BI180" s="1"/>
      <c r="BJ180" s="1"/>
      <c r="BK180" s="1"/>
      <c r="BL180" s="1"/>
      <c r="BM180" s="1"/>
      <c r="BN180" s="1"/>
      <c r="BO180" s="1"/>
      <c r="BP180" s="1"/>
      <c r="BQ180" s="1"/>
      <c r="BR180" s="1"/>
      <c r="BS180" s="1"/>
      <c r="BT180" s="1"/>
      <c r="BU180" s="1"/>
      <c r="BV180" s="1"/>
      <c r="BW180" s="1"/>
      <c r="BX180" s="1"/>
      <c r="BY180" s="1"/>
      <c r="BZ180" s="1"/>
      <c r="CA180" s="1"/>
      <c r="CB180" s="1"/>
      <c r="CC180" s="1"/>
      <c r="CD180" s="1"/>
      <c r="CE180" s="1"/>
      <c r="CF180" s="1"/>
      <c r="CG180" s="1"/>
      <c r="CH180" s="1"/>
      <c r="CI180" s="1"/>
      <c r="CJ180" s="1"/>
      <c r="CK180" s="1"/>
      <c r="CL180" s="1"/>
      <c r="CM180" s="1"/>
      <c r="CN180" s="1"/>
      <c r="CO180" s="1"/>
      <c r="CP180" s="1"/>
      <c r="CQ180" s="1"/>
      <c r="CR180" s="1"/>
      <c r="CS180" s="1"/>
      <c r="CT180" s="1"/>
      <c r="CU180" s="1"/>
      <c r="CV180" s="1"/>
      <c r="CW180" s="1"/>
      <c r="CX180" s="1"/>
      <c r="CY180" s="1"/>
      <c r="CZ180" s="1"/>
      <c r="DA180" s="1"/>
      <c r="DB180" s="1"/>
      <c r="DC180" s="1"/>
      <c r="DD180" s="1"/>
      <c r="DE180" s="1"/>
      <c r="DF180" s="1"/>
      <c r="DG180" s="1"/>
      <c r="DH180" s="1"/>
      <c r="DI180" s="1"/>
      <c r="DJ180" s="1"/>
      <c r="DK180" s="1"/>
      <c r="DL180" s="1"/>
      <c r="DM180" s="1"/>
      <c r="DN180" s="1"/>
      <c r="DO180" s="1"/>
      <c r="DP180" s="1"/>
      <c r="DQ180" s="1"/>
      <c r="DR180" s="1"/>
      <c r="DS180" s="1"/>
      <c r="DT180" s="1"/>
      <c r="DU180" s="1"/>
      <c r="DV180" s="1"/>
      <c r="DW180" s="1"/>
      <c r="DX180" s="1"/>
      <c r="DY180" s="1"/>
      <c r="DZ180" s="1"/>
      <c r="EA180" s="1"/>
      <c r="EB180" s="1"/>
      <c r="EC180" s="1"/>
      <c r="ED180" s="1"/>
      <c r="EE180" s="1"/>
      <c r="EF180" s="1"/>
      <c r="EG180" s="1"/>
      <c r="EH180" s="1"/>
      <c r="EI180" s="1"/>
      <c r="EJ180" s="1"/>
      <c r="EK180" s="1"/>
      <c r="EL180" s="1"/>
      <c r="EM180" s="1"/>
      <c r="EN180" s="1"/>
      <c r="EO180" s="1"/>
      <c r="EP180" s="1"/>
      <c r="EQ180" s="1"/>
      <c r="ER180" s="1"/>
      <c r="ES180" s="1"/>
      <c r="ET180" s="1"/>
      <c r="EU180" s="1"/>
      <c r="EV180" s="1"/>
      <c r="EW180" s="1"/>
      <c r="EX180" s="1"/>
      <c r="EY180" s="1"/>
      <c r="EZ180" s="1"/>
      <c r="FA180" s="1"/>
      <c r="FB180" s="1"/>
      <c r="FC180" s="1"/>
      <c r="FD180" s="1"/>
      <c r="FE180" s="1"/>
      <c r="FF180" s="1"/>
      <c r="FG180" s="1"/>
      <c r="FH180" s="1"/>
      <c r="FI180" s="1"/>
      <c r="FJ180" s="1"/>
      <c r="FK180" s="1"/>
      <c r="FL180" s="1"/>
      <c r="FM180" s="1"/>
      <c r="FN180" s="1"/>
      <c r="FO180" s="1"/>
      <c r="FP180" s="1"/>
      <c r="FQ180" s="1"/>
      <c r="FR180" s="1"/>
      <c r="FS180" s="1"/>
      <c r="FT180" s="1"/>
      <c r="FU180" s="1"/>
      <c r="FV180" s="1"/>
      <c r="FW180" s="1"/>
      <c r="FX180" s="1"/>
      <c r="FY180" s="1"/>
      <c r="FZ180" s="1"/>
      <c r="GA180" s="1"/>
      <c r="GB180" s="1"/>
      <c r="GC180" s="1"/>
      <c r="GD180" s="1"/>
      <c r="GE180" s="1"/>
      <c r="GF180" s="1"/>
      <c r="GG180" s="1"/>
      <c r="GH180" s="1"/>
      <c r="GI180" s="1"/>
      <c r="GJ180" s="1"/>
      <c r="GK180" s="1"/>
      <c r="GL180" s="1"/>
      <c r="GM180" s="1"/>
      <c r="GN180" s="1"/>
      <c r="GO180" s="1"/>
      <c r="GP180" s="1"/>
      <c r="GQ180" s="1"/>
      <c r="GR180" s="1"/>
      <c r="GS180" s="1"/>
      <c r="GT180" s="1"/>
      <c r="GU180" s="1"/>
      <c r="GV180" s="1"/>
      <c r="GW180" s="1"/>
      <c r="GX180" s="1"/>
      <c r="GY180" s="1"/>
      <c r="GZ180" s="1"/>
      <c r="HA180" s="1"/>
      <c r="HB180" s="1"/>
      <c r="HC180" s="1"/>
      <c r="HD180" s="1"/>
      <c r="HE180" s="1"/>
      <c r="HF180" s="1"/>
      <c r="HG180" s="1"/>
      <c r="HH180" s="1"/>
      <c r="HI180" s="1"/>
      <c r="HJ180" s="1"/>
      <c r="HK180" s="1"/>
      <c r="HL180" s="1"/>
      <c r="HM180" s="1"/>
      <c r="HN180" s="1"/>
      <c r="HO180" s="1"/>
      <c r="HP180" s="1"/>
      <c r="HQ180" s="1"/>
      <c r="HR180" s="1"/>
      <c r="HS180" s="1"/>
      <c r="HT180" s="1"/>
      <c r="HU180" s="1"/>
      <c r="HV180" s="1"/>
      <c r="HW180" s="1"/>
      <c r="HX180" s="1"/>
      <c r="HY180" s="1"/>
      <c r="HZ180" s="1"/>
      <c r="IA180" s="1"/>
      <c r="IB180" s="1"/>
      <c r="IC180" s="1"/>
      <c r="ID180" s="1"/>
      <c r="IE180" s="1"/>
      <c r="IF180" s="1"/>
      <c r="IG180" s="1"/>
      <c r="IH180" s="1"/>
      <c r="II180" s="1"/>
      <c r="IJ180" s="1"/>
      <c r="IK180" s="1"/>
      <c r="IL180" s="1"/>
      <c r="IM180" s="1"/>
      <c r="IN180" s="1"/>
      <c r="IO180" s="1"/>
      <c r="IP180" s="1"/>
      <c r="IQ180" s="1"/>
      <c r="IR180" s="1"/>
      <c r="IS180" s="1"/>
      <c r="IT180" s="1"/>
      <c r="IU180" s="1"/>
      <c r="IV180" s="1"/>
      <c r="IW180" s="1"/>
      <c r="IX180" s="1"/>
      <c r="IY180" s="1"/>
      <c r="IZ180" s="1"/>
      <c r="JA180" s="1"/>
      <c r="JB180" s="1"/>
      <c r="JC180" s="1"/>
      <c r="JD180" s="1"/>
      <c r="JE180" s="1"/>
      <c r="JF180" s="1"/>
      <c r="JG180" s="1"/>
      <c r="JH180" s="1"/>
      <c r="JI180" s="1"/>
      <c r="JJ180" s="1"/>
      <c r="JK180" s="1"/>
      <c r="JL180" s="1"/>
      <c r="JM180" s="1"/>
      <c r="JN180" s="1"/>
      <c r="JO180" s="1"/>
      <c r="JP180" s="1"/>
      <c r="JQ180" s="1"/>
      <c r="JR180" s="1"/>
      <c r="JS180" s="1"/>
      <c r="JT180" s="1"/>
      <c r="JU180" s="1"/>
      <c r="JV180" s="1"/>
      <c r="JW180" s="1"/>
      <c r="JX180" s="1"/>
      <c r="JY180" s="1"/>
      <c r="JZ180" s="1"/>
      <c r="KA180" s="1"/>
      <c r="KB180" s="1"/>
      <c r="KC180" s="1"/>
      <c r="KD180" s="1"/>
      <c r="KE180" s="1"/>
      <c r="KF180" s="1"/>
      <c r="KG180" s="1"/>
      <c r="KH180" s="1"/>
      <c r="KI180" s="1"/>
      <c r="KJ180" s="1"/>
      <c r="KK180" s="1"/>
      <c r="KL180" s="1"/>
      <c r="KM180" s="1"/>
      <c r="KN180" s="1"/>
      <c r="KO180" s="1"/>
      <c r="KP180" s="1"/>
      <c r="KQ180" s="1"/>
      <c r="KR180" s="1"/>
      <c r="KS180" s="1"/>
      <c r="KT180" s="1"/>
      <c r="KU180" s="1"/>
      <c r="KV180" s="1"/>
      <c r="KW180" s="1"/>
      <c r="KX180" s="1"/>
      <c r="KY180" s="1"/>
      <c r="KZ180" s="1"/>
      <c r="LA180" s="1"/>
      <c r="LB180" s="1"/>
      <c r="LC180" s="1"/>
      <c r="LD180" s="1"/>
      <c r="LE180" s="1"/>
      <c r="LF180" s="1"/>
      <c r="LG180" s="1"/>
      <c r="LH180" s="1"/>
      <c r="LI180" s="1"/>
      <c r="LJ180" s="1"/>
      <c r="LK180" s="1"/>
      <c r="LL180" s="1"/>
      <c r="LM180" s="1"/>
      <c r="LN180" s="1"/>
      <c r="LO180" s="1"/>
      <c r="LP180" s="1"/>
      <c r="LQ180" s="1"/>
      <c r="LR180" s="1"/>
      <c r="LS180" s="1"/>
      <c r="LT180" s="1"/>
      <c r="LU180" s="1"/>
      <c r="LV180" s="1"/>
      <c r="LW180" s="1"/>
      <c r="LX180" s="1"/>
      <c r="LY180" s="1"/>
      <c r="LZ180" s="1"/>
      <c r="MA180" s="1"/>
      <c r="MB180" s="1"/>
      <c r="MC180" s="1"/>
      <c r="MD180" s="1"/>
      <c r="ME180" s="1"/>
      <c r="MF180" s="1"/>
      <c r="MG180" s="1"/>
      <c r="MH180" s="1"/>
      <c r="MI180" s="1"/>
      <c r="MJ180" s="1"/>
      <c r="MK180" s="1"/>
      <c r="ML180" s="1"/>
      <c r="MM180" s="1"/>
      <c r="MN180" s="1"/>
      <c r="MO180" s="1"/>
      <c r="MP180" s="1"/>
      <c r="MQ180" s="1"/>
      <c r="MR180" s="1"/>
      <c r="MS180" s="1"/>
      <c r="MT180" s="1"/>
      <c r="MU180" s="1"/>
      <c r="MV180" s="1"/>
      <c r="MW180" s="1"/>
      <c r="MX180" s="1"/>
      <c r="MY180" s="1"/>
      <c r="MZ180" s="1"/>
      <c r="NA180" s="1"/>
      <c r="NB180" s="1"/>
      <c r="NC180" s="1"/>
      <c r="ND180" s="1"/>
      <c r="NE180" s="1"/>
      <c r="NF180" s="1"/>
      <c r="NG180" s="1"/>
      <c r="NH180" s="1"/>
      <c r="NI180" s="1"/>
      <c r="NJ180" s="1"/>
      <c r="NK180" s="1"/>
      <c r="NL180" s="1"/>
      <c r="NM180" s="1"/>
      <c r="NN180" s="1"/>
      <c r="NO180" s="1"/>
      <c r="NP180" s="1"/>
      <c r="NQ180" s="1"/>
      <c r="NR180" s="1"/>
      <c r="NS180" s="1"/>
      <c r="NT180" s="1"/>
      <c r="NU180" s="1"/>
      <c r="NV180" s="1"/>
      <c r="NW180" s="1"/>
      <c r="NX180" s="1"/>
      <c r="NY180" s="1"/>
      <c r="NZ180" s="1"/>
      <c r="OA180" s="1"/>
      <c r="OB180" s="1"/>
      <c r="OC180" s="1"/>
      <c r="OD180" s="1"/>
      <c r="OE180" s="1"/>
      <c r="OF180" s="1"/>
      <c r="OG180" s="1"/>
      <c r="OH180" s="1"/>
      <c r="OI180" s="1"/>
      <c r="OJ180" s="1"/>
      <c r="OK180" s="1"/>
      <c r="OL180" s="1"/>
      <c r="OM180" s="1"/>
      <c r="ON180" s="1"/>
      <c r="OO180" s="1"/>
      <c r="OP180" s="1"/>
      <c r="OQ180" s="1"/>
      <c r="OR180" s="1"/>
      <c r="OS180" s="1"/>
      <c r="OT180" s="1"/>
      <c r="OU180" s="1"/>
      <c r="OV180" s="1"/>
      <c r="OW180" s="1"/>
      <c r="OX180" s="1"/>
      <c r="OY180" s="1"/>
      <c r="OZ180" s="1"/>
      <c r="PA180" s="1"/>
      <c r="PB180" s="1"/>
      <c r="PC180" s="1"/>
      <c r="PD180" s="1"/>
      <c r="PE180" s="1"/>
      <c r="PF180" s="1"/>
      <c r="PG180" s="1"/>
      <c r="PH180" s="1"/>
      <c r="PI180" s="1"/>
      <c r="PJ180" s="1"/>
      <c r="PK180" s="1"/>
      <c r="PL180" s="1"/>
      <c r="PM180" s="1"/>
      <c r="PN180" s="1"/>
      <c r="PO180" s="1"/>
      <c r="PP180" s="1"/>
      <c r="PQ180" s="1"/>
      <c r="PR180" s="1"/>
      <c r="PS180" s="1"/>
      <c r="PT180" s="1"/>
      <c r="PU180" s="1"/>
      <c r="PV180" s="1"/>
      <c r="PW180" s="1"/>
      <c r="PX180" s="1"/>
      <c r="PY180" s="1"/>
      <c r="PZ180" s="1"/>
      <c r="QA180" s="1"/>
      <c r="QB180" s="1"/>
      <c r="QC180" s="1"/>
      <c r="QD180" s="1"/>
      <c r="QE180" s="1"/>
      <c r="QF180" s="1"/>
      <c r="QG180" s="1"/>
      <c r="QH180" s="1"/>
      <c r="QI180" s="1"/>
      <c r="QJ180" s="1"/>
      <c r="QK180" s="1"/>
      <c r="QL180" s="1"/>
      <c r="QM180" s="1"/>
      <c r="QN180" s="1"/>
      <c r="QO180" s="1"/>
      <c r="QP180" s="1"/>
      <c r="QQ180" s="1"/>
      <c r="QR180" s="1"/>
      <c r="QS180" s="1"/>
      <c r="QT180" s="1"/>
      <c r="QU180" s="1"/>
      <c r="QV180" s="1"/>
      <c r="QW180" s="1"/>
      <c r="QX180" s="1"/>
      <c r="QY180" s="1"/>
      <c r="QZ180" s="1"/>
      <c r="RA180" s="1"/>
      <c r="RB180" s="1"/>
      <c r="RC180" s="1"/>
      <c r="RD180" s="1"/>
      <c r="RE180" s="1"/>
      <c r="RF180" s="1"/>
      <c r="RG180" s="1"/>
      <c r="RH180" s="1"/>
      <c r="RI180" s="1"/>
      <c r="RJ180" s="1"/>
      <c r="RK180" s="1"/>
      <c r="RL180" s="1"/>
      <c r="RM180" s="1"/>
      <c r="RN180" s="1"/>
      <c r="RO180" s="1"/>
      <c r="RP180" s="1"/>
      <c r="RQ180" s="1"/>
      <c r="RR180" s="1"/>
      <c r="RS180" s="1"/>
      <c r="RT180" s="1"/>
      <c r="RU180" s="1"/>
      <c r="RV180" s="1"/>
      <c r="RW180" s="1"/>
      <c r="RX180" s="1"/>
      <c r="RY180" s="1"/>
      <c r="RZ180" s="1"/>
      <c r="SA180" s="1"/>
      <c r="SB180" s="1"/>
      <c r="SC180" s="1"/>
      <c r="SD180" s="1"/>
      <c r="SE180" s="1"/>
      <c r="SF180" s="1"/>
      <c r="SG180" s="1"/>
      <c r="SH180" s="1"/>
      <c r="SI180" s="1"/>
      <c r="SJ180" s="1"/>
      <c r="SK180" s="1"/>
      <c r="SL180" s="1"/>
      <c r="SM180" s="1"/>
      <c r="SN180" s="1"/>
      <c r="SO180" s="1"/>
      <c r="SP180" s="1"/>
      <c r="SQ180" s="1"/>
      <c r="SR180" s="1"/>
      <c r="SS180" s="1"/>
      <c r="ST180" s="1"/>
      <c r="SU180" s="1"/>
      <c r="SV180" s="1"/>
      <c r="SW180" s="1"/>
      <c r="SX180" s="1"/>
      <c r="SY180" s="1"/>
      <c r="SZ180" s="1"/>
      <c r="TA180" s="1"/>
      <c r="TB180" s="1"/>
      <c r="TC180" s="1"/>
      <c r="TD180" s="1"/>
      <c r="TE180" s="1"/>
      <c r="TF180" s="1"/>
      <c r="TG180" s="1"/>
      <c r="TH180" s="1"/>
      <c r="TI180" s="1"/>
      <c r="TJ180" s="1"/>
      <c r="TK180" s="1"/>
      <c r="TL180" s="1"/>
      <c r="TM180" s="1"/>
      <c r="TN180" s="1"/>
      <c r="TO180" s="1"/>
      <c r="TP180" s="1"/>
      <c r="TQ180" s="1"/>
      <c r="TR180" s="1"/>
      <c r="TS180" s="1"/>
      <c r="TT180" s="1"/>
      <c r="TU180" s="1"/>
      <c r="TV180" s="1"/>
      <c r="TW180" s="1"/>
      <c r="TX180" s="1"/>
      <c r="TY180" s="1"/>
      <c r="TZ180" s="1"/>
      <c r="UA180" s="1"/>
      <c r="UB180" s="1"/>
      <c r="UC180" s="1"/>
      <c r="UD180" s="1"/>
      <c r="UE180" s="1"/>
      <c r="UF180" s="1"/>
      <c r="UG180" s="1"/>
      <c r="UH180" s="1"/>
      <c r="UI180" s="1"/>
      <c r="UJ180" s="1"/>
      <c r="UK180" s="1"/>
      <c r="UL180" s="1"/>
      <c r="UM180" s="1"/>
      <c r="UN180" s="1"/>
      <c r="UO180" s="1"/>
      <c r="UP180" s="1"/>
      <c r="UQ180" s="1"/>
      <c r="UR180" s="1"/>
      <c r="US180" s="1"/>
      <c r="UT180" s="1"/>
      <c r="UU180" s="1"/>
      <c r="UV180" s="1"/>
      <c r="UW180" s="1"/>
      <c r="UX180" s="1"/>
      <c r="UY180" s="1"/>
      <c r="UZ180" s="1"/>
      <c r="VA180" s="1"/>
      <c r="VB180" s="1"/>
      <c r="VC180" s="1"/>
      <c r="VD180" s="1"/>
      <c r="VE180" s="1"/>
      <c r="VF180" s="1"/>
      <c r="VG180" s="1"/>
      <c r="VH180" s="1"/>
      <c r="VI180" s="1"/>
      <c r="VJ180" s="1"/>
      <c r="VK180" s="1"/>
      <c r="VL180" s="1"/>
      <c r="VM180" s="1"/>
      <c r="VN180" s="1"/>
      <c r="VO180" s="1"/>
      <c r="VP180" s="1"/>
      <c r="VQ180" s="1"/>
      <c r="VR180" s="1"/>
      <c r="VS180" s="1"/>
      <c r="VT180" s="1"/>
      <c r="VU180" s="1"/>
      <c r="VV180" s="1"/>
      <c r="VW180" s="1"/>
      <c r="VX180" s="1"/>
      <c r="VY180" s="1"/>
      <c r="VZ180" s="1"/>
      <c r="WA180" s="1"/>
      <c r="WB180" s="1"/>
      <c r="WC180" s="1"/>
      <c r="WD180" s="1"/>
      <c r="WE180" s="1"/>
      <c r="WF180" s="1"/>
      <c r="WG180" s="1"/>
      <c r="WH180" s="1"/>
      <c r="WI180" s="1"/>
      <c r="WJ180" s="1"/>
      <c r="WK180" s="1"/>
      <c r="WL180" s="1"/>
      <c r="WM180" s="1"/>
      <c r="WN180" s="1"/>
      <c r="WO180" s="1"/>
      <c r="WP180" s="1"/>
      <c r="WQ180" s="1"/>
      <c r="WR180" s="1"/>
      <c r="WS180" s="1"/>
      <c r="WT180" s="1"/>
      <c r="WU180" s="1"/>
      <c r="WV180" s="1"/>
      <c r="WW180" s="1"/>
      <c r="WX180" s="1"/>
      <c r="WY180" s="1"/>
      <c r="WZ180" s="1"/>
      <c r="XA180" s="1"/>
      <c r="XB180" s="1"/>
      <c r="XC180" s="1"/>
      <c r="XD180" s="1"/>
      <c r="XE180" s="1"/>
      <c r="XF180" s="1"/>
      <c r="XG180" s="1"/>
      <c r="XH180" s="1"/>
      <c r="XI180" s="1"/>
      <c r="XJ180" s="1"/>
      <c r="XK180" s="1"/>
      <c r="XL180" s="1"/>
      <c r="XM180" s="1"/>
      <c r="XN180" s="1"/>
      <c r="XO180" s="1"/>
      <c r="XP180" s="1"/>
      <c r="XQ180" s="1"/>
      <c r="XR180" s="1"/>
      <c r="XS180" s="1"/>
      <c r="XT180" s="1"/>
      <c r="XU180" s="1"/>
      <c r="XV180" s="1"/>
      <c r="XW180" s="1"/>
      <c r="XX180" s="1"/>
      <c r="XY180" s="1"/>
      <c r="XZ180" s="1"/>
      <c r="YA180" s="1"/>
      <c r="YB180" s="1"/>
      <c r="YC180" s="1"/>
      <c r="YD180" s="1"/>
      <c r="YE180" s="1"/>
      <c r="YF180" s="1"/>
      <c r="YG180" s="1"/>
      <c r="YH180" s="1"/>
      <c r="YI180" s="1"/>
      <c r="YJ180" s="1"/>
      <c r="YK180" s="1"/>
      <c r="YL180" s="1"/>
      <c r="YM180" s="1"/>
      <c r="YN180" s="1"/>
      <c r="YO180" s="1"/>
      <c r="YP180" s="1"/>
      <c r="YQ180" s="1"/>
      <c r="YR180" s="1"/>
      <c r="YS180" s="1"/>
      <c r="YT180" s="1"/>
      <c r="YU180" s="1"/>
      <c r="YV180" s="1"/>
      <c r="YW180" s="1"/>
      <c r="YX180" s="1"/>
      <c r="YY180" s="1"/>
      <c r="YZ180" s="1"/>
      <c r="ZA180" s="1"/>
      <c r="ZB180" s="1"/>
      <c r="ZC180" s="1"/>
      <c r="ZD180" s="1"/>
      <c r="ZE180" s="1"/>
      <c r="ZF180" s="1"/>
      <c r="ZG180" s="1"/>
      <c r="ZH180" s="1"/>
      <c r="ZI180" s="1"/>
      <c r="ZJ180" s="1"/>
      <c r="ZK180" s="1"/>
      <c r="ZL180" s="1"/>
      <c r="ZM180" s="1"/>
      <c r="ZN180" s="1"/>
      <c r="ZO180" s="1"/>
      <c r="ZP180" s="1"/>
      <c r="ZQ180" s="1"/>
      <c r="ZR180" s="1"/>
      <c r="ZS180" s="1"/>
      <c r="ZT180" s="1"/>
      <c r="ZU180" s="1"/>
      <c r="ZV180" s="1"/>
      <c r="ZW180" s="1"/>
      <c r="ZX180" s="1"/>
      <c r="ZY180" s="1"/>
      <c r="ZZ180" s="1"/>
      <c r="AAA180" s="1"/>
      <c r="AAB180" s="1"/>
      <c r="AAC180" s="1"/>
      <c r="AAD180" s="1"/>
      <c r="AAE180" s="1"/>
      <c r="AAF180" s="1"/>
      <c r="AAG180" s="1"/>
      <c r="AAH180" s="1"/>
      <c r="AAI180" s="1"/>
      <c r="AAJ180" s="1"/>
      <c r="AAK180" s="1"/>
      <c r="AAL180" s="1"/>
      <c r="AAM180" s="1"/>
      <c r="AAN180" s="1"/>
      <c r="AAO180" s="1"/>
      <c r="AAP180" s="1"/>
      <c r="AAQ180" s="1"/>
      <c r="AAR180" s="1"/>
      <c r="AAS180" s="1"/>
      <c r="AAT180" s="1"/>
      <c r="AAU180" s="1"/>
      <c r="AAV180" s="1"/>
      <c r="AAW180" s="1"/>
      <c r="AAX180" s="1"/>
      <c r="AAY180" s="1"/>
      <c r="AAZ180" s="1"/>
      <c r="ABA180" s="1"/>
      <c r="ABB180" s="1"/>
      <c r="ABC180" s="1"/>
      <c r="ABD180" s="1"/>
      <c r="ABE180" s="1"/>
      <c r="ABF180" s="1"/>
      <c r="ABG180" s="1"/>
      <c r="ABH180" s="1"/>
      <c r="ABI180" s="1"/>
      <c r="ABJ180" s="1"/>
      <c r="ABK180" s="1"/>
      <c r="ABL180" s="1"/>
      <c r="ABM180" s="1"/>
      <c r="ABN180" s="1"/>
      <c r="ABO180" s="1"/>
      <c r="ABP180" s="1"/>
      <c r="ABQ180" s="1"/>
      <c r="ABR180" s="1"/>
      <c r="ABS180" s="1"/>
      <c r="ABT180" s="1"/>
      <c r="ABU180" s="1"/>
      <c r="ABV180" s="1"/>
      <c r="ABW180" s="1"/>
      <c r="ABX180" s="1"/>
      <c r="ABY180" s="1"/>
      <c r="ABZ180" s="1"/>
      <c r="ACA180" s="1"/>
      <c r="ACB180" s="1"/>
      <c r="ACC180" s="1"/>
      <c r="ACD180" s="1"/>
      <c r="ACE180" s="1"/>
      <c r="ACF180" s="1"/>
      <c r="ACG180" s="1"/>
      <c r="ACH180" s="1"/>
      <c r="ACI180" s="1"/>
      <c r="ACJ180" s="1"/>
      <c r="ACK180" s="1"/>
      <c r="ACL180" s="1"/>
      <c r="ACM180" s="1"/>
      <c r="ACN180" s="1"/>
      <c r="ACO180" s="1"/>
      <c r="ACP180" s="1"/>
      <c r="ACQ180" s="1"/>
      <c r="ACR180" s="1"/>
      <c r="ACS180" s="1"/>
      <c r="ACT180" s="1"/>
      <c r="ACU180" s="1"/>
      <c r="ACV180" s="1"/>
      <c r="ACW180" s="1"/>
      <c r="ACX180" s="1"/>
      <c r="ACY180" s="1"/>
      <c r="ACZ180" s="1"/>
      <c r="ADA180" s="1"/>
      <c r="ADB180" s="1"/>
      <c r="ADC180" s="1"/>
      <c r="ADD180" s="1"/>
      <c r="ADE180" s="1"/>
      <c r="ADF180" s="1"/>
      <c r="ADG180" s="1"/>
      <c r="ADH180" s="1"/>
      <c r="ADI180" s="1"/>
      <c r="ADJ180" s="1"/>
      <c r="ADK180" s="1"/>
      <c r="ADL180" s="1"/>
      <c r="ADM180" s="1"/>
      <c r="ADN180" s="1"/>
      <c r="ADO180" s="1"/>
      <c r="ADP180" s="1"/>
      <c r="ADQ180" s="1"/>
      <c r="ADR180" s="1"/>
      <c r="ADS180" s="1"/>
      <c r="ADT180" s="1"/>
      <c r="ADU180" s="1"/>
      <c r="ADV180" s="1"/>
      <c r="ADW180" s="1"/>
      <c r="ADX180" s="1"/>
      <c r="ADY180" s="1"/>
      <c r="ADZ180" s="1"/>
      <c r="AEA180" s="1"/>
      <c r="AEB180" s="1"/>
      <c r="AEC180" s="1"/>
      <c r="AED180" s="1"/>
      <c r="AEE180" s="1"/>
      <c r="AEF180" s="1"/>
      <c r="AEG180" s="1"/>
      <c r="AEH180" s="1"/>
      <c r="AEI180" s="1"/>
      <c r="AEJ180" s="1"/>
      <c r="AEK180" s="1"/>
      <c r="AEL180" s="1"/>
      <c r="AEM180" s="1"/>
      <c r="AEN180" s="1"/>
      <c r="AEO180" s="1"/>
      <c r="AEP180" s="1"/>
      <c r="AEQ180" s="1"/>
      <c r="AER180" s="1"/>
      <c r="AES180" s="1"/>
      <c r="AET180" s="1"/>
      <c r="AEU180" s="1"/>
      <c r="AEV180" s="1"/>
      <c r="AEW180" s="1"/>
      <c r="AEX180" s="1"/>
      <c r="AEY180" s="1"/>
      <c r="AEZ180" s="1"/>
      <c r="AFA180" s="1"/>
      <c r="AFB180" s="1"/>
      <c r="AFC180" s="1"/>
      <c r="AFD180" s="1"/>
      <c r="AFE180" s="1"/>
      <c r="AFF180" s="1"/>
      <c r="AFG180" s="1"/>
      <c r="AFH180" s="1"/>
      <c r="AFI180" s="1"/>
      <c r="AFJ180" s="1"/>
      <c r="AFK180" s="1"/>
      <c r="AFL180" s="1"/>
      <c r="AFM180" s="1"/>
      <c r="AFN180" s="1"/>
      <c r="AFO180" s="1"/>
      <c r="AFP180" s="1"/>
      <c r="AFQ180" s="1"/>
      <c r="AFR180" s="1"/>
      <c r="AFS180" s="1"/>
      <c r="AFT180" s="1"/>
      <c r="AFU180" s="1"/>
      <c r="AFV180" s="1"/>
      <c r="AFW180" s="1"/>
      <c r="AFX180" s="1"/>
      <c r="AFY180" s="1"/>
      <c r="AFZ180" s="1"/>
      <c r="AGA180" s="1"/>
      <c r="AGB180" s="1"/>
      <c r="AGC180" s="1"/>
      <c r="AGD180" s="1"/>
      <c r="AGE180" s="1"/>
      <c r="AGF180" s="1"/>
      <c r="AGG180" s="1"/>
      <c r="AGH180" s="1"/>
      <c r="AGI180" s="1"/>
      <c r="AGJ180" s="1"/>
      <c r="AGK180" s="1"/>
      <c r="AGL180" s="1"/>
      <c r="AGM180" s="1"/>
      <c r="AGN180" s="1"/>
      <c r="AGO180" s="1"/>
      <c r="AGP180" s="1"/>
      <c r="AGQ180" s="1"/>
      <c r="AGR180" s="1"/>
      <c r="AGS180" s="1"/>
      <c r="AGT180" s="1"/>
      <c r="AGU180" s="1"/>
      <c r="AGV180" s="1"/>
      <c r="AGW180" s="1"/>
      <c r="AGX180" s="1"/>
      <c r="AGY180" s="1"/>
      <c r="AGZ180" s="1"/>
      <c r="AHA180" s="1"/>
      <c r="AHB180" s="1"/>
      <c r="AHC180" s="1"/>
      <c r="AHD180" s="1"/>
      <c r="AHE180" s="1"/>
      <c r="AHF180" s="1"/>
      <c r="AHG180" s="1"/>
      <c r="AHH180" s="1"/>
      <c r="AHI180" s="1"/>
      <c r="AHJ180" s="1"/>
      <c r="AHK180" s="1"/>
      <c r="AHL180" s="1"/>
      <c r="AHM180" s="1"/>
      <c r="AHN180" s="1"/>
      <c r="AHO180" s="1"/>
      <c r="AHP180" s="1"/>
      <c r="AHQ180" s="1"/>
      <c r="AHR180" s="1"/>
      <c r="AHS180" s="1"/>
      <c r="AHT180" s="1"/>
      <c r="AHU180" s="1"/>
      <c r="AHV180" s="1"/>
      <c r="AHW180" s="1"/>
      <c r="AHX180" s="1"/>
      <c r="AHY180" s="1"/>
      <c r="AHZ180" s="1"/>
      <c r="AIA180" s="1"/>
      <c r="AIB180" s="1"/>
      <c r="AIC180" s="1"/>
      <c r="AID180" s="1"/>
      <c r="AIE180" s="1"/>
      <c r="AIF180" s="1"/>
      <c r="AIG180" s="1"/>
      <c r="AIH180" s="1"/>
      <c r="AII180" s="1"/>
      <c r="AIJ180" s="1"/>
      <c r="AIK180" s="1"/>
      <c r="AIL180" s="1"/>
      <c r="AIM180" s="1"/>
      <c r="AIN180" s="1"/>
      <c r="AIO180" s="1"/>
      <c r="AIP180" s="1"/>
      <c r="AIQ180" s="1"/>
      <c r="AIR180" s="1"/>
      <c r="AIS180" s="1"/>
      <c r="AIT180" s="1"/>
      <c r="AIU180" s="1"/>
      <c r="AIV180" s="1"/>
      <c r="AIW180" s="1"/>
      <c r="AIX180" s="1"/>
      <c r="AIY180" s="1"/>
      <c r="AIZ180" s="1"/>
      <c r="AJA180" s="1"/>
      <c r="AJB180" s="1"/>
      <c r="AJC180" s="1"/>
      <c r="AJD180" s="1"/>
      <c r="AJE180" s="1"/>
      <c r="AJF180" s="1"/>
      <c r="AJG180" s="1"/>
      <c r="AJH180" s="1"/>
      <c r="AJI180" s="1"/>
      <c r="AJJ180" s="1"/>
      <c r="AJK180" s="1"/>
      <c r="AJL180" s="1"/>
      <c r="AJM180" s="1"/>
      <c r="AJN180" s="1"/>
      <c r="AJO180" s="1"/>
      <c r="AJP180" s="1"/>
      <c r="AJQ180" s="1"/>
      <c r="AJR180" s="1"/>
      <c r="AJS180" s="1"/>
      <c r="AJT180" s="1"/>
      <c r="AJU180" s="1"/>
      <c r="AJV180" s="1"/>
      <c r="AJW180" s="1"/>
      <c r="AJX180" s="1"/>
      <c r="AJY180" s="1"/>
      <c r="AJZ180" s="1"/>
      <c r="AKA180" s="1"/>
      <c r="AKB180" s="1"/>
      <c r="AKC180" s="1"/>
      <c r="AKD180" s="1"/>
      <c r="AKE180" s="1"/>
      <c r="AKF180" s="1"/>
      <c r="AKG180" s="1"/>
      <c r="AKH180" s="1"/>
      <c r="AKI180" s="1"/>
      <c r="AKJ180" s="1"/>
      <c r="AKK180" s="1"/>
      <c r="AKL180" s="1"/>
      <c r="AKM180" s="1"/>
      <c r="AKN180" s="1"/>
      <c r="AKO180" s="1"/>
      <c r="AKP180" s="1"/>
      <c r="AKQ180" s="1"/>
      <c r="AKR180" s="1"/>
      <c r="AKS180" s="1"/>
      <c r="AKT180" s="1"/>
      <c r="AKU180" s="1"/>
      <c r="AKV180" s="1"/>
      <c r="AKW180" s="1"/>
      <c r="AKX180" s="1"/>
      <c r="AKY180" s="1"/>
      <c r="AKZ180" s="1"/>
      <c r="ALA180" s="1"/>
      <c r="ALB180" s="1"/>
      <c r="ALC180" s="1"/>
      <c r="ALD180" s="1"/>
      <c r="ALE180" s="1"/>
      <c r="ALF180" s="1"/>
      <c r="ALG180" s="1"/>
      <c r="ALH180" s="1"/>
      <c r="ALI180" s="1"/>
      <c r="ALJ180" s="1"/>
      <c r="ALK180" s="1"/>
      <c r="ALL180" s="1"/>
      <c r="ALM180" s="1"/>
      <c r="ALN180" s="1"/>
      <c r="ALO180" s="1"/>
      <c r="ALP180" s="1"/>
      <c r="ALQ180" s="1"/>
      <c r="ALR180" s="1"/>
      <c r="ALS180" s="1"/>
      <c r="ALT180" s="1"/>
      <c r="ALU180" s="1"/>
      <c r="ALV180" s="1"/>
      <c r="ALW180" s="1"/>
      <c r="ALX180" s="1"/>
      <c r="ALY180" s="1"/>
      <c r="ALZ180" s="1"/>
      <c r="AMA180" s="1"/>
      <c r="AMB180" s="1"/>
      <c r="AMC180" s="1"/>
      <c r="AMD180" s="1"/>
      <c r="AME180" s="1"/>
      <c r="AMF180" s="1"/>
      <c r="AMG180" s="1"/>
      <c r="AMH180" s="1"/>
      <c r="AMI180" s="1"/>
      <c r="AMJ180" s="1"/>
    </row>
    <row r="181" customFormat="false" ht="2.25" hidden="false" customHeight="true" outlineLevel="0" collapsed="false">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75"/>
      <c r="AM181" s="75"/>
      <c r="AN181" s="75"/>
      <c r="AO181" s="76"/>
      <c r="BE181" s="1"/>
      <c r="BF181" s="1"/>
      <c r="BG181" s="1"/>
      <c r="BH181" s="1"/>
      <c r="BI181" s="1"/>
      <c r="BJ181" s="1"/>
      <c r="BK181" s="1"/>
      <c r="BL181" s="1"/>
      <c r="BM181" s="1"/>
      <c r="BN181" s="1"/>
      <c r="BO181" s="1"/>
      <c r="BP181" s="1"/>
      <c r="BQ181" s="1"/>
      <c r="BR181" s="1"/>
      <c r="BS181" s="1"/>
      <c r="BT181" s="1"/>
      <c r="BU181" s="1"/>
      <c r="BV181" s="1"/>
      <c r="BW181" s="1"/>
      <c r="BX181" s="1"/>
      <c r="BY181" s="1"/>
      <c r="BZ181" s="1"/>
      <c r="CA181" s="1"/>
      <c r="CB181" s="1"/>
      <c r="CC181" s="1"/>
      <c r="CD181" s="1"/>
      <c r="CE181" s="1"/>
      <c r="CF181" s="1"/>
      <c r="CG181" s="1"/>
      <c r="CH181" s="1"/>
      <c r="CI181" s="1"/>
      <c r="CJ181" s="1"/>
      <c r="CK181" s="1"/>
      <c r="CL181" s="1"/>
      <c r="CM181" s="1"/>
      <c r="CN181" s="1"/>
      <c r="CO181" s="1"/>
      <c r="CP181" s="1"/>
      <c r="CQ181" s="1"/>
      <c r="CR181" s="1"/>
      <c r="CS181" s="1"/>
      <c r="CT181" s="1"/>
      <c r="CU181" s="1"/>
      <c r="CV181" s="1"/>
      <c r="CW181" s="1"/>
      <c r="CX181" s="1"/>
      <c r="CY181" s="1"/>
      <c r="CZ181" s="1"/>
      <c r="DA181" s="1"/>
      <c r="DB181" s="1"/>
      <c r="DC181" s="1"/>
      <c r="DD181" s="1"/>
      <c r="DE181" s="1"/>
      <c r="DF181" s="1"/>
      <c r="DG181" s="1"/>
      <c r="DH181" s="1"/>
      <c r="DI181" s="1"/>
      <c r="DJ181" s="1"/>
      <c r="DK181" s="1"/>
      <c r="DL181" s="1"/>
      <c r="DM181" s="1"/>
      <c r="DN181" s="1"/>
      <c r="DO181" s="1"/>
      <c r="DP181" s="1"/>
      <c r="DQ181" s="1"/>
      <c r="DR181" s="1"/>
      <c r="DS181" s="1"/>
      <c r="DT181" s="1"/>
      <c r="DU181" s="1"/>
      <c r="DV181" s="1"/>
      <c r="DW181" s="1"/>
      <c r="DX181" s="1"/>
      <c r="DY181" s="1"/>
      <c r="DZ181" s="1"/>
      <c r="EA181" s="1"/>
      <c r="EB181" s="1"/>
      <c r="EC181" s="1"/>
      <c r="ED181" s="1"/>
      <c r="EE181" s="1"/>
      <c r="EF181" s="1"/>
      <c r="EG181" s="1"/>
      <c r="EH181" s="1"/>
      <c r="EI181" s="1"/>
      <c r="EJ181" s="1"/>
      <c r="EK181" s="1"/>
      <c r="EL181" s="1"/>
      <c r="EM181" s="1"/>
      <c r="EN181" s="1"/>
      <c r="EO181" s="1"/>
      <c r="EP181" s="1"/>
      <c r="EQ181" s="1"/>
      <c r="ER181" s="1"/>
      <c r="ES181" s="1"/>
      <c r="ET181" s="1"/>
      <c r="EU181" s="1"/>
      <c r="EV181" s="1"/>
      <c r="EW181" s="1"/>
      <c r="EX181" s="1"/>
      <c r="EY181" s="1"/>
      <c r="EZ181" s="1"/>
      <c r="FA181" s="1"/>
      <c r="FB181" s="1"/>
      <c r="FC181" s="1"/>
      <c r="FD181" s="1"/>
      <c r="FE181" s="1"/>
      <c r="FF181" s="1"/>
      <c r="FG181" s="1"/>
      <c r="FH181" s="1"/>
      <c r="FI181" s="1"/>
      <c r="FJ181" s="1"/>
      <c r="FK181" s="1"/>
      <c r="FL181" s="1"/>
      <c r="FM181" s="1"/>
      <c r="FN181" s="1"/>
      <c r="FO181" s="1"/>
      <c r="FP181" s="1"/>
      <c r="FQ181" s="1"/>
      <c r="FR181" s="1"/>
      <c r="FS181" s="1"/>
      <c r="FT181" s="1"/>
      <c r="FU181" s="1"/>
      <c r="FV181" s="1"/>
      <c r="FW181" s="1"/>
      <c r="FX181" s="1"/>
      <c r="FY181" s="1"/>
      <c r="FZ181" s="1"/>
      <c r="GA181" s="1"/>
      <c r="GB181" s="1"/>
      <c r="GC181" s="1"/>
      <c r="GD181" s="1"/>
      <c r="GE181" s="1"/>
      <c r="GF181" s="1"/>
      <c r="GG181" s="1"/>
      <c r="GH181" s="1"/>
      <c r="GI181" s="1"/>
      <c r="GJ181" s="1"/>
      <c r="GK181" s="1"/>
      <c r="GL181" s="1"/>
      <c r="GM181" s="1"/>
      <c r="GN181" s="1"/>
      <c r="GO181" s="1"/>
      <c r="GP181" s="1"/>
      <c r="GQ181" s="1"/>
      <c r="GR181" s="1"/>
      <c r="GS181" s="1"/>
      <c r="GT181" s="1"/>
      <c r="GU181" s="1"/>
      <c r="GV181" s="1"/>
      <c r="GW181" s="1"/>
      <c r="GX181" s="1"/>
      <c r="GY181" s="1"/>
      <c r="GZ181" s="1"/>
      <c r="HA181" s="1"/>
      <c r="HB181" s="1"/>
      <c r="HC181" s="1"/>
      <c r="HD181" s="1"/>
      <c r="HE181" s="1"/>
      <c r="HF181" s="1"/>
      <c r="HG181" s="1"/>
      <c r="HH181" s="1"/>
      <c r="HI181" s="1"/>
      <c r="HJ181" s="1"/>
      <c r="HK181" s="1"/>
      <c r="HL181" s="1"/>
      <c r="HM181" s="1"/>
      <c r="HN181" s="1"/>
      <c r="HO181" s="1"/>
      <c r="HP181" s="1"/>
      <c r="HQ181" s="1"/>
      <c r="HR181" s="1"/>
      <c r="HS181" s="1"/>
      <c r="HT181" s="1"/>
      <c r="HU181" s="1"/>
      <c r="HV181" s="1"/>
      <c r="HW181" s="1"/>
      <c r="HX181" s="1"/>
      <c r="HY181" s="1"/>
      <c r="HZ181" s="1"/>
      <c r="IA181" s="1"/>
      <c r="IB181" s="1"/>
      <c r="IC181" s="1"/>
      <c r="ID181" s="1"/>
      <c r="IE181" s="1"/>
      <c r="IF181" s="1"/>
      <c r="IG181" s="1"/>
      <c r="IH181" s="1"/>
      <c r="II181" s="1"/>
      <c r="IJ181" s="1"/>
      <c r="IK181" s="1"/>
      <c r="IL181" s="1"/>
      <c r="IM181" s="1"/>
      <c r="IN181" s="1"/>
      <c r="IO181" s="1"/>
      <c r="IP181" s="1"/>
      <c r="IQ181" s="1"/>
      <c r="IR181" s="1"/>
      <c r="IS181" s="1"/>
      <c r="IT181" s="1"/>
      <c r="IU181" s="1"/>
      <c r="IV181" s="1"/>
      <c r="IW181" s="1"/>
      <c r="IX181" s="1"/>
      <c r="IY181" s="1"/>
      <c r="IZ181" s="1"/>
      <c r="JA181" s="1"/>
      <c r="JB181" s="1"/>
      <c r="JC181" s="1"/>
      <c r="JD181" s="1"/>
      <c r="JE181" s="1"/>
      <c r="JF181" s="1"/>
      <c r="JG181" s="1"/>
      <c r="JH181" s="1"/>
      <c r="JI181" s="1"/>
      <c r="JJ181" s="1"/>
      <c r="JK181" s="1"/>
      <c r="JL181" s="1"/>
      <c r="JM181" s="1"/>
      <c r="JN181" s="1"/>
      <c r="JO181" s="1"/>
      <c r="JP181" s="1"/>
      <c r="JQ181" s="1"/>
      <c r="JR181" s="1"/>
      <c r="JS181" s="1"/>
      <c r="JT181" s="1"/>
      <c r="JU181" s="1"/>
      <c r="JV181" s="1"/>
      <c r="JW181" s="1"/>
      <c r="JX181" s="1"/>
      <c r="JY181" s="1"/>
      <c r="JZ181" s="1"/>
      <c r="KA181" s="1"/>
      <c r="KB181" s="1"/>
      <c r="KC181" s="1"/>
      <c r="KD181" s="1"/>
      <c r="KE181" s="1"/>
      <c r="KF181" s="1"/>
      <c r="KG181" s="1"/>
      <c r="KH181" s="1"/>
      <c r="KI181" s="1"/>
      <c r="KJ181" s="1"/>
      <c r="KK181" s="1"/>
      <c r="KL181" s="1"/>
      <c r="KM181" s="1"/>
      <c r="KN181" s="1"/>
      <c r="KO181" s="1"/>
      <c r="KP181" s="1"/>
      <c r="KQ181" s="1"/>
      <c r="KR181" s="1"/>
      <c r="KS181" s="1"/>
      <c r="KT181" s="1"/>
      <c r="KU181" s="1"/>
      <c r="KV181" s="1"/>
      <c r="KW181" s="1"/>
      <c r="KX181" s="1"/>
      <c r="KY181" s="1"/>
      <c r="KZ181" s="1"/>
      <c r="LA181" s="1"/>
      <c r="LB181" s="1"/>
      <c r="LC181" s="1"/>
      <c r="LD181" s="1"/>
      <c r="LE181" s="1"/>
      <c r="LF181" s="1"/>
      <c r="LG181" s="1"/>
      <c r="LH181" s="1"/>
      <c r="LI181" s="1"/>
      <c r="LJ181" s="1"/>
      <c r="LK181" s="1"/>
      <c r="LL181" s="1"/>
      <c r="LM181" s="1"/>
      <c r="LN181" s="1"/>
      <c r="LO181" s="1"/>
      <c r="LP181" s="1"/>
      <c r="LQ181" s="1"/>
      <c r="LR181" s="1"/>
      <c r="LS181" s="1"/>
      <c r="LT181" s="1"/>
      <c r="LU181" s="1"/>
      <c r="LV181" s="1"/>
      <c r="LW181" s="1"/>
      <c r="LX181" s="1"/>
      <c r="LY181" s="1"/>
      <c r="LZ181" s="1"/>
      <c r="MA181" s="1"/>
      <c r="MB181" s="1"/>
      <c r="MC181" s="1"/>
      <c r="MD181" s="1"/>
      <c r="ME181" s="1"/>
      <c r="MF181" s="1"/>
      <c r="MG181" s="1"/>
      <c r="MH181" s="1"/>
      <c r="MI181" s="1"/>
      <c r="MJ181" s="1"/>
      <c r="MK181" s="1"/>
      <c r="ML181" s="1"/>
      <c r="MM181" s="1"/>
      <c r="MN181" s="1"/>
      <c r="MO181" s="1"/>
      <c r="MP181" s="1"/>
      <c r="MQ181" s="1"/>
      <c r="MR181" s="1"/>
      <c r="MS181" s="1"/>
      <c r="MT181" s="1"/>
      <c r="MU181" s="1"/>
      <c r="MV181" s="1"/>
      <c r="MW181" s="1"/>
      <c r="MX181" s="1"/>
      <c r="MY181" s="1"/>
      <c r="MZ181" s="1"/>
      <c r="NA181" s="1"/>
      <c r="NB181" s="1"/>
      <c r="NC181" s="1"/>
      <c r="ND181" s="1"/>
      <c r="NE181" s="1"/>
      <c r="NF181" s="1"/>
      <c r="NG181" s="1"/>
      <c r="NH181" s="1"/>
      <c r="NI181" s="1"/>
      <c r="NJ181" s="1"/>
      <c r="NK181" s="1"/>
      <c r="NL181" s="1"/>
      <c r="NM181" s="1"/>
      <c r="NN181" s="1"/>
      <c r="NO181" s="1"/>
      <c r="NP181" s="1"/>
      <c r="NQ181" s="1"/>
      <c r="NR181" s="1"/>
      <c r="NS181" s="1"/>
      <c r="NT181" s="1"/>
      <c r="NU181" s="1"/>
      <c r="NV181" s="1"/>
      <c r="NW181" s="1"/>
      <c r="NX181" s="1"/>
      <c r="NY181" s="1"/>
      <c r="NZ181" s="1"/>
      <c r="OA181" s="1"/>
      <c r="OB181" s="1"/>
      <c r="OC181" s="1"/>
      <c r="OD181" s="1"/>
      <c r="OE181" s="1"/>
      <c r="OF181" s="1"/>
      <c r="OG181" s="1"/>
      <c r="OH181" s="1"/>
      <c r="OI181" s="1"/>
      <c r="OJ181" s="1"/>
      <c r="OK181" s="1"/>
      <c r="OL181" s="1"/>
      <c r="OM181" s="1"/>
      <c r="ON181" s="1"/>
      <c r="OO181" s="1"/>
      <c r="OP181" s="1"/>
      <c r="OQ181" s="1"/>
      <c r="OR181" s="1"/>
      <c r="OS181" s="1"/>
      <c r="OT181" s="1"/>
      <c r="OU181" s="1"/>
      <c r="OV181" s="1"/>
      <c r="OW181" s="1"/>
      <c r="OX181" s="1"/>
      <c r="OY181" s="1"/>
      <c r="OZ181" s="1"/>
      <c r="PA181" s="1"/>
      <c r="PB181" s="1"/>
      <c r="PC181" s="1"/>
      <c r="PD181" s="1"/>
      <c r="PE181" s="1"/>
      <c r="PF181" s="1"/>
      <c r="PG181" s="1"/>
      <c r="PH181" s="1"/>
      <c r="PI181" s="1"/>
      <c r="PJ181" s="1"/>
      <c r="PK181" s="1"/>
      <c r="PL181" s="1"/>
      <c r="PM181" s="1"/>
      <c r="PN181" s="1"/>
      <c r="PO181" s="1"/>
      <c r="PP181" s="1"/>
      <c r="PQ181" s="1"/>
      <c r="PR181" s="1"/>
      <c r="PS181" s="1"/>
      <c r="PT181" s="1"/>
      <c r="PU181" s="1"/>
      <c r="PV181" s="1"/>
      <c r="PW181" s="1"/>
      <c r="PX181" s="1"/>
      <c r="PY181" s="1"/>
      <c r="PZ181" s="1"/>
      <c r="QA181" s="1"/>
      <c r="QB181" s="1"/>
      <c r="QC181" s="1"/>
      <c r="QD181" s="1"/>
      <c r="QE181" s="1"/>
      <c r="QF181" s="1"/>
      <c r="QG181" s="1"/>
      <c r="QH181" s="1"/>
      <c r="QI181" s="1"/>
      <c r="QJ181" s="1"/>
      <c r="QK181" s="1"/>
      <c r="QL181" s="1"/>
      <c r="QM181" s="1"/>
      <c r="QN181" s="1"/>
      <c r="QO181" s="1"/>
      <c r="QP181" s="1"/>
      <c r="QQ181" s="1"/>
      <c r="QR181" s="1"/>
      <c r="QS181" s="1"/>
      <c r="QT181" s="1"/>
      <c r="QU181" s="1"/>
      <c r="QV181" s="1"/>
      <c r="QW181" s="1"/>
      <c r="QX181" s="1"/>
      <c r="QY181" s="1"/>
      <c r="QZ181" s="1"/>
      <c r="RA181" s="1"/>
      <c r="RB181" s="1"/>
      <c r="RC181" s="1"/>
      <c r="RD181" s="1"/>
      <c r="RE181" s="1"/>
      <c r="RF181" s="1"/>
      <c r="RG181" s="1"/>
      <c r="RH181" s="1"/>
      <c r="RI181" s="1"/>
      <c r="RJ181" s="1"/>
      <c r="RK181" s="1"/>
      <c r="RL181" s="1"/>
      <c r="RM181" s="1"/>
      <c r="RN181" s="1"/>
      <c r="RO181" s="1"/>
      <c r="RP181" s="1"/>
      <c r="RQ181" s="1"/>
      <c r="RR181" s="1"/>
      <c r="RS181" s="1"/>
      <c r="RT181" s="1"/>
      <c r="RU181" s="1"/>
      <c r="RV181" s="1"/>
      <c r="RW181" s="1"/>
      <c r="RX181" s="1"/>
      <c r="RY181" s="1"/>
      <c r="RZ181" s="1"/>
      <c r="SA181" s="1"/>
      <c r="SB181" s="1"/>
      <c r="SC181" s="1"/>
      <c r="SD181" s="1"/>
      <c r="SE181" s="1"/>
      <c r="SF181" s="1"/>
      <c r="SG181" s="1"/>
      <c r="SH181" s="1"/>
      <c r="SI181" s="1"/>
      <c r="SJ181" s="1"/>
      <c r="SK181" s="1"/>
      <c r="SL181" s="1"/>
      <c r="SM181" s="1"/>
      <c r="SN181" s="1"/>
      <c r="SO181" s="1"/>
      <c r="SP181" s="1"/>
      <c r="SQ181" s="1"/>
      <c r="SR181" s="1"/>
      <c r="SS181" s="1"/>
      <c r="ST181" s="1"/>
      <c r="SU181" s="1"/>
      <c r="SV181" s="1"/>
      <c r="SW181" s="1"/>
      <c r="SX181" s="1"/>
      <c r="SY181" s="1"/>
      <c r="SZ181" s="1"/>
      <c r="TA181" s="1"/>
      <c r="TB181" s="1"/>
      <c r="TC181" s="1"/>
      <c r="TD181" s="1"/>
      <c r="TE181" s="1"/>
      <c r="TF181" s="1"/>
      <c r="TG181" s="1"/>
      <c r="TH181" s="1"/>
      <c r="TI181" s="1"/>
      <c r="TJ181" s="1"/>
      <c r="TK181" s="1"/>
      <c r="TL181" s="1"/>
      <c r="TM181" s="1"/>
      <c r="TN181" s="1"/>
      <c r="TO181" s="1"/>
      <c r="TP181" s="1"/>
      <c r="TQ181" s="1"/>
      <c r="TR181" s="1"/>
      <c r="TS181" s="1"/>
      <c r="TT181" s="1"/>
      <c r="TU181" s="1"/>
      <c r="TV181" s="1"/>
      <c r="TW181" s="1"/>
      <c r="TX181" s="1"/>
      <c r="TY181" s="1"/>
      <c r="TZ181" s="1"/>
      <c r="UA181" s="1"/>
      <c r="UB181" s="1"/>
      <c r="UC181" s="1"/>
      <c r="UD181" s="1"/>
      <c r="UE181" s="1"/>
      <c r="UF181" s="1"/>
      <c r="UG181" s="1"/>
      <c r="UH181" s="1"/>
      <c r="UI181" s="1"/>
      <c r="UJ181" s="1"/>
      <c r="UK181" s="1"/>
      <c r="UL181" s="1"/>
      <c r="UM181" s="1"/>
      <c r="UN181" s="1"/>
      <c r="UO181" s="1"/>
      <c r="UP181" s="1"/>
      <c r="UQ181" s="1"/>
      <c r="UR181" s="1"/>
      <c r="US181" s="1"/>
      <c r="UT181" s="1"/>
      <c r="UU181" s="1"/>
      <c r="UV181" s="1"/>
      <c r="UW181" s="1"/>
      <c r="UX181" s="1"/>
      <c r="UY181" s="1"/>
      <c r="UZ181" s="1"/>
      <c r="VA181" s="1"/>
      <c r="VB181" s="1"/>
      <c r="VC181" s="1"/>
      <c r="VD181" s="1"/>
      <c r="VE181" s="1"/>
      <c r="VF181" s="1"/>
      <c r="VG181" s="1"/>
      <c r="VH181" s="1"/>
      <c r="VI181" s="1"/>
      <c r="VJ181" s="1"/>
      <c r="VK181" s="1"/>
      <c r="VL181" s="1"/>
      <c r="VM181" s="1"/>
      <c r="VN181" s="1"/>
      <c r="VO181" s="1"/>
      <c r="VP181" s="1"/>
      <c r="VQ181" s="1"/>
      <c r="VR181" s="1"/>
      <c r="VS181" s="1"/>
      <c r="VT181" s="1"/>
      <c r="VU181" s="1"/>
      <c r="VV181" s="1"/>
      <c r="VW181" s="1"/>
      <c r="VX181" s="1"/>
      <c r="VY181" s="1"/>
      <c r="VZ181" s="1"/>
      <c r="WA181" s="1"/>
      <c r="WB181" s="1"/>
      <c r="WC181" s="1"/>
      <c r="WD181" s="1"/>
      <c r="WE181" s="1"/>
      <c r="WF181" s="1"/>
      <c r="WG181" s="1"/>
      <c r="WH181" s="1"/>
      <c r="WI181" s="1"/>
      <c r="WJ181" s="1"/>
      <c r="WK181" s="1"/>
      <c r="WL181" s="1"/>
      <c r="WM181" s="1"/>
      <c r="WN181" s="1"/>
      <c r="WO181" s="1"/>
      <c r="WP181" s="1"/>
      <c r="WQ181" s="1"/>
      <c r="WR181" s="1"/>
      <c r="WS181" s="1"/>
      <c r="WT181" s="1"/>
      <c r="WU181" s="1"/>
      <c r="WV181" s="1"/>
      <c r="WW181" s="1"/>
      <c r="WX181" s="1"/>
      <c r="WY181" s="1"/>
      <c r="WZ181" s="1"/>
      <c r="XA181" s="1"/>
      <c r="XB181" s="1"/>
      <c r="XC181" s="1"/>
      <c r="XD181" s="1"/>
      <c r="XE181" s="1"/>
      <c r="XF181" s="1"/>
      <c r="XG181" s="1"/>
      <c r="XH181" s="1"/>
      <c r="XI181" s="1"/>
      <c r="XJ181" s="1"/>
      <c r="XK181" s="1"/>
      <c r="XL181" s="1"/>
      <c r="XM181" s="1"/>
      <c r="XN181" s="1"/>
      <c r="XO181" s="1"/>
      <c r="XP181" s="1"/>
      <c r="XQ181" s="1"/>
      <c r="XR181" s="1"/>
      <c r="XS181" s="1"/>
      <c r="XT181" s="1"/>
      <c r="XU181" s="1"/>
      <c r="XV181" s="1"/>
      <c r="XW181" s="1"/>
      <c r="XX181" s="1"/>
      <c r="XY181" s="1"/>
      <c r="XZ181" s="1"/>
      <c r="YA181" s="1"/>
      <c r="YB181" s="1"/>
      <c r="YC181" s="1"/>
      <c r="YD181" s="1"/>
      <c r="YE181" s="1"/>
      <c r="YF181" s="1"/>
      <c r="YG181" s="1"/>
      <c r="YH181" s="1"/>
      <c r="YI181" s="1"/>
      <c r="YJ181" s="1"/>
      <c r="YK181" s="1"/>
      <c r="YL181" s="1"/>
      <c r="YM181" s="1"/>
      <c r="YN181" s="1"/>
      <c r="YO181" s="1"/>
      <c r="YP181" s="1"/>
      <c r="YQ181" s="1"/>
      <c r="YR181" s="1"/>
      <c r="YS181" s="1"/>
      <c r="YT181" s="1"/>
      <c r="YU181" s="1"/>
      <c r="YV181" s="1"/>
      <c r="YW181" s="1"/>
      <c r="YX181" s="1"/>
      <c r="YY181" s="1"/>
      <c r="YZ181" s="1"/>
      <c r="ZA181" s="1"/>
      <c r="ZB181" s="1"/>
      <c r="ZC181" s="1"/>
      <c r="ZD181" s="1"/>
      <c r="ZE181" s="1"/>
      <c r="ZF181" s="1"/>
      <c r="ZG181" s="1"/>
      <c r="ZH181" s="1"/>
      <c r="ZI181" s="1"/>
      <c r="ZJ181" s="1"/>
      <c r="ZK181" s="1"/>
      <c r="ZL181" s="1"/>
      <c r="ZM181" s="1"/>
      <c r="ZN181" s="1"/>
      <c r="ZO181" s="1"/>
      <c r="ZP181" s="1"/>
      <c r="ZQ181" s="1"/>
      <c r="ZR181" s="1"/>
      <c r="ZS181" s="1"/>
      <c r="ZT181" s="1"/>
      <c r="ZU181" s="1"/>
      <c r="ZV181" s="1"/>
      <c r="ZW181" s="1"/>
      <c r="ZX181" s="1"/>
      <c r="ZY181" s="1"/>
      <c r="ZZ181" s="1"/>
      <c r="AAA181" s="1"/>
      <c r="AAB181" s="1"/>
      <c r="AAC181" s="1"/>
      <c r="AAD181" s="1"/>
      <c r="AAE181" s="1"/>
      <c r="AAF181" s="1"/>
      <c r="AAG181" s="1"/>
      <c r="AAH181" s="1"/>
      <c r="AAI181" s="1"/>
      <c r="AAJ181" s="1"/>
      <c r="AAK181" s="1"/>
      <c r="AAL181" s="1"/>
      <c r="AAM181" s="1"/>
      <c r="AAN181" s="1"/>
      <c r="AAO181" s="1"/>
      <c r="AAP181" s="1"/>
      <c r="AAQ181" s="1"/>
      <c r="AAR181" s="1"/>
      <c r="AAS181" s="1"/>
      <c r="AAT181" s="1"/>
      <c r="AAU181" s="1"/>
      <c r="AAV181" s="1"/>
      <c r="AAW181" s="1"/>
      <c r="AAX181" s="1"/>
      <c r="AAY181" s="1"/>
      <c r="AAZ181" s="1"/>
      <c r="ABA181" s="1"/>
      <c r="ABB181" s="1"/>
      <c r="ABC181" s="1"/>
      <c r="ABD181" s="1"/>
      <c r="ABE181" s="1"/>
      <c r="ABF181" s="1"/>
      <c r="ABG181" s="1"/>
      <c r="ABH181" s="1"/>
      <c r="ABI181" s="1"/>
      <c r="ABJ181" s="1"/>
      <c r="ABK181" s="1"/>
      <c r="ABL181" s="1"/>
      <c r="ABM181" s="1"/>
      <c r="ABN181" s="1"/>
      <c r="ABO181" s="1"/>
      <c r="ABP181" s="1"/>
      <c r="ABQ181" s="1"/>
      <c r="ABR181" s="1"/>
      <c r="ABS181" s="1"/>
      <c r="ABT181" s="1"/>
      <c r="ABU181" s="1"/>
      <c r="ABV181" s="1"/>
      <c r="ABW181" s="1"/>
      <c r="ABX181" s="1"/>
      <c r="ABY181" s="1"/>
      <c r="ABZ181" s="1"/>
      <c r="ACA181" s="1"/>
      <c r="ACB181" s="1"/>
      <c r="ACC181" s="1"/>
      <c r="ACD181" s="1"/>
      <c r="ACE181" s="1"/>
      <c r="ACF181" s="1"/>
      <c r="ACG181" s="1"/>
      <c r="ACH181" s="1"/>
      <c r="ACI181" s="1"/>
      <c r="ACJ181" s="1"/>
      <c r="ACK181" s="1"/>
      <c r="ACL181" s="1"/>
      <c r="ACM181" s="1"/>
      <c r="ACN181" s="1"/>
      <c r="ACO181" s="1"/>
      <c r="ACP181" s="1"/>
      <c r="ACQ181" s="1"/>
      <c r="ACR181" s="1"/>
      <c r="ACS181" s="1"/>
      <c r="ACT181" s="1"/>
      <c r="ACU181" s="1"/>
      <c r="ACV181" s="1"/>
      <c r="ACW181" s="1"/>
      <c r="ACX181" s="1"/>
      <c r="ACY181" s="1"/>
      <c r="ACZ181" s="1"/>
      <c r="ADA181" s="1"/>
      <c r="ADB181" s="1"/>
      <c r="ADC181" s="1"/>
      <c r="ADD181" s="1"/>
      <c r="ADE181" s="1"/>
      <c r="ADF181" s="1"/>
      <c r="ADG181" s="1"/>
      <c r="ADH181" s="1"/>
      <c r="ADI181" s="1"/>
      <c r="ADJ181" s="1"/>
      <c r="ADK181" s="1"/>
      <c r="ADL181" s="1"/>
      <c r="ADM181" s="1"/>
      <c r="ADN181" s="1"/>
      <c r="ADO181" s="1"/>
      <c r="ADP181" s="1"/>
      <c r="ADQ181" s="1"/>
      <c r="ADR181" s="1"/>
      <c r="ADS181" s="1"/>
      <c r="ADT181" s="1"/>
      <c r="ADU181" s="1"/>
      <c r="ADV181" s="1"/>
      <c r="ADW181" s="1"/>
      <c r="ADX181" s="1"/>
      <c r="ADY181" s="1"/>
      <c r="ADZ181" s="1"/>
      <c r="AEA181" s="1"/>
      <c r="AEB181" s="1"/>
      <c r="AEC181" s="1"/>
      <c r="AED181" s="1"/>
      <c r="AEE181" s="1"/>
      <c r="AEF181" s="1"/>
      <c r="AEG181" s="1"/>
      <c r="AEH181" s="1"/>
      <c r="AEI181" s="1"/>
      <c r="AEJ181" s="1"/>
      <c r="AEK181" s="1"/>
      <c r="AEL181" s="1"/>
      <c r="AEM181" s="1"/>
      <c r="AEN181" s="1"/>
      <c r="AEO181" s="1"/>
      <c r="AEP181" s="1"/>
      <c r="AEQ181" s="1"/>
      <c r="AER181" s="1"/>
      <c r="AES181" s="1"/>
      <c r="AET181" s="1"/>
      <c r="AEU181" s="1"/>
      <c r="AEV181" s="1"/>
      <c r="AEW181" s="1"/>
      <c r="AEX181" s="1"/>
      <c r="AEY181" s="1"/>
      <c r="AEZ181" s="1"/>
      <c r="AFA181" s="1"/>
      <c r="AFB181" s="1"/>
      <c r="AFC181" s="1"/>
      <c r="AFD181" s="1"/>
      <c r="AFE181" s="1"/>
      <c r="AFF181" s="1"/>
      <c r="AFG181" s="1"/>
      <c r="AFH181" s="1"/>
      <c r="AFI181" s="1"/>
      <c r="AFJ181" s="1"/>
      <c r="AFK181" s="1"/>
      <c r="AFL181" s="1"/>
      <c r="AFM181" s="1"/>
      <c r="AFN181" s="1"/>
      <c r="AFO181" s="1"/>
      <c r="AFP181" s="1"/>
      <c r="AFQ181" s="1"/>
      <c r="AFR181" s="1"/>
      <c r="AFS181" s="1"/>
      <c r="AFT181" s="1"/>
      <c r="AFU181" s="1"/>
      <c r="AFV181" s="1"/>
      <c r="AFW181" s="1"/>
      <c r="AFX181" s="1"/>
      <c r="AFY181" s="1"/>
      <c r="AFZ181" s="1"/>
      <c r="AGA181" s="1"/>
      <c r="AGB181" s="1"/>
      <c r="AGC181" s="1"/>
      <c r="AGD181" s="1"/>
      <c r="AGE181" s="1"/>
      <c r="AGF181" s="1"/>
      <c r="AGG181" s="1"/>
      <c r="AGH181" s="1"/>
      <c r="AGI181" s="1"/>
      <c r="AGJ181" s="1"/>
      <c r="AGK181" s="1"/>
      <c r="AGL181" s="1"/>
      <c r="AGM181" s="1"/>
      <c r="AGN181" s="1"/>
      <c r="AGO181" s="1"/>
      <c r="AGP181" s="1"/>
      <c r="AGQ181" s="1"/>
      <c r="AGR181" s="1"/>
      <c r="AGS181" s="1"/>
      <c r="AGT181" s="1"/>
      <c r="AGU181" s="1"/>
      <c r="AGV181" s="1"/>
      <c r="AGW181" s="1"/>
      <c r="AGX181" s="1"/>
      <c r="AGY181" s="1"/>
      <c r="AGZ181" s="1"/>
      <c r="AHA181" s="1"/>
      <c r="AHB181" s="1"/>
      <c r="AHC181" s="1"/>
      <c r="AHD181" s="1"/>
      <c r="AHE181" s="1"/>
      <c r="AHF181" s="1"/>
      <c r="AHG181" s="1"/>
      <c r="AHH181" s="1"/>
      <c r="AHI181" s="1"/>
      <c r="AHJ181" s="1"/>
      <c r="AHK181" s="1"/>
      <c r="AHL181" s="1"/>
      <c r="AHM181" s="1"/>
      <c r="AHN181" s="1"/>
      <c r="AHO181" s="1"/>
      <c r="AHP181" s="1"/>
      <c r="AHQ181" s="1"/>
      <c r="AHR181" s="1"/>
      <c r="AHS181" s="1"/>
      <c r="AHT181" s="1"/>
      <c r="AHU181" s="1"/>
      <c r="AHV181" s="1"/>
      <c r="AHW181" s="1"/>
      <c r="AHX181" s="1"/>
      <c r="AHY181" s="1"/>
      <c r="AHZ181" s="1"/>
      <c r="AIA181" s="1"/>
      <c r="AIB181" s="1"/>
      <c r="AIC181" s="1"/>
      <c r="AID181" s="1"/>
      <c r="AIE181" s="1"/>
      <c r="AIF181" s="1"/>
      <c r="AIG181" s="1"/>
      <c r="AIH181" s="1"/>
      <c r="AII181" s="1"/>
      <c r="AIJ181" s="1"/>
      <c r="AIK181" s="1"/>
      <c r="AIL181" s="1"/>
      <c r="AIM181" s="1"/>
      <c r="AIN181" s="1"/>
      <c r="AIO181" s="1"/>
      <c r="AIP181" s="1"/>
      <c r="AIQ181" s="1"/>
      <c r="AIR181" s="1"/>
      <c r="AIS181" s="1"/>
      <c r="AIT181" s="1"/>
      <c r="AIU181" s="1"/>
      <c r="AIV181" s="1"/>
      <c r="AIW181" s="1"/>
      <c r="AIX181" s="1"/>
      <c r="AIY181" s="1"/>
      <c r="AIZ181" s="1"/>
      <c r="AJA181" s="1"/>
      <c r="AJB181" s="1"/>
      <c r="AJC181" s="1"/>
      <c r="AJD181" s="1"/>
      <c r="AJE181" s="1"/>
      <c r="AJF181" s="1"/>
      <c r="AJG181" s="1"/>
      <c r="AJH181" s="1"/>
      <c r="AJI181" s="1"/>
      <c r="AJJ181" s="1"/>
      <c r="AJK181" s="1"/>
      <c r="AJL181" s="1"/>
      <c r="AJM181" s="1"/>
      <c r="AJN181" s="1"/>
      <c r="AJO181" s="1"/>
      <c r="AJP181" s="1"/>
      <c r="AJQ181" s="1"/>
      <c r="AJR181" s="1"/>
      <c r="AJS181" s="1"/>
      <c r="AJT181" s="1"/>
      <c r="AJU181" s="1"/>
      <c r="AJV181" s="1"/>
      <c r="AJW181" s="1"/>
      <c r="AJX181" s="1"/>
      <c r="AJY181" s="1"/>
      <c r="AJZ181" s="1"/>
      <c r="AKA181" s="1"/>
      <c r="AKB181" s="1"/>
      <c r="AKC181" s="1"/>
      <c r="AKD181" s="1"/>
      <c r="AKE181" s="1"/>
      <c r="AKF181" s="1"/>
      <c r="AKG181" s="1"/>
      <c r="AKH181" s="1"/>
      <c r="AKI181" s="1"/>
      <c r="AKJ181" s="1"/>
      <c r="AKK181" s="1"/>
      <c r="AKL181" s="1"/>
      <c r="AKM181" s="1"/>
      <c r="AKN181" s="1"/>
      <c r="AKO181" s="1"/>
      <c r="AKP181" s="1"/>
      <c r="AKQ181" s="1"/>
      <c r="AKR181" s="1"/>
      <c r="AKS181" s="1"/>
      <c r="AKT181" s="1"/>
      <c r="AKU181" s="1"/>
      <c r="AKV181" s="1"/>
      <c r="AKW181" s="1"/>
      <c r="AKX181" s="1"/>
      <c r="AKY181" s="1"/>
      <c r="AKZ181" s="1"/>
      <c r="ALA181" s="1"/>
      <c r="ALB181" s="1"/>
      <c r="ALC181" s="1"/>
      <c r="ALD181" s="1"/>
      <c r="ALE181" s="1"/>
      <c r="ALF181" s="1"/>
      <c r="ALG181" s="1"/>
      <c r="ALH181" s="1"/>
      <c r="ALI181" s="1"/>
      <c r="ALJ181" s="1"/>
      <c r="ALK181" s="1"/>
      <c r="ALL181" s="1"/>
      <c r="ALM181" s="1"/>
      <c r="ALN181" s="1"/>
      <c r="ALO181" s="1"/>
      <c r="ALP181" s="1"/>
      <c r="ALQ181" s="1"/>
      <c r="ALR181" s="1"/>
      <c r="ALS181" s="1"/>
      <c r="ALT181" s="1"/>
      <c r="ALU181" s="1"/>
      <c r="ALV181" s="1"/>
      <c r="ALW181" s="1"/>
      <c r="ALX181" s="1"/>
      <c r="ALY181" s="1"/>
      <c r="ALZ181" s="1"/>
      <c r="AMA181" s="1"/>
      <c r="AMB181" s="1"/>
      <c r="AMC181" s="1"/>
      <c r="AMD181" s="1"/>
      <c r="AME181" s="1"/>
      <c r="AMF181" s="1"/>
      <c r="AMG181" s="1"/>
      <c r="AMH181" s="1"/>
      <c r="AMI181" s="1"/>
      <c r="AMJ181" s="1"/>
    </row>
    <row r="182" customFormat="false" ht="2.25" hidden="false" customHeight="true" outlineLevel="0" collapsed="false">
      <c r="A182" s="7"/>
      <c r="AO182" s="40"/>
      <c r="BE182" s="1"/>
      <c r="BF182" s="1"/>
      <c r="BG182" s="1"/>
      <c r="BH182" s="1"/>
      <c r="BI182" s="1"/>
      <c r="BJ182" s="1"/>
      <c r="BK182" s="1"/>
      <c r="BL182" s="1"/>
      <c r="BM182" s="1"/>
      <c r="BN182" s="1"/>
      <c r="BO182" s="1"/>
      <c r="BP182" s="1"/>
      <c r="BQ182" s="1"/>
      <c r="BR182" s="1"/>
      <c r="BS182" s="1"/>
      <c r="BT182" s="1"/>
      <c r="BU182" s="1"/>
      <c r="BV182" s="1"/>
      <c r="BW182" s="1"/>
      <c r="BX182" s="1"/>
      <c r="BY182" s="1"/>
      <c r="BZ182" s="1"/>
      <c r="CA182" s="1"/>
      <c r="CB182" s="1"/>
      <c r="CC182" s="1"/>
      <c r="CD182" s="1"/>
      <c r="CE182" s="1"/>
      <c r="CF182" s="1"/>
      <c r="CG182" s="1"/>
      <c r="CH182" s="1"/>
      <c r="CI182" s="1"/>
      <c r="CJ182" s="1"/>
      <c r="CK182" s="1"/>
      <c r="CL182" s="1"/>
      <c r="CM182" s="1"/>
      <c r="CN182" s="1"/>
      <c r="CO182" s="1"/>
      <c r="CP182" s="1"/>
      <c r="CQ182" s="1"/>
      <c r="CR182" s="1"/>
      <c r="CS182" s="1"/>
      <c r="CT182" s="1"/>
      <c r="CU182" s="1"/>
      <c r="CV182" s="1"/>
      <c r="CW182" s="1"/>
      <c r="CX182" s="1"/>
      <c r="CY182" s="1"/>
      <c r="CZ182" s="1"/>
      <c r="DA182" s="1"/>
      <c r="DB182" s="1"/>
      <c r="DC182" s="1"/>
      <c r="DD182" s="1"/>
      <c r="DE182" s="1"/>
      <c r="DF182" s="1"/>
      <c r="DG182" s="1"/>
      <c r="DH182" s="1"/>
      <c r="DI182" s="1"/>
      <c r="DJ182" s="1"/>
      <c r="DK182" s="1"/>
      <c r="DL182" s="1"/>
      <c r="DM182" s="1"/>
      <c r="DN182" s="1"/>
      <c r="DO182" s="1"/>
      <c r="DP182" s="1"/>
      <c r="DQ182" s="1"/>
      <c r="DR182" s="1"/>
      <c r="DS182" s="1"/>
      <c r="DT182" s="1"/>
      <c r="DU182" s="1"/>
      <c r="DV182" s="1"/>
      <c r="DW182" s="1"/>
      <c r="DX182" s="1"/>
      <c r="DY182" s="1"/>
      <c r="DZ182" s="1"/>
      <c r="EA182" s="1"/>
      <c r="EB182" s="1"/>
      <c r="EC182" s="1"/>
      <c r="ED182" s="1"/>
      <c r="EE182" s="1"/>
      <c r="EF182" s="1"/>
      <c r="EG182" s="1"/>
      <c r="EH182" s="1"/>
      <c r="EI182" s="1"/>
      <c r="EJ182" s="1"/>
      <c r="EK182" s="1"/>
      <c r="EL182" s="1"/>
      <c r="EM182" s="1"/>
      <c r="EN182" s="1"/>
      <c r="EO182" s="1"/>
      <c r="EP182" s="1"/>
      <c r="EQ182" s="1"/>
      <c r="ER182" s="1"/>
      <c r="ES182" s="1"/>
      <c r="ET182" s="1"/>
      <c r="EU182" s="1"/>
      <c r="EV182" s="1"/>
      <c r="EW182" s="1"/>
      <c r="EX182" s="1"/>
      <c r="EY182" s="1"/>
      <c r="EZ182" s="1"/>
      <c r="FA182" s="1"/>
      <c r="FB182" s="1"/>
      <c r="FC182" s="1"/>
      <c r="FD182" s="1"/>
      <c r="FE182" s="1"/>
      <c r="FF182" s="1"/>
      <c r="FG182" s="1"/>
      <c r="FH182" s="1"/>
      <c r="FI182" s="1"/>
      <c r="FJ182" s="1"/>
      <c r="FK182" s="1"/>
      <c r="FL182" s="1"/>
      <c r="FM182" s="1"/>
      <c r="FN182" s="1"/>
      <c r="FO182" s="1"/>
      <c r="FP182" s="1"/>
      <c r="FQ182" s="1"/>
      <c r="FR182" s="1"/>
      <c r="FS182" s="1"/>
      <c r="FT182" s="1"/>
      <c r="FU182" s="1"/>
      <c r="FV182" s="1"/>
      <c r="FW182" s="1"/>
      <c r="FX182" s="1"/>
      <c r="FY182" s="1"/>
      <c r="FZ182" s="1"/>
      <c r="GA182" s="1"/>
      <c r="GB182" s="1"/>
      <c r="GC182" s="1"/>
      <c r="GD182" s="1"/>
      <c r="GE182" s="1"/>
      <c r="GF182" s="1"/>
      <c r="GG182" s="1"/>
      <c r="GH182" s="1"/>
      <c r="GI182" s="1"/>
      <c r="GJ182" s="1"/>
      <c r="GK182" s="1"/>
      <c r="GL182" s="1"/>
      <c r="GM182" s="1"/>
      <c r="GN182" s="1"/>
      <c r="GO182" s="1"/>
      <c r="GP182" s="1"/>
      <c r="GQ182" s="1"/>
      <c r="GR182" s="1"/>
      <c r="GS182" s="1"/>
      <c r="GT182" s="1"/>
      <c r="GU182" s="1"/>
      <c r="GV182" s="1"/>
      <c r="GW182" s="1"/>
      <c r="GX182" s="1"/>
      <c r="GY182" s="1"/>
      <c r="GZ182" s="1"/>
      <c r="HA182" s="1"/>
      <c r="HB182" s="1"/>
      <c r="HC182" s="1"/>
      <c r="HD182" s="1"/>
      <c r="HE182" s="1"/>
      <c r="HF182" s="1"/>
      <c r="HG182" s="1"/>
      <c r="HH182" s="1"/>
      <c r="HI182" s="1"/>
      <c r="HJ182" s="1"/>
      <c r="HK182" s="1"/>
      <c r="HL182" s="1"/>
      <c r="HM182" s="1"/>
      <c r="HN182" s="1"/>
      <c r="HO182" s="1"/>
      <c r="HP182" s="1"/>
      <c r="HQ182" s="1"/>
      <c r="HR182" s="1"/>
      <c r="HS182" s="1"/>
      <c r="HT182" s="1"/>
      <c r="HU182" s="1"/>
      <c r="HV182" s="1"/>
      <c r="HW182" s="1"/>
      <c r="HX182" s="1"/>
      <c r="HY182" s="1"/>
      <c r="HZ182" s="1"/>
      <c r="IA182" s="1"/>
      <c r="IB182" s="1"/>
      <c r="IC182" s="1"/>
      <c r="ID182" s="1"/>
      <c r="IE182" s="1"/>
      <c r="IF182" s="1"/>
      <c r="IG182" s="1"/>
      <c r="IH182" s="1"/>
      <c r="II182" s="1"/>
      <c r="IJ182" s="1"/>
      <c r="IK182" s="1"/>
      <c r="IL182" s="1"/>
      <c r="IM182" s="1"/>
      <c r="IN182" s="1"/>
      <c r="IO182" s="1"/>
      <c r="IP182" s="1"/>
      <c r="IQ182" s="1"/>
      <c r="IR182" s="1"/>
      <c r="IS182" s="1"/>
      <c r="IT182" s="1"/>
      <c r="IU182" s="1"/>
      <c r="IV182" s="1"/>
      <c r="IW182" s="1"/>
      <c r="IX182" s="1"/>
      <c r="IY182" s="1"/>
      <c r="IZ182" s="1"/>
      <c r="JA182" s="1"/>
      <c r="JB182" s="1"/>
      <c r="JC182" s="1"/>
      <c r="JD182" s="1"/>
      <c r="JE182" s="1"/>
      <c r="JF182" s="1"/>
      <c r="JG182" s="1"/>
      <c r="JH182" s="1"/>
      <c r="JI182" s="1"/>
      <c r="JJ182" s="1"/>
      <c r="JK182" s="1"/>
      <c r="JL182" s="1"/>
      <c r="JM182" s="1"/>
      <c r="JN182" s="1"/>
      <c r="JO182" s="1"/>
      <c r="JP182" s="1"/>
      <c r="JQ182" s="1"/>
      <c r="JR182" s="1"/>
      <c r="JS182" s="1"/>
      <c r="JT182" s="1"/>
      <c r="JU182" s="1"/>
      <c r="JV182" s="1"/>
      <c r="JW182" s="1"/>
      <c r="JX182" s="1"/>
      <c r="JY182" s="1"/>
      <c r="JZ182" s="1"/>
      <c r="KA182" s="1"/>
      <c r="KB182" s="1"/>
      <c r="KC182" s="1"/>
      <c r="KD182" s="1"/>
      <c r="KE182" s="1"/>
      <c r="KF182" s="1"/>
      <c r="KG182" s="1"/>
      <c r="KH182" s="1"/>
      <c r="KI182" s="1"/>
      <c r="KJ182" s="1"/>
      <c r="KK182" s="1"/>
      <c r="KL182" s="1"/>
      <c r="KM182" s="1"/>
      <c r="KN182" s="1"/>
      <c r="KO182" s="1"/>
      <c r="KP182" s="1"/>
      <c r="KQ182" s="1"/>
      <c r="KR182" s="1"/>
      <c r="KS182" s="1"/>
      <c r="KT182" s="1"/>
      <c r="KU182" s="1"/>
      <c r="KV182" s="1"/>
      <c r="KW182" s="1"/>
      <c r="KX182" s="1"/>
      <c r="KY182" s="1"/>
      <c r="KZ182" s="1"/>
      <c r="LA182" s="1"/>
      <c r="LB182" s="1"/>
      <c r="LC182" s="1"/>
      <c r="LD182" s="1"/>
      <c r="LE182" s="1"/>
      <c r="LF182" s="1"/>
      <c r="LG182" s="1"/>
      <c r="LH182" s="1"/>
      <c r="LI182" s="1"/>
      <c r="LJ182" s="1"/>
      <c r="LK182" s="1"/>
      <c r="LL182" s="1"/>
      <c r="LM182" s="1"/>
      <c r="LN182" s="1"/>
      <c r="LO182" s="1"/>
      <c r="LP182" s="1"/>
      <c r="LQ182" s="1"/>
      <c r="LR182" s="1"/>
      <c r="LS182" s="1"/>
      <c r="LT182" s="1"/>
      <c r="LU182" s="1"/>
      <c r="LV182" s="1"/>
      <c r="LW182" s="1"/>
      <c r="LX182" s="1"/>
      <c r="LY182" s="1"/>
      <c r="LZ182" s="1"/>
      <c r="MA182" s="1"/>
      <c r="MB182" s="1"/>
      <c r="MC182" s="1"/>
      <c r="MD182" s="1"/>
      <c r="ME182" s="1"/>
      <c r="MF182" s="1"/>
      <c r="MG182" s="1"/>
      <c r="MH182" s="1"/>
      <c r="MI182" s="1"/>
      <c r="MJ182" s="1"/>
      <c r="MK182" s="1"/>
      <c r="ML182" s="1"/>
      <c r="MM182" s="1"/>
      <c r="MN182" s="1"/>
      <c r="MO182" s="1"/>
      <c r="MP182" s="1"/>
      <c r="MQ182" s="1"/>
      <c r="MR182" s="1"/>
      <c r="MS182" s="1"/>
      <c r="MT182" s="1"/>
      <c r="MU182" s="1"/>
      <c r="MV182" s="1"/>
      <c r="MW182" s="1"/>
      <c r="MX182" s="1"/>
      <c r="MY182" s="1"/>
      <c r="MZ182" s="1"/>
      <c r="NA182" s="1"/>
      <c r="NB182" s="1"/>
      <c r="NC182" s="1"/>
      <c r="ND182" s="1"/>
      <c r="NE182" s="1"/>
      <c r="NF182" s="1"/>
      <c r="NG182" s="1"/>
      <c r="NH182" s="1"/>
      <c r="NI182" s="1"/>
      <c r="NJ182" s="1"/>
      <c r="NK182" s="1"/>
      <c r="NL182" s="1"/>
      <c r="NM182" s="1"/>
      <c r="NN182" s="1"/>
      <c r="NO182" s="1"/>
      <c r="NP182" s="1"/>
      <c r="NQ182" s="1"/>
      <c r="NR182" s="1"/>
      <c r="NS182" s="1"/>
      <c r="NT182" s="1"/>
      <c r="NU182" s="1"/>
      <c r="NV182" s="1"/>
      <c r="NW182" s="1"/>
      <c r="NX182" s="1"/>
      <c r="NY182" s="1"/>
      <c r="NZ182" s="1"/>
      <c r="OA182" s="1"/>
      <c r="OB182" s="1"/>
      <c r="OC182" s="1"/>
      <c r="OD182" s="1"/>
      <c r="OE182" s="1"/>
      <c r="OF182" s="1"/>
      <c r="OG182" s="1"/>
      <c r="OH182" s="1"/>
      <c r="OI182" s="1"/>
      <c r="OJ182" s="1"/>
      <c r="OK182" s="1"/>
      <c r="OL182" s="1"/>
      <c r="OM182" s="1"/>
      <c r="ON182" s="1"/>
      <c r="OO182" s="1"/>
      <c r="OP182" s="1"/>
      <c r="OQ182" s="1"/>
      <c r="OR182" s="1"/>
      <c r="OS182" s="1"/>
      <c r="OT182" s="1"/>
      <c r="OU182" s="1"/>
      <c r="OV182" s="1"/>
      <c r="OW182" s="1"/>
      <c r="OX182" s="1"/>
      <c r="OY182" s="1"/>
      <c r="OZ182" s="1"/>
      <c r="PA182" s="1"/>
      <c r="PB182" s="1"/>
      <c r="PC182" s="1"/>
      <c r="PD182" s="1"/>
      <c r="PE182" s="1"/>
      <c r="PF182" s="1"/>
      <c r="PG182" s="1"/>
      <c r="PH182" s="1"/>
      <c r="PI182" s="1"/>
      <c r="PJ182" s="1"/>
      <c r="PK182" s="1"/>
      <c r="PL182" s="1"/>
      <c r="PM182" s="1"/>
      <c r="PN182" s="1"/>
      <c r="PO182" s="1"/>
      <c r="PP182" s="1"/>
      <c r="PQ182" s="1"/>
      <c r="PR182" s="1"/>
      <c r="PS182" s="1"/>
      <c r="PT182" s="1"/>
      <c r="PU182" s="1"/>
      <c r="PV182" s="1"/>
      <c r="PW182" s="1"/>
      <c r="PX182" s="1"/>
      <c r="PY182" s="1"/>
      <c r="PZ182" s="1"/>
      <c r="QA182" s="1"/>
      <c r="QB182" s="1"/>
      <c r="QC182" s="1"/>
      <c r="QD182" s="1"/>
      <c r="QE182" s="1"/>
      <c r="QF182" s="1"/>
      <c r="QG182" s="1"/>
      <c r="QH182" s="1"/>
      <c r="QI182" s="1"/>
      <c r="QJ182" s="1"/>
      <c r="QK182" s="1"/>
      <c r="QL182" s="1"/>
      <c r="QM182" s="1"/>
      <c r="QN182" s="1"/>
      <c r="QO182" s="1"/>
      <c r="QP182" s="1"/>
      <c r="QQ182" s="1"/>
      <c r="QR182" s="1"/>
      <c r="QS182" s="1"/>
      <c r="QT182" s="1"/>
      <c r="QU182" s="1"/>
      <c r="QV182" s="1"/>
      <c r="QW182" s="1"/>
      <c r="QX182" s="1"/>
      <c r="QY182" s="1"/>
      <c r="QZ182" s="1"/>
      <c r="RA182" s="1"/>
      <c r="RB182" s="1"/>
      <c r="RC182" s="1"/>
      <c r="RD182" s="1"/>
      <c r="RE182" s="1"/>
      <c r="RF182" s="1"/>
      <c r="RG182" s="1"/>
      <c r="RH182" s="1"/>
      <c r="RI182" s="1"/>
      <c r="RJ182" s="1"/>
      <c r="RK182" s="1"/>
      <c r="RL182" s="1"/>
      <c r="RM182" s="1"/>
      <c r="RN182" s="1"/>
      <c r="RO182" s="1"/>
      <c r="RP182" s="1"/>
      <c r="RQ182" s="1"/>
      <c r="RR182" s="1"/>
      <c r="RS182" s="1"/>
      <c r="RT182" s="1"/>
      <c r="RU182" s="1"/>
      <c r="RV182" s="1"/>
      <c r="RW182" s="1"/>
      <c r="RX182" s="1"/>
      <c r="RY182" s="1"/>
      <c r="RZ182" s="1"/>
      <c r="SA182" s="1"/>
      <c r="SB182" s="1"/>
      <c r="SC182" s="1"/>
      <c r="SD182" s="1"/>
      <c r="SE182" s="1"/>
      <c r="SF182" s="1"/>
      <c r="SG182" s="1"/>
      <c r="SH182" s="1"/>
      <c r="SI182" s="1"/>
      <c r="SJ182" s="1"/>
      <c r="SK182" s="1"/>
      <c r="SL182" s="1"/>
      <c r="SM182" s="1"/>
      <c r="SN182" s="1"/>
      <c r="SO182" s="1"/>
      <c r="SP182" s="1"/>
      <c r="SQ182" s="1"/>
      <c r="SR182" s="1"/>
      <c r="SS182" s="1"/>
      <c r="ST182" s="1"/>
      <c r="SU182" s="1"/>
      <c r="SV182" s="1"/>
      <c r="SW182" s="1"/>
      <c r="SX182" s="1"/>
      <c r="SY182" s="1"/>
      <c r="SZ182" s="1"/>
      <c r="TA182" s="1"/>
      <c r="TB182" s="1"/>
      <c r="TC182" s="1"/>
      <c r="TD182" s="1"/>
      <c r="TE182" s="1"/>
      <c r="TF182" s="1"/>
      <c r="TG182" s="1"/>
      <c r="TH182" s="1"/>
      <c r="TI182" s="1"/>
      <c r="TJ182" s="1"/>
      <c r="TK182" s="1"/>
      <c r="TL182" s="1"/>
      <c r="TM182" s="1"/>
      <c r="TN182" s="1"/>
      <c r="TO182" s="1"/>
      <c r="TP182" s="1"/>
      <c r="TQ182" s="1"/>
      <c r="TR182" s="1"/>
      <c r="TS182" s="1"/>
      <c r="TT182" s="1"/>
      <c r="TU182" s="1"/>
      <c r="TV182" s="1"/>
      <c r="TW182" s="1"/>
      <c r="TX182" s="1"/>
      <c r="TY182" s="1"/>
      <c r="TZ182" s="1"/>
      <c r="UA182" s="1"/>
      <c r="UB182" s="1"/>
      <c r="UC182" s="1"/>
      <c r="UD182" s="1"/>
      <c r="UE182" s="1"/>
      <c r="UF182" s="1"/>
      <c r="UG182" s="1"/>
      <c r="UH182" s="1"/>
      <c r="UI182" s="1"/>
      <c r="UJ182" s="1"/>
      <c r="UK182" s="1"/>
      <c r="UL182" s="1"/>
      <c r="UM182" s="1"/>
      <c r="UN182" s="1"/>
      <c r="UO182" s="1"/>
      <c r="UP182" s="1"/>
      <c r="UQ182" s="1"/>
      <c r="UR182" s="1"/>
      <c r="US182" s="1"/>
      <c r="UT182" s="1"/>
      <c r="UU182" s="1"/>
      <c r="UV182" s="1"/>
      <c r="UW182" s="1"/>
      <c r="UX182" s="1"/>
      <c r="UY182" s="1"/>
      <c r="UZ182" s="1"/>
      <c r="VA182" s="1"/>
      <c r="VB182" s="1"/>
      <c r="VC182" s="1"/>
      <c r="VD182" s="1"/>
      <c r="VE182" s="1"/>
      <c r="VF182" s="1"/>
      <c r="VG182" s="1"/>
      <c r="VH182" s="1"/>
      <c r="VI182" s="1"/>
      <c r="VJ182" s="1"/>
      <c r="VK182" s="1"/>
      <c r="VL182" s="1"/>
      <c r="VM182" s="1"/>
      <c r="VN182" s="1"/>
      <c r="VO182" s="1"/>
      <c r="VP182" s="1"/>
      <c r="VQ182" s="1"/>
      <c r="VR182" s="1"/>
      <c r="VS182" s="1"/>
      <c r="VT182" s="1"/>
      <c r="VU182" s="1"/>
      <c r="VV182" s="1"/>
      <c r="VW182" s="1"/>
      <c r="VX182" s="1"/>
      <c r="VY182" s="1"/>
      <c r="VZ182" s="1"/>
      <c r="WA182" s="1"/>
      <c r="WB182" s="1"/>
      <c r="WC182" s="1"/>
      <c r="WD182" s="1"/>
      <c r="WE182" s="1"/>
      <c r="WF182" s="1"/>
      <c r="WG182" s="1"/>
      <c r="WH182" s="1"/>
      <c r="WI182" s="1"/>
      <c r="WJ182" s="1"/>
      <c r="WK182" s="1"/>
      <c r="WL182" s="1"/>
      <c r="WM182" s="1"/>
      <c r="WN182" s="1"/>
      <c r="WO182" s="1"/>
      <c r="WP182" s="1"/>
      <c r="WQ182" s="1"/>
      <c r="WR182" s="1"/>
      <c r="WS182" s="1"/>
      <c r="WT182" s="1"/>
      <c r="WU182" s="1"/>
      <c r="WV182" s="1"/>
      <c r="WW182" s="1"/>
      <c r="WX182" s="1"/>
      <c r="WY182" s="1"/>
      <c r="WZ182" s="1"/>
      <c r="XA182" s="1"/>
      <c r="XB182" s="1"/>
      <c r="XC182" s="1"/>
      <c r="XD182" s="1"/>
      <c r="XE182" s="1"/>
      <c r="XF182" s="1"/>
      <c r="XG182" s="1"/>
      <c r="XH182" s="1"/>
      <c r="XI182" s="1"/>
      <c r="XJ182" s="1"/>
      <c r="XK182" s="1"/>
      <c r="XL182" s="1"/>
      <c r="XM182" s="1"/>
      <c r="XN182" s="1"/>
      <c r="XO182" s="1"/>
      <c r="XP182" s="1"/>
      <c r="XQ182" s="1"/>
      <c r="XR182" s="1"/>
      <c r="XS182" s="1"/>
      <c r="XT182" s="1"/>
      <c r="XU182" s="1"/>
      <c r="XV182" s="1"/>
      <c r="XW182" s="1"/>
      <c r="XX182" s="1"/>
      <c r="XY182" s="1"/>
      <c r="XZ182" s="1"/>
      <c r="YA182" s="1"/>
      <c r="YB182" s="1"/>
      <c r="YC182" s="1"/>
      <c r="YD182" s="1"/>
      <c r="YE182" s="1"/>
      <c r="YF182" s="1"/>
      <c r="YG182" s="1"/>
      <c r="YH182" s="1"/>
      <c r="YI182" s="1"/>
      <c r="YJ182" s="1"/>
      <c r="YK182" s="1"/>
      <c r="YL182" s="1"/>
      <c r="YM182" s="1"/>
      <c r="YN182" s="1"/>
      <c r="YO182" s="1"/>
      <c r="YP182" s="1"/>
      <c r="YQ182" s="1"/>
      <c r="YR182" s="1"/>
      <c r="YS182" s="1"/>
      <c r="YT182" s="1"/>
      <c r="YU182" s="1"/>
      <c r="YV182" s="1"/>
      <c r="YW182" s="1"/>
      <c r="YX182" s="1"/>
      <c r="YY182" s="1"/>
      <c r="YZ182" s="1"/>
      <c r="ZA182" s="1"/>
      <c r="ZB182" s="1"/>
      <c r="ZC182" s="1"/>
      <c r="ZD182" s="1"/>
      <c r="ZE182" s="1"/>
      <c r="ZF182" s="1"/>
      <c r="ZG182" s="1"/>
      <c r="ZH182" s="1"/>
      <c r="ZI182" s="1"/>
      <c r="ZJ182" s="1"/>
      <c r="ZK182" s="1"/>
      <c r="ZL182" s="1"/>
      <c r="ZM182" s="1"/>
      <c r="ZN182" s="1"/>
      <c r="ZO182" s="1"/>
      <c r="ZP182" s="1"/>
      <c r="ZQ182" s="1"/>
      <c r="ZR182" s="1"/>
      <c r="ZS182" s="1"/>
      <c r="ZT182" s="1"/>
      <c r="ZU182" s="1"/>
      <c r="ZV182" s="1"/>
      <c r="ZW182" s="1"/>
      <c r="ZX182" s="1"/>
      <c r="ZY182" s="1"/>
      <c r="ZZ182" s="1"/>
      <c r="AAA182" s="1"/>
      <c r="AAB182" s="1"/>
      <c r="AAC182" s="1"/>
      <c r="AAD182" s="1"/>
      <c r="AAE182" s="1"/>
      <c r="AAF182" s="1"/>
      <c r="AAG182" s="1"/>
      <c r="AAH182" s="1"/>
      <c r="AAI182" s="1"/>
      <c r="AAJ182" s="1"/>
      <c r="AAK182" s="1"/>
      <c r="AAL182" s="1"/>
      <c r="AAM182" s="1"/>
      <c r="AAN182" s="1"/>
      <c r="AAO182" s="1"/>
      <c r="AAP182" s="1"/>
      <c r="AAQ182" s="1"/>
      <c r="AAR182" s="1"/>
      <c r="AAS182" s="1"/>
      <c r="AAT182" s="1"/>
      <c r="AAU182" s="1"/>
      <c r="AAV182" s="1"/>
      <c r="AAW182" s="1"/>
      <c r="AAX182" s="1"/>
      <c r="AAY182" s="1"/>
      <c r="AAZ182" s="1"/>
      <c r="ABA182" s="1"/>
      <c r="ABB182" s="1"/>
      <c r="ABC182" s="1"/>
      <c r="ABD182" s="1"/>
      <c r="ABE182" s="1"/>
      <c r="ABF182" s="1"/>
      <c r="ABG182" s="1"/>
      <c r="ABH182" s="1"/>
      <c r="ABI182" s="1"/>
      <c r="ABJ182" s="1"/>
      <c r="ABK182" s="1"/>
      <c r="ABL182" s="1"/>
      <c r="ABM182" s="1"/>
      <c r="ABN182" s="1"/>
      <c r="ABO182" s="1"/>
      <c r="ABP182" s="1"/>
      <c r="ABQ182" s="1"/>
      <c r="ABR182" s="1"/>
      <c r="ABS182" s="1"/>
      <c r="ABT182" s="1"/>
      <c r="ABU182" s="1"/>
      <c r="ABV182" s="1"/>
      <c r="ABW182" s="1"/>
      <c r="ABX182" s="1"/>
      <c r="ABY182" s="1"/>
      <c r="ABZ182" s="1"/>
      <c r="ACA182" s="1"/>
      <c r="ACB182" s="1"/>
      <c r="ACC182" s="1"/>
      <c r="ACD182" s="1"/>
      <c r="ACE182" s="1"/>
      <c r="ACF182" s="1"/>
      <c r="ACG182" s="1"/>
      <c r="ACH182" s="1"/>
      <c r="ACI182" s="1"/>
      <c r="ACJ182" s="1"/>
      <c r="ACK182" s="1"/>
      <c r="ACL182" s="1"/>
      <c r="ACM182" s="1"/>
      <c r="ACN182" s="1"/>
      <c r="ACO182" s="1"/>
      <c r="ACP182" s="1"/>
      <c r="ACQ182" s="1"/>
      <c r="ACR182" s="1"/>
      <c r="ACS182" s="1"/>
      <c r="ACT182" s="1"/>
      <c r="ACU182" s="1"/>
      <c r="ACV182" s="1"/>
      <c r="ACW182" s="1"/>
      <c r="ACX182" s="1"/>
      <c r="ACY182" s="1"/>
      <c r="ACZ182" s="1"/>
      <c r="ADA182" s="1"/>
      <c r="ADB182" s="1"/>
      <c r="ADC182" s="1"/>
      <c r="ADD182" s="1"/>
      <c r="ADE182" s="1"/>
      <c r="ADF182" s="1"/>
      <c r="ADG182" s="1"/>
      <c r="ADH182" s="1"/>
      <c r="ADI182" s="1"/>
      <c r="ADJ182" s="1"/>
      <c r="ADK182" s="1"/>
      <c r="ADL182" s="1"/>
      <c r="ADM182" s="1"/>
      <c r="ADN182" s="1"/>
      <c r="ADO182" s="1"/>
      <c r="ADP182" s="1"/>
      <c r="ADQ182" s="1"/>
      <c r="ADR182" s="1"/>
      <c r="ADS182" s="1"/>
      <c r="ADT182" s="1"/>
      <c r="ADU182" s="1"/>
      <c r="ADV182" s="1"/>
      <c r="ADW182" s="1"/>
      <c r="ADX182" s="1"/>
      <c r="ADY182" s="1"/>
      <c r="ADZ182" s="1"/>
      <c r="AEA182" s="1"/>
      <c r="AEB182" s="1"/>
      <c r="AEC182" s="1"/>
      <c r="AED182" s="1"/>
      <c r="AEE182" s="1"/>
      <c r="AEF182" s="1"/>
      <c r="AEG182" s="1"/>
      <c r="AEH182" s="1"/>
      <c r="AEI182" s="1"/>
      <c r="AEJ182" s="1"/>
      <c r="AEK182" s="1"/>
      <c r="AEL182" s="1"/>
      <c r="AEM182" s="1"/>
      <c r="AEN182" s="1"/>
      <c r="AEO182" s="1"/>
      <c r="AEP182" s="1"/>
      <c r="AEQ182" s="1"/>
      <c r="AER182" s="1"/>
      <c r="AES182" s="1"/>
      <c r="AET182" s="1"/>
      <c r="AEU182" s="1"/>
      <c r="AEV182" s="1"/>
      <c r="AEW182" s="1"/>
      <c r="AEX182" s="1"/>
      <c r="AEY182" s="1"/>
      <c r="AEZ182" s="1"/>
      <c r="AFA182" s="1"/>
      <c r="AFB182" s="1"/>
      <c r="AFC182" s="1"/>
      <c r="AFD182" s="1"/>
      <c r="AFE182" s="1"/>
      <c r="AFF182" s="1"/>
      <c r="AFG182" s="1"/>
      <c r="AFH182" s="1"/>
      <c r="AFI182" s="1"/>
      <c r="AFJ182" s="1"/>
      <c r="AFK182" s="1"/>
      <c r="AFL182" s="1"/>
      <c r="AFM182" s="1"/>
      <c r="AFN182" s="1"/>
      <c r="AFO182" s="1"/>
      <c r="AFP182" s="1"/>
      <c r="AFQ182" s="1"/>
      <c r="AFR182" s="1"/>
      <c r="AFS182" s="1"/>
      <c r="AFT182" s="1"/>
      <c r="AFU182" s="1"/>
      <c r="AFV182" s="1"/>
      <c r="AFW182" s="1"/>
      <c r="AFX182" s="1"/>
      <c r="AFY182" s="1"/>
      <c r="AFZ182" s="1"/>
      <c r="AGA182" s="1"/>
      <c r="AGB182" s="1"/>
      <c r="AGC182" s="1"/>
      <c r="AGD182" s="1"/>
      <c r="AGE182" s="1"/>
      <c r="AGF182" s="1"/>
      <c r="AGG182" s="1"/>
      <c r="AGH182" s="1"/>
      <c r="AGI182" s="1"/>
      <c r="AGJ182" s="1"/>
      <c r="AGK182" s="1"/>
      <c r="AGL182" s="1"/>
      <c r="AGM182" s="1"/>
      <c r="AGN182" s="1"/>
      <c r="AGO182" s="1"/>
      <c r="AGP182" s="1"/>
      <c r="AGQ182" s="1"/>
      <c r="AGR182" s="1"/>
      <c r="AGS182" s="1"/>
      <c r="AGT182" s="1"/>
      <c r="AGU182" s="1"/>
      <c r="AGV182" s="1"/>
      <c r="AGW182" s="1"/>
      <c r="AGX182" s="1"/>
      <c r="AGY182" s="1"/>
      <c r="AGZ182" s="1"/>
      <c r="AHA182" s="1"/>
      <c r="AHB182" s="1"/>
      <c r="AHC182" s="1"/>
      <c r="AHD182" s="1"/>
      <c r="AHE182" s="1"/>
      <c r="AHF182" s="1"/>
      <c r="AHG182" s="1"/>
      <c r="AHH182" s="1"/>
      <c r="AHI182" s="1"/>
      <c r="AHJ182" s="1"/>
      <c r="AHK182" s="1"/>
      <c r="AHL182" s="1"/>
      <c r="AHM182" s="1"/>
      <c r="AHN182" s="1"/>
      <c r="AHO182" s="1"/>
      <c r="AHP182" s="1"/>
      <c r="AHQ182" s="1"/>
      <c r="AHR182" s="1"/>
      <c r="AHS182" s="1"/>
      <c r="AHT182" s="1"/>
      <c r="AHU182" s="1"/>
      <c r="AHV182" s="1"/>
      <c r="AHW182" s="1"/>
      <c r="AHX182" s="1"/>
      <c r="AHY182" s="1"/>
      <c r="AHZ182" s="1"/>
      <c r="AIA182" s="1"/>
      <c r="AIB182" s="1"/>
      <c r="AIC182" s="1"/>
      <c r="AID182" s="1"/>
      <c r="AIE182" s="1"/>
      <c r="AIF182" s="1"/>
      <c r="AIG182" s="1"/>
      <c r="AIH182" s="1"/>
      <c r="AII182" s="1"/>
      <c r="AIJ182" s="1"/>
      <c r="AIK182" s="1"/>
      <c r="AIL182" s="1"/>
      <c r="AIM182" s="1"/>
      <c r="AIN182" s="1"/>
      <c r="AIO182" s="1"/>
      <c r="AIP182" s="1"/>
      <c r="AIQ182" s="1"/>
      <c r="AIR182" s="1"/>
      <c r="AIS182" s="1"/>
      <c r="AIT182" s="1"/>
      <c r="AIU182" s="1"/>
      <c r="AIV182" s="1"/>
      <c r="AIW182" s="1"/>
      <c r="AIX182" s="1"/>
      <c r="AIY182" s="1"/>
      <c r="AIZ182" s="1"/>
      <c r="AJA182" s="1"/>
      <c r="AJB182" s="1"/>
      <c r="AJC182" s="1"/>
      <c r="AJD182" s="1"/>
      <c r="AJE182" s="1"/>
      <c r="AJF182" s="1"/>
      <c r="AJG182" s="1"/>
      <c r="AJH182" s="1"/>
      <c r="AJI182" s="1"/>
      <c r="AJJ182" s="1"/>
      <c r="AJK182" s="1"/>
      <c r="AJL182" s="1"/>
      <c r="AJM182" s="1"/>
      <c r="AJN182" s="1"/>
      <c r="AJO182" s="1"/>
      <c r="AJP182" s="1"/>
      <c r="AJQ182" s="1"/>
      <c r="AJR182" s="1"/>
      <c r="AJS182" s="1"/>
      <c r="AJT182" s="1"/>
      <c r="AJU182" s="1"/>
      <c r="AJV182" s="1"/>
      <c r="AJW182" s="1"/>
      <c r="AJX182" s="1"/>
      <c r="AJY182" s="1"/>
      <c r="AJZ182" s="1"/>
      <c r="AKA182" s="1"/>
      <c r="AKB182" s="1"/>
      <c r="AKC182" s="1"/>
      <c r="AKD182" s="1"/>
      <c r="AKE182" s="1"/>
      <c r="AKF182" s="1"/>
      <c r="AKG182" s="1"/>
      <c r="AKH182" s="1"/>
      <c r="AKI182" s="1"/>
      <c r="AKJ182" s="1"/>
      <c r="AKK182" s="1"/>
      <c r="AKL182" s="1"/>
      <c r="AKM182" s="1"/>
      <c r="AKN182" s="1"/>
      <c r="AKO182" s="1"/>
      <c r="AKP182" s="1"/>
      <c r="AKQ182" s="1"/>
      <c r="AKR182" s="1"/>
      <c r="AKS182" s="1"/>
      <c r="AKT182" s="1"/>
      <c r="AKU182" s="1"/>
      <c r="AKV182" s="1"/>
      <c r="AKW182" s="1"/>
      <c r="AKX182" s="1"/>
      <c r="AKY182" s="1"/>
      <c r="AKZ182" s="1"/>
      <c r="ALA182" s="1"/>
      <c r="ALB182" s="1"/>
      <c r="ALC182" s="1"/>
      <c r="ALD182" s="1"/>
      <c r="ALE182" s="1"/>
      <c r="ALF182" s="1"/>
      <c r="ALG182" s="1"/>
      <c r="ALH182" s="1"/>
      <c r="ALI182" s="1"/>
      <c r="ALJ182" s="1"/>
      <c r="ALK182" s="1"/>
      <c r="ALL182" s="1"/>
      <c r="ALM182" s="1"/>
      <c r="ALN182" s="1"/>
      <c r="ALO182" s="1"/>
      <c r="ALP182" s="1"/>
      <c r="ALQ182" s="1"/>
      <c r="ALR182" s="1"/>
      <c r="ALS182" s="1"/>
      <c r="ALT182" s="1"/>
      <c r="ALU182" s="1"/>
      <c r="ALV182" s="1"/>
      <c r="ALW182" s="1"/>
      <c r="ALX182" s="1"/>
      <c r="ALY182" s="1"/>
      <c r="ALZ182" s="1"/>
      <c r="AMA182" s="1"/>
      <c r="AMB182" s="1"/>
      <c r="AMC182" s="1"/>
      <c r="AMD182" s="1"/>
      <c r="AME182" s="1"/>
      <c r="AMF182" s="1"/>
      <c r="AMG182" s="1"/>
      <c r="AMH182" s="1"/>
      <c r="AMI182" s="1"/>
      <c r="AMJ182" s="1"/>
    </row>
    <row r="183" customFormat="false" ht="2.25" hidden="false" customHeight="true" outlineLevel="0" collapsed="false">
      <c r="A183" s="7"/>
      <c r="AO183" s="40"/>
      <c r="BE183" s="1"/>
      <c r="BF183" s="1"/>
      <c r="BG183" s="1"/>
      <c r="BH183" s="1"/>
      <c r="BI183" s="1"/>
      <c r="BJ183" s="1"/>
      <c r="BK183" s="1"/>
      <c r="BL183" s="1"/>
      <c r="BM183" s="1"/>
      <c r="BN183" s="1"/>
      <c r="BO183" s="1"/>
      <c r="BP183" s="1"/>
      <c r="BQ183" s="1"/>
      <c r="BR183" s="1"/>
      <c r="BS183" s="1"/>
      <c r="BT183" s="1"/>
      <c r="BU183" s="1"/>
      <c r="BV183" s="1"/>
      <c r="BW183" s="1"/>
      <c r="BX183" s="1"/>
      <c r="BY183" s="1"/>
      <c r="BZ183" s="1"/>
      <c r="CA183" s="1"/>
      <c r="CB183" s="1"/>
      <c r="CC183" s="1"/>
      <c r="CD183" s="1"/>
      <c r="CE183" s="1"/>
      <c r="CF183" s="1"/>
      <c r="CG183" s="1"/>
      <c r="CH183" s="1"/>
      <c r="CI183" s="1"/>
      <c r="CJ183" s="1"/>
      <c r="CK183" s="1"/>
      <c r="CL183" s="1"/>
      <c r="CM183" s="1"/>
      <c r="CN183" s="1"/>
      <c r="CO183" s="1"/>
      <c r="CP183" s="1"/>
      <c r="CQ183" s="1"/>
      <c r="CR183" s="1"/>
      <c r="CS183" s="1"/>
      <c r="CT183" s="1"/>
      <c r="CU183" s="1"/>
      <c r="CV183" s="1"/>
      <c r="CW183" s="1"/>
      <c r="CX183" s="1"/>
      <c r="CY183" s="1"/>
      <c r="CZ183" s="1"/>
      <c r="DA183" s="1"/>
      <c r="DB183" s="1"/>
      <c r="DC183" s="1"/>
      <c r="DD183" s="1"/>
      <c r="DE183" s="1"/>
      <c r="DF183" s="1"/>
      <c r="DG183" s="1"/>
      <c r="DH183" s="1"/>
      <c r="DI183" s="1"/>
      <c r="DJ183" s="1"/>
      <c r="DK183" s="1"/>
      <c r="DL183" s="1"/>
      <c r="DM183" s="1"/>
      <c r="DN183" s="1"/>
      <c r="DO183" s="1"/>
      <c r="DP183" s="1"/>
      <c r="DQ183" s="1"/>
      <c r="DR183" s="1"/>
      <c r="DS183" s="1"/>
      <c r="DT183" s="1"/>
      <c r="DU183" s="1"/>
      <c r="DV183" s="1"/>
      <c r="DW183" s="1"/>
      <c r="DX183" s="1"/>
      <c r="DY183" s="1"/>
      <c r="DZ183" s="1"/>
      <c r="EA183" s="1"/>
      <c r="EB183" s="1"/>
      <c r="EC183" s="1"/>
      <c r="ED183" s="1"/>
      <c r="EE183" s="1"/>
      <c r="EF183" s="1"/>
      <c r="EG183" s="1"/>
      <c r="EH183" s="1"/>
      <c r="EI183" s="1"/>
      <c r="EJ183" s="1"/>
      <c r="EK183" s="1"/>
      <c r="EL183" s="1"/>
      <c r="EM183" s="1"/>
      <c r="EN183" s="1"/>
      <c r="EO183" s="1"/>
      <c r="EP183" s="1"/>
      <c r="EQ183" s="1"/>
      <c r="ER183" s="1"/>
      <c r="ES183" s="1"/>
      <c r="ET183" s="1"/>
      <c r="EU183" s="1"/>
      <c r="EV183" s="1"/>
      <c r="EW183" s="1"/>
      <c r="EX183" s="1"/>
      <c r="EY183" s="1"/>
      <c r="EZ183" s="1"/>
      <c r="FA183" s="1"/>
      <c r="FB183" s="1"/>
      <c r="FC183" s="1"/>
      <c r="FD183" s="1"/>
      <c r="FE183" s="1"/>
      <c r="FF183" s="1"/>
      <c r="FG183" s="1"/>
      <c r="FH183" s="1"/>
      <c r="FI183" s="1"/>
      <c r="FJ183" s="1"/>
      <c r="FK183" s="1"/>
      <c r="FL183" s="1"/>
      <c r="FM183" s="1"/>
      <c r="FN183" s="1"/>
      <c r="FO183" s="1"/>
      <c r="FP183" s="1"/>
      <c r="FQ183" s="1"/>
      <c r="FR183" s="1"/>
      <c r="FS183" s="1"/>
      <c r="FT183" s="1"/>
      <c r="FU183" s="1"/>
      <c r="FV183" s="1"/>
      <c r="FW183" s="1"/>
      <c r="FX183" s="1"/>
      <c r="FY183" s="1"/>
      <c r="FZ183" s="1"/>
      <c r="GA183" s="1"/>
      <c r="GB183" s="1"/>
      <c r="GC183" s="1"/>
      <c r="GD183" s="1"/>
      <c r="GE183" s="1"/>
      <c r="GF183" s="1"/>
      <c r="GG183" s="1"/>
      <c r="GH183" s="1"/>
      <c r="GI183" s="1"/>
      <c r="GJ183" s="1"/>
      <c r="GK183" s="1"/>
      <c r="GL183" s="1"/>
      <c r="GM183" s="1"/>
      <c r="GN183" s="1"/>
      <c r="GO183" s="1"/>
      <c r="GP183" s="1"/>
      <c r="GQ183" s="1"/>
      <c r="GR183" s="1"/>
      <c r="GS183" s="1"/>
      <c r="GT183" s="1"/>
      <c r="GU183" s="1"/>
      <c r="GV183" s="1"/>
      <c r="GW183" s="1"/>
      <c r="GX183" s="1"/>
      <c r="GY183" s="1"/>
      <c r="GZ183" s="1"/>
      <c r="HA183" s="1"/>
      <c r="HB183" s="1"/>
      <c r="HC183" s="1"/>
      <c r="HD183" s="1"/>
      <c r="HE183" s="1"/>
      <c r="HF183" s="1"/>
      <c r="HG183" s="1"/>
      <c r="HH183" s="1"/>
      <c r="HI183" s="1"/>
      <c r="HJ183" s="1"/>
      <c r="HK183" s="1"/>
      <c r="HL183" s="1"/>
      <c r="HM183" s="1"/>
      <c r="HN183" s="1"/>
      <c r="HO183" s="1"/>
      <c r="HP183" s="1"/>
      <c r="HQ183" s="1"/>
      <c r="HR183" s="1"/>
      <c r="HS183" s="1"/>
      <c r="HT183" s="1"/>
      <c r="HU183" s="1"/>
      <c r="HV183" s="1"/>
      <c r="HW183" s="1"/>
      <c r="HX183" s="1"/>
      <c r="HY183" s="1"/>
      <c r="HZ183" s="1"/>
      <c r="IA183" s="1"/>
      <c r="IB183" s="1"/>
      <c r="IC183" s="1"/>
      <c r="ID183" s="1"/>
      <c r="IE183" s="1"/>
      <c r="IF183" s="1"/>
      <c r="IG183" s="1"/>
      <c r="IH183" s="1"/>
      <c r="II183" s="1"/>
      <c r="IJ183" s="1"/>
      <c r="IK183" s="1"/>
      <c r="IL183" s="1"/>
      <c r="IM183" s="1"/>
      <c r="IN183" s="1"/>
      <c r="IO183" s="1"/>
      <c r="IP183" s="1"/>
      <c r="IQ183" s="1"/>
      <c r="IR183" s="1"/>
      <c r="IS183" s="1"/>
      <c r="IT183" s="1"/>
      <c r="IU183" s="1"/>
      <c r="IV183" s="1"/>
      <c r="IW183" s="1"/>
      <c r="IX183" s="1"/>
      <c r="IY183" s="1"/>
      <c r="IZ183" s="1"/>
      <c r="JA183" s="1"/>
      <c r="JB183" s="1"/>
      <c r="JC183" s="1"/>
      <c r="JD183" s="1"/>
      <c r="JE183" s="1"/>
      <c r="JF183" s="1"/>
      <c r="JG183" s="1"/>
      <c r="JH183" s="1"/>
      <c r="JI183" s="1"/>
      <c r="JJ183" s="1"/>
      <c r="JK183" s="1"/>
      <c r="JL183" s="1"/>
      <c r="JM183" s="1"/>
      <c r="JN183" s="1"/>
      <c r="JO183" s="1"/>
      <c r="JP183" s="1"/>
      <c r="JQ183" s="1"/>
      <c r="JR183" s="1"/>
      <c r="JS183" s="1"/>
      <c r="JT183" s="1"/>
      <c r="JU183" s="1"/>
      <c r="JV183" s="1"/>
      <c r="JW183" s="1"/>
      <c r="JX183" s="1"/>
      <c r="JY183" s="1"/>
      <c r="JZ183" s="1"/>
      <c r="KA183" s="1"/>
      <c r="KB183" s="1"/>
      <c r="KC183" s="1"/>
      <c r="KD183" s="1"/>
      <c r="KE183" s="1"/>
      <c r="KF183" s="1"/>
      <c r="KG183" s="1"/>
      <c r="KH183" s="1"/>
      <c r="KI183" s="1"/>
      <c r="KJ183" s="1"/>
      <c r="KK183" s="1"/>
      <c r="KL183" s="1"/>
      <c r="KM183" s="1"/>
      <c r="KN183" s="1"/>
      <c r="KO183" s="1"/>
      <c r="KP183" s="1"/>
      <c r="KQ183" s="1"/>
      <c r="KR183" s="1"/>
      <c r="KS183" s="1"/>
      <c r="KT183" s="1"/>
      <c r="KU183" s="1"/>
      <c r="KV183" s="1"/>
      <c r="KW183" s="1"/>
      <c r="KX183" s="1"/>
      <c r="KY183" s="1"/>
      <c r="KZ183" s="1"/>
      <c r="LA183" s="1"/>
      <c r="LB183" s="1"/>
      <c r="LC183" s="1"/>
      <c r="LD183" s="1"/>
      <c r="LE183" s="1"/>
      <c r="LF183" s="1"/>
      <c r="LG183" s="1"/>
      <c r="LH183" s="1"/>
      <c r="LI183" s="1"/>
      <c r="LJ183" s="1"/>
      <c r="LK183" s="1"/>
      <c r="LL183" s="1"/>
      <c r="LM183" s="1"/>
      <c r="LN183" s="1"/>
      <c r="LO183" s="1"/>
      <c r="LP183" s="1"/>
      <c r="LQ183" s="1"/>
      <c r="LR183" s="1"/>
      <c r="LS183" s="1"/>
      <c r="LT183" s="1"/>
      <c r="LU183" s="1"/>
      <c r="LV183" s="1"/>
      <c r="LW183" s="1"/>
      <c r="LX183" s="1"/>
      <c r="LY183" s="1"/>
      <c r="LZ183" s="1"/>
      <c r="MA183" s="1"/>
      <c r="MB183" s="1"/>
      <c r="MC183" s="1"/>
      <c r="MD183" s="1"/>
      <c r="ME183" s="1"/>
      <c r="MF183" s="1"/>
      <c r="MG183" s="1"/>
      <c r="MH183" s="1"/>
      <c r="MI183" s="1"/>
      <c r="MJ183" s="1"/>
      <c r="MK183" s="1"/>
      <c r="ML183" s="1"/>
      <c r="MM183" s="1"/>
      <c r="MN183" s="1"/>
      <c r="MO183" s="1"/>
      <c r="MP183" s="1"/>
      <c r="MQ183" s="1"/>
      <c r="MR183" s="1"/>
      <c r="MS183" s="1"/>
      <c r="MT183" s="1"/>
      <c r="MU183" s="1"/>
      <c r="MV183" s="1"/>
      <c r="MW183" s="1"/>
      <c r="MX183" s="1"/>
      <c r="MY183" s="1"/>
      <c r="MZ183" s="1"/>
      <c r="NA183" s="1"/>
      <c r="NB183" s="1"/>
      <c r="NC183" s="1"/>
      <c r="ND183" s="1"/>
      <c r="NE183" s="1"/>
      <c r="NF183" s="1"/>
      <c r="NG183" s="1"/>
      <c r="NH183" s="1"/>
      <c r="NI183" s="1"/>
      <c r="NJ183" s="1"/>
      <c r="NK183" s="1"/>
      <c r="NL183" s="1"/>
      <c r="NM183" s="1"/>
      <c r="NN183" s="1"/>
      <c r="NO183" s="1"/>
      <c r="NP183" s="1"/>
      <c r="NQ183" s="1"/>
      <c r="NR183" s="1"/>
      <c r="NS183" s="1"/>
      <c r="NT183" s="1"/>
      <c r="NU183" s="1"/>
      <c r="NV183" s="1"/>
      <c r="NW183" s="1"/>
      <c r="NX183" s="1"/>
      <c r="NY183" s="1"/>
      <c r="NZ183" s="1"/>
      <c r="OA183" s="1"/>
      <c r="OB183" s="1"/>
      <c r="OC183" s="1"/>
      <c r="OD183" s="1"/>
      <c r="OE183" s="1"/>
      <c r="OF183" s="1"/>
      <c r="OG183" s="1"/>
      <c r="OH183" s="1"/>
      <c r="OI183" s="1"/>
      <c r="OJ183" s="1"/>
      <c r="OK183" s="1"/>
      <c r="OL183" s="1"/>
      <c r="OM183" s="1"/>
      <c r="ON183" s="1"/>
      <c r="OO183" s="1"/>
      <c r="OP183" s="1"/>
      <c r="OQ183" s="1"/>
      <c r="OR183" s="1"/>
      <c r="OS183" s="1"/>
      <c r="OT183" s="1"/>
      <c r="OU183" s="1"/>
      <c r="OV183" s="1"/>
      <c r="OW183" s="1"/>
      <c r="OX183" s="1"/>
      <c r="OY183" s="1"/>
      <c r="OZ183" s="1"/>
      <c r="PA183" s="1"/>
      <c r="PB183" s="1"/>
      <c r="PC183" s="1"/>
      <c r="PD183" s="1"/>
      <c r="PE183" s="1"/>
      <c r="PF183" s="1"/>
      <c r="PG183" s="1"/>
      <c r="PH183" s="1"/>
      <c r="PI183" s="1"/>
      <c r="PJ183" s="1"/>
      <c r="PK183" s="1"/>
      <c r="PL183" s="1"/>
      <c r="PM183" s="1"/>
      <c r="PN183" s="1"/>
      <c r="PO183" s="1"/>
      <c r="PP183" s="1"/>
      <c r="PQ183" s="1"/>
      <c r="PR183" s="1"/>
      <c r="PS183" s="1"/>
      <c r="PT183" s="1"/>
      <c r="PU183" s="1"/>
      <c r="PV183" s="1"/>
      <c r="PW183" s="1"/>
      <c r="PX183" s="1"/>
      <c r="PY183" s="1"/>
      <c r="PZ183" s="1"/>
      <c r="QA183" s="1"/>
      <c r="QB183" s="1"/>
      <c r="QC183" s="1"/>
      <c r="QD183" s="1"/>
      <c r="QE183" s="1"/>
      <c r="QF183" s="1"/>
      <c r="QG183" s="1"/>
      <c r="QH183" s="1"/>
      <c r="QI183" s="1"/>
      <c r="QJ183" s="1"/>
      <c r="QK183" s="1"/>
      <c r="QL183" s="1"/>
      <c r="QM183" s="1"/>
      <c r="QN183" s="1"/>
      <c r="QO183" s="1"/>
      <c r="QP183" s="1"/>
      <c r="QQ183" s="1"/>
      <c r="QR183" s="1"/>
      <c r="QS183" s="1"/>
      <c r="QT183" s="1"/>
      <c r="QU183" s="1"/>
      <c r="QV183" s="1"/>
      <c r="QW183" s="1"/>
      <c r="QX183" s="1"/>
      <c r="QY183" s="1"/>
      <c r="QZ183" s="1"/>
      <c r="RA183" s="1"/>
      <c r="RB183" s="1"/>
      <c r="RC183" s="1"/>
      <c r="RD183" s="1"/>
      <c r="RE183" s="1"/>
      <c r="RF183" s="1"/>
      <c r="RG183" s="1"/>
      <c r="RH183" s="1"/>
      <c r="RI183" s="1"/>
      <c r="RJ183" s="1"/>
      <c r="RK183" s="1"/>
      <c r="RL183" s="1"/>
      <c r="RM183" s="1"/>
      <c r="RN183" s="1"/>
      <c r="RO183" s="1"/>
      <c r="RP183" s="1"/>
      <c r="RQ183" s="1"/>
      <c r="RR183" s="1"/>
      <c r="RS183" s="1"/>
      <c r="RT183" s="1"/>
      <c r="RU183" s="1"/>
      <c r="RV183" s="1"/>
      <c r="RW183" s="1"/>
      <c r="RX183" s="1"/>
      <c r="RY183" s="1"/>
      <c r="RZ183" s="1"/>
      <c r="SA183" s="1"/>
      <c r="SB183" s="1"/>
      <c r="SC183" s="1"/>
      <c r="SD183" s="1"/>
      <c r="SE183" s="1"/>
      <c r="SF183" s="1"/>
      <c r="SG183" s="1"/>
      <c r="SH183" s="1"/>
      <c r="SI183" s="1"/>
      <c r="SJ183" s="1"/>
      <c r="SK183" s="1"/>
      <c r="SL183" s="1"/>
      <c r="SM183" s="1"/>
      <c r="SN183" s="1"/>
      <c r="SO183" s="1"/>
      <c r="SP183" s="1"/>
      <c r="SQ183" s="1"/>
      <c r="SR183" s="1"/>
      <c r="SS183" s="1"/>
      <c r="ST183" s="1"/>
      <c r="SU183" s="1"/>
      <c r="SV183" s="1"/>
      <c r="SW183" s="1"/>
      <c r="SX183" s="1"/>
      <c r="SY183" s="1"/>
      <c r="SZ183" s="1"/>
      <c r="TA183" s="1"/>
      <c r="TB183" s="1"/>
      <c r="TC183" s="1"/>
      <c r="TD183" s="1"/>
      <c r="TE183" s="1"/>
      <c r="TF183" s="1"/>
      <c r="TG183" s="1"/>
      <c r="TH183" s="1"/>
      <c r="TI183" s="1"/>
      <c r="TJ183" s="1"/>
      <c r="TK183" s="1"/>
      <c r="TL183" s="1"/>
      <c r="TM183" s="1"/>
      <c r="TN183" s="1"/>
      <c r="TO183" s="1"/>
      <c r="TP183" s="1"/>
      <c r="TQ183" s="1"/>
      <c r="TR183" s="1"/>
      <c r="TS183" s="1"/>
      <c r="TT183" s="1"/>
      <c r="TU183" s="1"/>
      <c r="TV183" s="1"/>
      <c r="TW183" s="1"/>
      <c r="TX183" s="1"/>
      <c r="TY183" s="1"/>
      <c r="TZ183" s="1"/>
      <c r="UA183" s="1"/>
      <c r="UB183" s="1"/>
      <c r="UC183" s="1"/>
      <c r="UD183" s="1"/>
      <c r="UE183" s="1"/>
      <c r="UF183" s="1"/>
      <c r="UG183" s="1"/>
      <c r="UH183" s="1"/>
      <c r="UI183" s="1"/>
      <c r="UJ183" s="1"/>
      <c r="UK183" s="1"/>
      <c r="UL183" s="1"/>
      <c r="UM183" s="1"/>
      <c r="UN183" s="1"/>
      <c r="UO183" s="1"/>
      <c r="UP183" s="1"/>
      <c r="UQ183" s="1"/>
      <c r="UR183" s="1"/>
      <c r="US183" s="1"/>
      <c r="UT183" s="1"/>
      <c r="UU183" s="1"/>
      <c r="UV183" s="1"/>
      <c r="UW183" s="1"/>
      <c r="UX183" s="1"/>
      <c r="UY183" s="1"/>
      <c r="UZ183" s="1"/>
      <c r="VA183" s="1"/>
      <c r="VB183" s="1"/>
      <c r="VC183" s="1"/>
      <c r="VD183" s="1"/>
      <c r="VE183" s="1"/>
      <c r="VF183" s="1"/>
      <c r="VG183" s="1"/>
      <c r="VH183" s="1"/>
      <c r="VI183" s="1"/>
      <c r="VJ183" s="1"/>
      <c r="VK183" s="1"/>
      <c r="VL183" s="1"/>
      <c r="VM183" s="1"/>
      <c r="VN183" s="1"/>
      <c r="VO183" s="1"/>
      <c r="VP183" s="1"/>
      <c r="VQ183" s="1"/>
      <c r="VR183" s="1"/>
      <c r="VS183" s="1"/>
      <c r="VT183" s="1"/>
      <c r="VU183" s="1"/>
      <c r="VV183" s="1"/>
      <c r="VW183" s="1"/>
      <c r="VX183" s="1"/>
      <c r="VY183" s="1"/>
      <c r="VZ183" s="1"/>
      <c r="WA183" s="1"/>
      <c r="WB183" s="1"/>
      <c r="WC183" s="1"/>
      <c r="WD183" s="1"/>
      <c r="WE183" s="1"/>
      <c r="WF183" s="1"/>
      <c r="WG183" s="1"/>
      <c r="WH183" s="1"/>
      <c r="WI183" s="1"/>
      <c r="WJ183" s="1"/>
      <c r="WK183" s="1"/>
      <c r="WL183" s="1"/>
      <c r="WM183" s="1"/>
      <c r="WN183" s="1"/>
      <c r="WO183" s="1"/>
      <c r="WP183" s="1"/>
      <c r="WQ183" s="1"/>
      <c r="WR183" s="1"/>
      <c r="WS183" s="1"/>
      <c r="WT183" s="1"/>
      <c r="WU183" s="1"/>
      <c r="WV183" s="1"/>
      <c r="WW183" s="1"/>
      <c r="WX183" s="1"/>
      <c r="WY183" s="1"/>
      <c r="WZ183" s="1"/>
      <c r="XA183" s="1"/>
      <c r="XB183" s="1"/>
      <c r="XC183" s="1"/>
      <c r="XD183" s="1"/>
      <c r="XE183" s="1"/>
      <c r="XF183" s="1"/>
      <c r="XG183" s="1"/>
      <c r="XH183" s="1"/>
      <c r="XI183" s="1"/>
      <c r="XJ183" s="1"/>
      <c r="XK183" s="1"/>
      <c r="XL183" s="1"/>
      <c r="XM183" s="1"/>
      <c r="XN183" s="1"/>
      <c r="XO183" s="1"/>
      <c r="XP183" s="1"/>
      <c r="XQ183" s="1"/>
      <c r="XR183" s="1"/>
      <c r="XS183" s="1"/>
      <c r="XT183" s="1"/>
      <c r="XU183" s="1"/>
      <c r="XV183" s="1"/>
      <c r="XW183" s="1"/>
      <c r="XX183" s="1"/>
      <c r="XY183" s="1"/>
      <c r="XZ183" s="1"/>
      <c r="YA183" s="1"/>
      <c r="YB183" s="1"/>
      <c r="YC183" s="1"/>
      <c r="YD183" s="1"/>
      <c r="YE183" s="1"/>
      <c r="YF183" s="1"/>
      <c r="YG183" s="1"/>
      <c r="YH183" s="1"/>
      <c r="YI183" s="1"/>
      <c r="YJ183" s="1"/>
      <c r="YK183" s="1"/>
      <c r="YL183" s="1"/>
      <c r="YM183" s="1"/>
      <c r="YN183" s="1"/>
      <c r="YO183" s="1"/>
      <c r="YP183" s="1"/>
      <c r="YQ183" s="1"/>
      <c r="YR183" s="1"/>
      <c r="YS183" s="1"/>
      <c r="YT183" s="1"/>
      <c r="YU183" s="1"/>
      <c r="YV183" s="1"/>
      <c r="YW183" s="1"/>
      <c r="YX183" s="1"/>
      <c r="YY183" s="1"/>
      <c r="YZ183" s="1"/>
      <c r="ZA183" s="1"/>
      <c r="ZB183" s="1"/>
      <c r="ZC183" s="1"/>
      <c r="ZD183" s="1"/>
      <c r="ZE183" s="1"/>
      <c r="ZF183" s="1"/>
      <c r="ZG183" s="1"/>
      <c r="ZH183" s="1"/>
      <c r="ZI183" s="1"/>
      <c r="ZJ183" s="1"/>
      <c r="ZK183" s="1"/>
      <c r="ZL183" s="1"/>
      <c r="ZM183" s="1"/>
      <c r="ZN183" s="1"/>
      <c r="ZO183" s="1"/>
      <c r="ZP183" s="1"/>
      <c r="ZQ183" s="1"/>
      <c r="ZR183" s="1"/>
      <c r="ZS183" s="1"/>
      <c r="ZT183" s="1"/>
      <c r="ZU183" s="1"/>
      <c r="ZV183" s="1"/>
      <c r="ZW183" s="1"/>
      <c r="ZX183" s="1"/>
      <c r="ZY183" s="1"/>
      <c r="ZZ183" s="1"/>
      <c r="AAA183" s="1"/>
      <c r="AAB183" s="1"/>
      <c r="AAC183" s="1"/>
      <c r="AAD183" s="1"/>
      <c r="AAE183" s="1"/>
      <c r="AAF183" s="1"/>
      <c r="AAG183" s="1"/>
      <c r="AAH183" s="1"/>
      <c r="AAI183" s="1"/>
      <c r="AAJ183" s="1"/>
      <c r="AAK183" s="1"/>
      <c r="AAL183" s="1"/>
      <c r="AAM183" s="1"/>
      <c r="AAN183" s="1"/>
      <c r="AAO183" s="1"/>
      <c r="AAP183" s="1"/>
      <c r="AAQ183" s="1"/>
      <c r="AAR183" s="1"/>
      <c r="AAS183" s="1"/>
      <c r="AAT183" s="1"/>
      <c r="AAU183" s="1"/>
      <c r="AAV183" s="1"/>
      <c r="AAW183" s="1"/>
      <c r="AAX183" s="1"/>
      <c r="AAY183" s="1"/>
      <c r="AAZ183" s="1"/>
      <c r="ABA183" s="1"/>
      <c r="ABB183" s="1"/>
      <c r="ABC183" s="1"/>
      <c r="ABD183" s="1"/>
      <c r="ABE183" s="1"/>
      <c r="ABF183" s="1"/>
      <c r="ABG183" s="1"/>
      <c r="ABH183" s="1"/>
      <c r="ABI183" s="1"/>
      <c r="ABJ183" s="1"/>
      <c r="ABK183" s="1"/>
      <c r="ABL183" s="1"/>
      <c r="ABM183" s="1"/>
      <c r="ABN183" s="1"/>
      <c r="ABO183" s="1"/>
      <c r="ABP183" s="1"/>
      <c r="ABQ183" s="1"/>
      <c r="ABR183" s="1"/>
      <c r="ABS183" s="1"/>
      <c r="ABT183" s="1"/>
      <c r="ABU183" s="1"/>
      <c r="ABV183" s="1"/>
      <c r="ABW183" s="1"/>
      <c r="ABX183" s="1"/>
      <c r="ABY183" s="1"/>
      <c r="ABZ183" s="1"/>
      <c r="ACA183" s="1"/>
      <c r="ACB183" s="1"/>
      <c r="ACC183" s="1"/>
      <c r="ACD183" s="1"/>
      <c r="ACE183" s="1"/>
      <c r="ACF183" s="1"/>
      <c r="ACG183" s="1"/>
      <c r="ACH183" s="1"/>
      <c r="ACI183" s="1"/>
      <c r="ACJ183" s="1"/>
      <c r="ACK183" s="1"/>
      <c r="ACL183" s="1"/>
      <c r="ACM183" s="1"/>
      <c r="ACN183" s="1"/>
      <c r="ACO183" s="1"/>
      <c r="ACP183" s="1"/>
      <c r="ACQ183" s="1"/>
      <c r="ACR183" s="1"/>
      <c r="ACS183" s="1"/>
      <c r="ACT183" s="1"/>
      <c r="ACU183" s="1"/>
      <c r="ACV183" s="1"/>
      <c r="ACW183" s="1"/>
      <c r="ACX183" s="1"/>
      <c r="ACY183" s="1"/>
      <c r="ACZ183" s="1"/>
      <c r="ADA183" s="1"/>
      <c r="ADB183" s="1"/>
      <c r="ADC183" s="1"/>
      <c r="ADD183" s="1"/>
      <c r="ADE183" s="1"/>
      <c r="ADF183" s="1"/>
      <c r="ADG183" s="1"/>
      <c r="ADH183" s="1"/>
      <c r="ADI183" s="1"/>
      <c r="ADJ183" s="1"/>
      <c r="ADK183" s="1"/>
      <c r="ADL183" s="1"/>
      <c r="ADM183" s="1"/>
      <c r="ADN183" s="1"/>
      <c r="ADO183" s="1"/>
      <c r="ADP183" s="1"/>
      <c r="ADQ183" s="1"/>
      <c r="ADR183" s="1"/>
      <c r="ADS183" s="1"/>
      <c r="ADT183" s="1"/>
      <c r="ADU183" s="1"/>
      <c r="ADV183" s="1"/>
      <c r="ADW183" s="1"/>
      <c r="ADX183" s="1"/>
      <c r="ADY183" s="1"/>
      <c r="ADZ183" s="1"/>
      <c r="AEA183" s="1"/>
      <c r="AEB183" s="1"/>
      <c r="AEC183" s="1"/>
      <c r="AED183" s="1"/>
      <c r="AEE183" s="1"/>
      <c r="AEF183" s="1"/>
      <c r="AEG183" s="1"/>
      <c r="AEH183" s="1"/>
      <c r="AEI183" s="1"/>
      <c r="AEJ183" s="1"/>
      <c r="AEK183" s="1"/>
      <c r="AEL183" s="1"/>
      <c r="AEM183" s="1"/>
      <c r="AEN183" s="1"/>
      <c r="AEO183" s="1"/>
      <c r="AEP183" s="1"/>
      <c r="AEQ183" s="1"/>
      <c r="AER183" s="1"/>
      <c r="AES183" s="1"/>
      <c r="AET183" s="1"/>
      <c r="AEU183" s="1"/>
      <c r="AEV183" s="1"/>
      <c r="AEW183" s="1"/>
      <c r="AEX183" s="1"/>
      <c r="AEY183" s="1"/>
      <c r="AEZ183" s="1"/>
      <c r="AFA183" s="1"/>
      <c r="AFB183" s="1"/>
      <c r="AFC183" s="1"/>
      <c r="AFD183" s="1"/>
      <c r="AFE183" s="1"/>
      <c r="AFF183" s="1"/>
      <c r="AFG183" s="1"/>
      <c r="AFH183" s="1"/>
      <c r="AFI183" s="1"/>
      <c r="AFJ183" s="1"/>
      <c r="AFK183" s="1"/>
      <c r="AFL183" s="1"/>
      <c r="AFM183" s="1"/>
      <c r="AFN183" s="1"/>
      <c r="AFO183" s="1"/>
      <c r="AFP183" s="1"/>
      <c r="AFQ183" s="1"/>
      <c r="AFR183" s="1"/>
      <c r="AFS183" s="1"/>
      <c r="AFT183" s="1"/>
      <c r="AFU183" s="1"/>
      <c r="AFV183" s="1"/>
      <c r="AFW183" s="1"/>
      <c r="AFX183" s="1"/>
      <c r="AFY183" s="1"/>
      <c r="AFZ183" s="1"/>
      <c r="AGA183" s="1"/>
      <c r="AGB183" s="1"/>
      <c r="AGC183" s="1"/>
      <c r="AGD183" s="1"/>
      <c r="AGE183" s="1"/>
      <c r="AGF183" s="1"/>
      <c r="AGG183" s="1"/>
      <c r="AGH183" s="1"/>
      <c r="AGI183" s="1"/>
      <c r="AGJ183" s="1"/>
      <c r="AGK183" s="1"/>
      <c r="AGL183" s="1"/>
      <c r="AGM183" s="1"/>
      <c r="AGN183" s="1"/>
      <c r="AGO183" s="1"/>
      <c r="AGP183" s="1"/>
      <c r="AGQ183" s="1"/>
      <c r="AGR183" s="1"/>
      <c r="AGS183" s="1"/>
      <c r="AGT183" s="1"/>
      <c r="AGU183" s="1"/>
      <c r="AGV183" s="1"/>
      <c r="AGW183" s="1"/>
      <c r="AGX183" s="1"/>
      <c r="AGY183" s="1"/>
      <c r="AGZ183" s="1"/>
      <c r="AHA183" s="1"/>
      <c r="AHB183" s="1"/>
      <c r="AHC183" s="1"/>
      <c r="AHD183" s="1"/>
      <c r="AHE183" s="1"/>
      <c r="AHF183" s="1"/>
      <c r="AHG183" s="1"/>
      <c r="AHH183" s="1"/>
      <c r="AHI183" s="1"/>
      <c r="AHJ183" s="1"/>
      <c r="AHK183" s="1"/>
      <c r="AHL183" s="1"/>
      <c r="AHM183" s="1"/>
      <c r="AHN183" s="1"/>
      <c r="AHO183" s="1"/>
      <c r="AHP183" s="1"/>
      <c r="AHQ183" s="1"/>
      <c r="AHR183" s="1"/>
      <c r="AHS183" s="1"/>
      <c r="AHT183" s="1"/>
      <c r="AHU183" s="1"/>
      <c r="AHV183" s="1"/>
      <c r="AHW183" s="1"/>
      <c r="AHX183" s="1"/>
      <c r="AHY183" s="1"/>
      <c r="AHZ183" s="1"/>
      <c r="AIA183" s="1"/>
      <c r="AIB183" s="1"/>
      <c r="AIC183" s="1"/>
      <c r="AID183" s="1"/>
      <c r="AIE183" s="1"/>
      <c r="AIF183" s="1"/>
      <c r="AIG183" s="1"/>
      <c r="AIH183" s="1"/>
      <c r="AII183" s="1"/>
      <c r="AIJ183" s="1"/>
      <c r="AIK183" s="1"/>
      <c r="AIL183" s="1"/>
      <c r="AIM183" s="1"/>
      <c r="AIN183" s="1"/>
      <c r="AIO183" s="1"/>
      <c r="AIP183" s="1"/>
      <c r="AIQ183" s="1"/>
      <c r="AIR183" s="1"/>
      <c r="AIS183" s="1"/>
      <c r="AIT183" s="1"/>
      <c r="AIU183" s="1"/>
      <c r="AIV183" s="1"/>
      <c r="AIW183" s="1"/>
      <c r="AIX183" s="1"/>
      <c r="AIY183" s="1"/>
      <c r="AIZ183" s="1"/>
      <c r="AJA183" s="1"/>
      <c r="AJB183" s="1"/>
      <c r="AJC183" s="1"/>
      <c r="AJD183" s="1"/>
      <c r="AJE183" s="1"/>
      <c r="AJF183" s="1"/>
      <c r="AJG183" s="1"/>
      <c r="AJH183" s="1"/>
      <c r="AJI183" s="1"/>
      <c r="AJJ183" s="1"/>
      <c r="AJK183" s="1"/>
      <c r="AJL183" s="1"/>
      <c r="AJM183" s="1"/>
      <c r="AJN183" s="1"/>
      <c r="AJO183" s="1"/>
      <c r="AJP183" s="1"/>
      <c r="AJQ183" s="1"/>
      <c r="AJR183" s="1"/>
      <c r="AJS183" s="1"/>
      <c r="AJT183" s="1"/>
      <c r="AJU183" s="1"/>
      <c r="AJV183" s="1"/>
      <c r="AJW183" s="1"/>
      <c r="AJX183" s="1"/>
      <c r="AJY183" s="1"/>
      <c r="AJZ183" s="1"/>
      <c r="AKA183" s="1"/>
      <c r="AKB183" s="1"/>
      <c r="AKC183" s="1"/>
      <c r="AKD183" s="1"/>
      <c r="AKE183" s="1"/>
      <c r="AKF183" s="1"/>
      <c r="AKG183" s="1"/>
      <c r="AKH183" s="1"/>
      <c r="AKI183" s="1"/>
      <c r="AKJ183" s="1"/>
      <c r="AKK183" s="1"/>
      <c r="AKL183" s="1"/>
      <c r="AKM183" s="1"/>
      <c r="AKN183" s="1"/>
      <c r="AKO183" s="1"/>
      <c r="AKP183" s="1"/>
      <c r="AKQ183" s="1"/>
      <c r="AKR183" s="1"/>
      <c r="AKS183" s="1"/>
      <c r="AKT183" s="1"/>
      <c r="AKU183" s="1"/>
      <c r="AKV183" s="1"/>
      <c r="AKW183" s="1"/>
      <c r="AKX183" s="1"/>
      <c r="AKY183" s="1"/>
      <c r="AKZ183" s="1"/>
      <c r="ALA183" s="1"/>
      <c r="ALB183" s="1"/>
      <c r="ALC183" s="1"/>
      <c r="ALD183" s="1"/>
      <c r="ALE183" s="1"/>
      <c r="ALF183" s="1"/>
      <c r="ALG183" s="1"/>
      <c r="ALH183" s="1"/>
      <c r="ALI183" s="1"/>
      <c r="ALJ183" s="1"/>
      <c r="ALK183" s="1"/>
      <c r="ALL183" s="1"/>
      <c r="ALM183" s="1"/>
      <c r="ALN183" s="1"/>
      <c r="ALO183" s="1"/>
      <c r="ALP183" s="1"/>
      <c r="ALQ183" s="1"/>
      <c r="ALR183" s="1"/>
      <c r="ALS183" s="1"/>
      <c r="ALT183" s="1"/>
      <c r="ALU183" s="1"/>
      <c r="ALV183" s="1"/>
      <c r="ALW183" s="1"/>
      <c r="ALX183" s="1"/>
      <c r="ALY183" s="1"/>
      <c r="ALZ183" s="1"/>
      <c r="AMA183" s="1"/>
      <c r="AMB183" s="1"/>
      <c r="AMC183" s="1"/>
      <c r="AMD183" s="1"/>
      <c r="AME183" s="1"/>
      <c r="AMF183" s="1"/>
      <c r="AMG183" s="1"/>
      <c r="AMH183" s="1"/>
      <c r="AMI183" s="1"/>
      <c r="AMJ183" s="1"/>
    </row>
    <row r="184" customFormat="false" ht="10.5" hidden="false" customHeight="true" outlineLevel="0" collapsed="false">
      <c r="A184" s="48" t="s">
        <v>312</v>
      </c>
      <c r="B184" s="48"/>
      <c r="C184" s="48"/>
      <c r="D184" s="48"/>
      <c r="E184" s="48"/>
      <c r="F184" s="48"/>
      <c r="G184" s="48"/>
      <c r="H184" s="48"/>
      <c r="I184" s="48"/>
      <c r="J184" s="48"/>
      <c r="K184" s="48"/>
      <c r="L184" s="48"/>
      <c r="M184" s="48"/>
      <c r="N184" s="48"/>
      <c r="O184" s="48"/>
      <c r="P184" s="48"/>
      <c r="Q184" s="48"/>
      <c r="R184" s="48"/>
      <c r="S184" s="48"/>
      <c r="T184" s="48"/>
      <c r="U184" s="48"/>
      <c r="V184" s="48"/>
      <c r="W184" s="48"/>
      <c r="X184" s="48"/>
      <c r="Y184" s="48"/>
      <c r="Z184" s="48"/>
      <c r="AA184" s="48"/>
      <c r="AB184" s="48"/>
      <c r="AC184" s="48"/>
      <c r="AD184" s="48"/>
      <c r="AE184" s="48"/>
      <c r="AF184" s="48"/>
      <c r="AG184" s="48"/>
      <c r="AH184" s="48"/>
      <c r="AI184" s="48"/>
      <c r="AJ184" s="48"/>
      <c r="AK184" s="48"/>
      <c r="AL184" s="48"/>
      <c r="AM184" s="48"/>
      <c r="AN184" s="48"/>
      <c r="AO184" s="48"/>
      <c r="BE184" s="1"/>
      <c r="BF184" s="1"/>
      <c r="BG184" s="1"/>
      <c r="BH184" s="1"/>
      <c r="BI184" s="1"/>
      <c r="BJ184" s="1"/>
      <c r="BK184" s="1"/>
      <c r="BL184" s="1"/>
      <c r="BM184" s="1"/>
      <c r="BN184" s="1"/>
      <c r="BO184" s="1"/>
      <c r="BP184" s="1"/>
      <c r="BQ184" s="1"/>
      <c r="BR184" s="1"/>
      <c r="BS184" s="1"/>
      <c r="BT184" s="1"/>
      <c r="BU184" s="1"/>
      <c r="BV184" s="1"/>
      <c r="BW184" s="1"/>
      <c r="BX184" s="1"/>
      <c r="BY184" s="1"/>
      <c r="BZ184" s="1"/>
      <c r="CA184" s="1"/>
      <c r="CB184" s="1"/>
      <c r="CC184" s="1"/>
      <c r="CD184" s="1"/>
      <c r="CE184" s="1"/>
      <c r="CF184" s="1"/>
      <c r="CG184" s="1"/>
      <c r="CH184" s="1"/>
      <c r="CI184" s="1"/>
      <c r="CJ184" s="1"/>
      <c r="CK184" s="1"/>
      <c r="CL184" s="1"/>
      <c r="CM184" s="1"/>
      <c r="CN184" s="1"/>
      <c r="CO184" s="1"/>
      <c r="CP184" s="1"/>
      <c r="CQ184" s="1"/>
      <c r="CR184" s="1"/>
      <c r="CS184" s="1"/>
      <c r="CT184" s="1"/>
      <c r="CU184" s="1"/>
      <c r="CV184" s="1"/>
      <c r="CW184" s="1"/>
      <c r="CX184" s="1"/>
      <c r="CY184" s="1"/>
      <c r="CZ184" s="1"/>
      <c r="DA184" s="1"/>
      <c r="DB184" s="1"/>
      <c r="DC184" s="1"/>
      <c r="DD184" s="1"/>
      <c r="DE184" s="1"/>
      <c r="DF184" s="1"/>
      <c r="DG184" s="1"/>
      <c r="DH184" s="1"/>
      <c r="DI184" s="1"/>
      <c r="DJ184" s="1"/>
      <c r="DK184" s="1"/>
      <c r="DL184" s="1"/>
      <c r="DM184" s="1"/>
      <c r="DN184" s="1"/>
      <c r="DO184" s="1"/>
      <c r="DP184" s="1"/>
      <c r="DQ184" s="1"/>
      <c r="DR184" s="1"/>
      <c r="DS184" s="1"/>
      <c r="DT184" s="1"/>
      <c r="DU184" s="1"/>
      <c r="DV184" s="1"/>
      <c r="DW184" s="1"/>
      <c r="DX184" s="1"/>
      <c r="DY184" s="1"/>
      <c r="DZ184" s="1"/>
      <c r="EA184" s="1"/>
      <c r="EB184" s="1"/>
      <c r="EC184" s="1"/>
      <c r="ED184" s="1"/>
      <c r="EE184" s="1"/>
      <c r="EF184" s="1"/>
      <c r="EG184" s="1"/>
      <c r="EH184" s="1"/>
      <c r="EI184" s="1"/>
      <c r="EJ184" s="1"/>
      <c r="EK184" s="1"/>
      <c r="EL184" s="1"/>
      <c r="EM184" s="1"/>
      <c r="EN184" s="1"/>
      <c r="EO184" s="1"/>
      <c r="EP184" s="1"/>
      <c r="EQ184" s="1"/>
      <c r="ER184" s="1"/>
      <c r="ES184" s="1"/>
      <c r="ET184" s="1"/>
      <c r="EU184" s="1"/>
      <c r="EV184" s="1"/>
      <c r="EW184" s="1"/>
      <c r="EX184" s="1"/>
      <c r="EY184" s="1"/>
      <c r="EZ184" s="1"/>
      <c r="FA184" s="1"/>
      <c r="FB184" s="1"/>
      <c r="FC184" s="1"/>
      <c r="FD184" s="1"/>
      <c r="FE184" s="1"/>
      <c r="FF184" s="1"/>
      <c r="FG184" s="1"/>
      <c r="FH184" s="1"/>
      <c r="FI184" s="1"/>
      <c r="FJ184" s="1"/>
      <c r="FK184" s="1"/>
      <c r="FL184" s="1"/>
      <c r="FM184" s="1"/>
      <c r="FN184" s="1"/>
      <c r="FO184" s="1"/>
      <c r="FP184" s="1"/>
      <c r="FQ184" s="1"/>
      <c r="FR184" s="1"/>
      <c r="FS184" s="1"/>
      <c r="FT184" s="1"/>
      <c r="FU184" s="1"/>
      <c r="FV184" s="1"/>
      <c r="FW184" s="1"/>
      <c r="FX184" s="1"/>
      <c r="FY184" s="1"/>
      <c r="FZ184" s="1"/>
      <c r="GA184" s="1"/>
      <c r="GB184" s="1"/>
      <c r="GC184" s="1"/>
      <c r="GD184" s="1"/>
      <c r="GE184" s="1"/>
      <c r="GF184" s="1"/>
      <c r="GG184" s="1"/>
      <c r="GH184" s="1"/>
      <c r="GI184" s="1"/>
      <c r="GJ184" s="1"/>
      <c r="GK184" s="1"/>
      <c r="GL184" s="1"/>
      <c r="GM184" s="1"/>
      <c r="GN184" s="1"/>
      <c r="GO184" s="1"/>
      <c r="GP184" s="1"/>
      <c r="GQ184" s="1"/>
      <c r="GR184" s="1"/>
      <c r="GS184" s="1"/>
      <c r="GT184" s="1"/>
      <c r="GU184" s="1"/>
      <c r="GV184" s="1"/>
      <c r="GW184" s="1"/>
      <c r="GX184" s="1"/>
      <c r="GY184" s="1"/>
      <c r="GZ184" s="1"/>
      <c r="HA184" s="1"/>
      <c r="HB184" s="1"/>
      <c r="HC184" s="1"/>
      <c r="HD184" s="1"/>
      <c r="HE184" s="1"/>
      <c r="HF184" s="1"/>
      <c r="HG184" s="1"/>
      <c r="HH184" s="1"/>
      <c r="HI184" s="1"/>
      <c r="HJ184" s="1"/>
      <c r="HK184" s="1"/>
      <c r="HL184" s="1"/>
      <c r="HM184" s="1"/>
      <c r="HN184" s="1"/>
      <c r="HO184" s="1"/>
      <c r="HP184" s="1"/>
      <c r="HQ184" s="1"/>
      <c r="HR184" s="1"/>
      <c r="HS184" s="1"/>
      <c r="HT184" s="1"/>
      <c r="HU184" s="1"/>
      <c r="HV184" s="1"/>
      <c r="HW184" s="1"/>
      <c r="HX184" s="1"/>
      <c r="HY184" s="1"/>
      <c r="HZ184" s="1"/>
      <c r="IA184" s="1"/>
      <c r="IB184" s="1"/>
      <c r="IC184" s="1"/>
      <c r="ID184" s="1"/>
      <c r="IE184" s="1"/>
      <c r="IF184" s="1"/>
      <c r="IG184" s="1"/>
      <c r="IH184" s="1"/>
      <c r="II184" s="1"/>
      <c r="IJ184" s="1"/>
      <c r="IK184" s="1"/>
      <c r="IL184" s="1"/>
      <c r="IM184" s="1"/>
      <c r="IN184" s="1"/>
      <c r="IO184" s="1"/>
      <c r="IP184" s="1"/>
      <c r="IQ184" s="1"/>
      <c r="IR184" s="1"/>
      <c r="IS184" s="1"/>
      <c r="IT184" s="1"/>
      <c r="IU184" s="1"/>
      <c r="IV184" s="1"/>
      <c r="IW184" s="1"/>
      <c r="IX184" s="1"/>
      <c r="IY184" s="1"/>
      <c r="IZ184" s="1"/>
      <c r="JA184" s="1"/>
      <c r="JB184" s="1"/>
      <c r="JC184" s="1"/>
      <c r="JD184" s="1"/>
      <c r="JE184" s="1"/>
      <c r="JF184" s="1"/>
      <c r="JG184" s="1"/>
      <c r="JH184" s="1"/>
      <c r="JI184" s="1"/>
      <c r="JJ184" s="1"/>
      <c r="JK184" s="1"/>
      <c r="JL184" s="1"/>
      <c r="JM184" s="1"/>
      <c r="JN184" s="1"/>
      <c r="JO184" s="1"/>
      <c r="JP184" s="1"/>
      <c r="JQ184" s="1"/>
      <c r="JR184" s="1"/>
      <c r="JS184" s="1"/>
      <c r="JT184" s="1"/>
      <c r="JU184" s="1"/>
      <c r="JV184" s="1"/>
      <c r="JW184" s="1"/>
      <c r="JX184" s="1"/>
      <c r="JY184" s="1"/>
      <c r="JZ184" s="1"/>
      <c r="KA184" s="1"/>
      <c r="KB184" s="1"/>
      <c r="KC184" s="1"/>
      <c r="KD184" s="1"/>
      <c r="KE184" s="1"/>
      <c r="KF184" s="1"/>
      <c r="KG184" s="1"/>
      <c r="KH184" s="1"/>
      <c r="KI184" s="1"/>
      <c r="KJ184" s="1"/>
      <c r="KK184" s="1"/>
      <c r="KL184" s="1"/>
      <c r="KM184" s="1"/>
      <c r="KN184" s="1"/>
      <c r="KO184" s="1"/>
      <c r="KP184" s="1"/>
      <c r="KQ184" s="1"/>
      <c r="KR184" s="1"/>
      <c r="KS184" s="1"/>
      <c r="KT184" s="1"/>
      <c r="KU184" s="1"/>
      <c r="KV184" s="1"/>
      <c r="KW184" s="1"/>
      <c r="KX184" s="1"/>
      <c r="KY184" s="1"/>
      <c r="KZ184" s="1"/>
      <c r="LA184" s="1"/>
      <c r="LB184" s="1"/>
      <c r="LC184" s="1"/>
      <c r="LD184" s="1"/>
      <c r="LE184" s="1"/>
      <c r="LF184" s="1"/>
      <c r="LG184" s="1"/>
      <c r="LH184" s="1"/>
      <c r="LI184" s="1"/>
      <c r="LJ184" s="1"/>
      <c r="LK184" s="1"/>
      <c r="LL184" s="1"/>
      <c r="LM184" s="1"/>
      <c r="LN184" s="1"/>
      <c r="LO184" s="1"/>
      <c r="LP184" s="1"/>
      <c r="LQ184" s="1"/>
      <c r="LR184" s="1"/>
      <c r="LS184" s="1"/>
      <c r="LT184" s="1"/>
      <c r="LU184" s="1"/>
      <c r="LV184" s="1"/>
      <c r="LW184" s="1"/>
      <c r="LX184" s="1"/>
      <c r="LY184" s="1"/>
      <c r="LZ184" s="1"/>
      <c r="MA184" s="1"/>
      <c r="MB184" s="1"/>
      <c r="MC184" s="1"/>
      <c r="MD184" s="1"/>
      <c r="ME184" s="1"/>
      <c r="MF184" s="1"/>
      <c r="MG184" s="1"/>
      <c r="MH184" s="1"/>
      <c r="MI184" s="1"/>
      <c r="MJ184" s="1"/>
      <c r="MK184" s="1"/>
      <c r="ML184" s="1"/>
      <c r="MM184" s="1"/>
      <c r="MN184" s="1"/>
      <c r="MO184" s="1"/>
      <c r="MP184" s="1"/>
      <c r="MQ184" s="1"/>
      <c r="MR184" s="1"/>
      <c r="MS184" s="1"/>
      <c r="MT184" s="1"/>
      <c r="MU184" s="1"/>
      <c r="MV184" s="1"/>
      <c r="MW184" s="1"/>
      <c r="MX184" s="1"/>
      <c r="MY184" s="1"/>
      <c r="MZ184" s="1"/>
      <c r="NA184" s="1"/>
      <c r="NB184" s="1"/>
      <c r="NC184" s="1"/>
      <c r="ND184" s="1"/>
      <c r="NE184" s="1"/>
      <c r="NF184" s="1"/>
      <c r="NG184" s="1"/>
      <c r="NH184" s="1"/>
      <c r="NI184" s="1"/>
      <c r="NJ184" s="1"/>
      <c r="NK184" s="1"/>
      <c r="NL184" s="1"/>
      <c r="NM184" s="1"/>
      <c r="NN184" s="1"/>
      <c r="NO184" s="1"/>
      <c r="NP184" s="1"/>
      <c r="NQ184" s="1"/>
      <c r="NR184" s="1"/>
      <c r="NS184" s="1"/>
      <c r="NT184" s="1"/>
      <c r="NU184" s="1"/>
      <c r="NV184" s="1"/>
      <c r="NW184" s="1"/>
      <c r="NX184" s="1"/>
      <c r="NY184" s="1"/>
      <c r="NZ184" s="1"/>
      <c r="OA184" s="1"/>
      <c r="OB184" s="1"/>
      <c r="OC184" s="1"/>
      <c r="OD184" s="1"/>
      <c r="OE184" s="1"/>
      <c r="OF184" s="1"/>
      <c r="OG184" s="1"/>
      <c r="OH184" s="1"/>
      <c r="OI184" s="1"/>
      <c r="OJ184" s="1"/>
      <c r="OK184" s="1"/>
      <c r="OL184" s="1"/>
      <c r="OM184" s="1"/>
      <c r="ON184" s="1"/>
      <c r="OO184" s="1"/>
      <c r="OP184" s="1"/>
      <c r="OQ184" s="1"/>
      <c r="OR184" s="1"/>
      <c r="OS184" s="1"/>
      <c r="OT184" s="1"/>
      <c r="OU184" s="1"/>
      <c r="OV184" s="1"/>
      <c r="OW184" s="1"/>
      <c r="OX184" s="1"/>
      <c r="OY184" s="1"/>
      <c r="OZ184" s="1"/>
      <c r="PA184" s="1"/>
      <c r="PB184" s="1"/>
      <c r="PC184" s="1"/>
      <c r="PD184" s="1"/>
      <c r="PE184" s="1"/>
      <c r="PF184" s="1"/>
      <c r="PG184" s="1"/>
      <c r="PH184" s="1"/>
      <c r="PI184" s="1"/>
      <c r="PJ184" s="1"/>
      <c r="PK184" s="1"/>
      <c r="PL184" s="1"/>
      <c r="PM184" s="1"/>
      <c r="PN184" s="1"/>
      <c r="PO184" s="1"/>
      <c r="PP184" s="1"/>
      <c r="PQ184" s="1"/>
      <c r="PR184" s="1"/>
      <c r="PS184" s="1"/>
      <c r="PT184" s="1"/>
      <c r="PU184" s="1"/>
      <c r="PV184" s="1"/>
      <c r="PW184" s="1"/>
      <c r="PX184" s="1"/>
      <c r="PY184" s="1"/>
      <c r="PZ184" s="1"/>
      <c r="QA184" s="1"/>
      <c r="QB184" s="1"/>
      <c r="QC184" s="1"/>
      <c r="QD184" s="1"/>
      <c r="QE184" s="1"/>
      <c r="QF184" s="1"/>
      <c r="QG184" s="1"/>
      <c r="QH184" s="1"/>
      <c r="QI184" s="1"/>
      <c r="QJ184" s="1"/>
      <c r="QK184" s="1"/>
      <c r="QL184" s="1"/>
      <c r="QM184" s="1"/>
      <c r="QN184" s="1"/>
      <c r="QO184" s="1"/>
      <c r="QP184" s="1"/>
      <c r="QQ184" s="1"/>
      <c r="QR184" s="1"/>
      <c r="QS184" s="1"/>
      <c r="QT184" s="1"/>
      <c r="QU184" s="1"/>
      <c r="QV184" s="1"/>
      <c r="QW184" s="1"/>
      <c r="QX184" s="1"/>
      <c r="QY184" s="1"/>
      <c r="QZ184" s="1"/>
      <c r="RA184" s="1"/>
      <c r="RB184" s="1"/>
      <c r="RC184" s="1"/>
      <c r="RD184" s="1"/>
      <c r="RE184" s="1"/>
      <c r="RF184" s="1"/>
      <c r="RG184" s="1"/>
      <c r="RH184" s="1"/>
      <c r="RI184" s="1"/>
      <c r="RJ184" s="1"/>
      <c r="RK184" s="1"/>
      <c r="RL184" s="1"/>
      <c r="RM184" s="1"/>
      <c r="RN184" s="1"/>
      <c r="RO184" s="1"/>
      <c r="RP184" s="1"/>
      <c r="RQ184" s="1"/>
      <c r="RR184" s="1"/>
      <c r="RS184" s="1"/>
      <c r="RT184" s="1"/>
      <c r="RU184" s="1"/>
      <c r="RV184" s="1"/>
      <c r="RW184" s="1"/>
      <c r="RX184" s="1"/>
      <c r="RY184" s="1"/>
      <c r="RZ184" s="1"/>
      <c r="SA184" s="1"/>
      <c r="SB184" s="1"/>
      <c r="SC184" s="1"/>
      <c r="SD184" s="1"/>
      <c r="SE184" s="1"/>
      <c r="SF184" s="1"/>
      <c r="SG184" s="1"/>
      <c r="SH184" s="1"/>
      <c r="SI184" s="1"/>
      <c r="SJ184" s="1"/>
      <c r="SK184" s="1"/>
      <c r="SL184" s="1"/>
      <c r="SM184" s="1"/>
      <c r="SN184" s="1"/>
      <c r="SO184" s="1"/>
      <c r="SP184" s="1"/>
      <c r="SQ184" s="1"/>
      <c r="SR184" s="1"/>
      <c r="SS184" s="1"/>
      <c r="ST184" s="1"/>
      <c r="SU184" s="1"/>
      <c r="SV184" s="1"/>
      <c r="SW184" s="1"/>
      <c r="SX184" s="1"/>
      <c r="SY184" s="1"/>
      <c r="SZ184" s="1"/>
      <c r="TA184" s="1"/>
      <c r="TB184" s="1"/>
      <c r="TC184" s="1"/>
      <c r="TD184" s="1"/>
      <c r="TE184" s="1"/>
      <c r="TF184" s="1"/>
      <c r="TG184" s="1"/>
      <c r="TH184" s="1"/>
      <c r="TI184" s="1"/>
      <c r="TJ184" s="1"/>
      <c r="TK184" s="1"/>
      <c r="TL184" s="1"/>
      <c r="TM184" s="1"/>
      <c r="TN184" s="1"/>
      <c r="TO184" s="1"/>
      <c r="TP184" s="1"/>
      <c r="TQ184" s="1"/>
      <c r="TR184" s="1"/>
      <c r="TS184" s="1"/>
      <c r="TT184" s="1"/>
      <c r="TU184" s="1"/>
      <c r="TV184" s="1"/>
      <c r="TW184" s="1"/>
      <c r="TX184" s="1"/>
      <c r="TY184" s="1"/>
      <c r="TZ184" s="1"/>
      <c r="UA184" s="1"/>
      <c r="UB184" s="1"/>
      <c r="UC184" s="1"/>
      <c r="UD184" s="1"/>
      <c r="UE184" s="1"/>
      <c r="UF184" s="1"/>
      <c r="UG184" s="1"/>
      <c r="UH184" s="1"/>
      <c r="UI184" s="1"/>
      <c r="UJ184" s="1"/>
      <c r="UK184" s="1"/>
      <c r="UL184" s="1"/>
      <c r="UM184" s="1"/>
      <c r="UN184" s="1"/>
      <c r="UO184" s="1"/>
      <c r="UP184" s="1"/>
      <c r="UQ184" s="1"/>
      <c r="UR184" s="1"/>
      <c r="US184" s="1"/>
      <c r="UT184" s="1"/>
      <c r="UU184" s="1"/>
      <c r="UV184" s="1"/>
      <c r="UW184" s="1"/>
      <c r="UX184" s="1"/>
      <c r="UY184" s="1"/>
      <c r="UZ184" s="1"/>
      <c r="VA184" s="1"/>
      <c r="VB184" s="1"/>
      <c r="VC184" s="1"/>
      <c r="VD184" s="1"/>
      <c r="VE184" s="1"/>
      <c r="VF184" s="1"/>
      <c r="VG184" s="1"/>
      <c r="VH184" s="1"/>
      <c r="VI184" s="1"/>
      <c r="VJ184" s="1"/>
      <c r="VK184" s="1"/>
      <c r="VL184" s="1"/>
      <c r="VM184" s="1"/>
      <c r="VN184" s="1"/>
      <c r="VO184" s="1"/>
      <c r="VP184" s="1"/>
      <c r="VQ184" s="1"/>
      <c r="VR184" s="1"/>
      <c r="VS184" s="1"/>
      <c r="VT184" s="1"/>
      <c r="VU184" s="1"/>
      <c r="VV184" s="1"/>
      <c r="VW184" s="1"/>
      <c r="VX184" s="1"/>
      <c r="VY184" s="1"/>
      <c r="VZ184" s="1"/>
      <c r="WA184" s="1"/>
      <c r="WB184" s="1"/>
      <c r="WC184" s="1"/>
      <c r="WD184" s="1"/>
      <c r="WE184" s="1"/>
      <c r="WF184" s="1"/>
      <c r="WG184" s="1"/>
      <c r="WH184" s="1"/>
      <c r="WI184" s="1"/>
      <c r="WJ184" s="1"/>
      <c r="WK184" s="1"/>
      <c r="WL184" s="1"/>
      <c r="WM184" s="1"/>
      <c r="WN184" s="1"/>
      <c r="WO184" s="1"/>
      <c r="WP184" s="1"/>
      <c r="WQ184" s="1"/>
      <c r="WR184" s="1"/>
      <c r="WS184" s="1"/>
      <c r="WT184" s="1"/>
      <c r="WU184" s="1"/>
      <c r="WV184" s="1"/>
      <c r="WW184" s="1"/>
      <c r="WX184" s="1"/>
      <c r="WY184" s="1"/>
      <c r="WZ184" s="1"/>
      <c r="XA184" s="1"/>
      <c r="XB184" s="1"/>
      <c r="XC184" s="1"/>
      <c r="XD184" s="1"/>
      <c r="XE184" s="1"/>
      <c r="XF184" s="1"/>
      <c r="XG184" s="1"/>
      <c r="XH184" s="1"/>
      <c r="XI184" s="1"/>
      <c r="XJ184" s="1"/>
      <c r="XK184" s="1"/>
      <c r="XL184" s="1"/>
      <c r="XM184" s="1"/>
      <c r="XN184" s="1"/>
      <c r="XO184" s="1"/>
      <c r="XP184" s="1"/>
      <c r="XQ184" s="1"/>
      <c r="XR184" s="1"/>
      <c r="XS184" s="1"/>
      <c r="XT184" s="1"/>
      <c r="XU184" s="1"/>
      <c r="XV184" s="1"/>
      <c r="XW184" s="1"/>
      <c r="XX184" s="1"/>
      <c r="XY184" s="1"/>
      <c r="XZ184" s="1"/>
      <c r="YA184" s="1"/>
      <c r="YB184" s="1"/>
      <c r="YC184" s="1"/>
      <c r="YD184" s="1"/>
      <c r="YE184" s="1"/>
      <c r="YF184" s="1"/>
      <c r="YG184" s="1"/>
      <c r="YH184" s="1"/>
      <c r="YI184" s="1"/>
      <c r="YJ184" s="1"/>
      <c r="YK184" s="1"/>
      <c r="YL184" s="1"/>
      <c r="YM184" s="1"/>
      <c r="YN184" s="1"/>
      <c r="YO184" s="1"/>
      <c r="YP184" s="1"/>
      <c r="YQ184" s="1"/>
      <c r="YR184" s="1"/>
      <c r="YS184" s="1"/>
      <c r="YT184" s="1"/>
      <c r="YU184" s="1"/>
      <c r="YV184" s="1"/>
      <c r="YW184" s="1"/>
      <c r="YX184" s="1"/>
      <c r="YY184" s="1"/>
      <c r="YZ184" s="1"/>
      <c r="ZA184" s="1"/>
      <c r="ZB184" s="1"/>
      <c r="ZC184" s="1"/>
      <c r="ZD184" s="1"/>
      <c r="ZE184" s="1"/>
      <c r="ZF184" s="1"/>
      <c r="ZG184" s="1"/>
      <c r="ZH184" s="1"/>
      <c r="ZI184" s="1"/>
      <c r="ZJ184" s="1"/>
      <c r="ZK184" s="1"/>
      <c r="ZL184" s="1"/>
      <c r="ZM184" s="1"/>
      <c r="ZN184" s="1"/>
      <c r="ZO184" s="1"/>
      <c r="ZP184" s="1"/>
      <c r="ZQ184" s="1"/>
      <c r="ZR184" s="1"/>
      <c r="ZS184" s="1"/>
      <c r="ZT184" s="1"/>
      <c r="ZU184" s="1"/>
      <c r="ZV184" s="1"/>
      <c r="ZW184" s="1"/>
      <c r="ZX184" s="1"/>
      <c r="ZY184" s="1"/>
      <c r="ZZ184" s="1"/>
      <c r="AAA184" s="1"/>
      <c r="AAB184" s="1"/>
      <c r="AAC184" s="1"/>
      <c r="AAD184" s="1"/>
      <c r="AAE184" s="1"/>
      <c r="AAF184" s="1"/>
      <c r="AAG184" s="1"/>
      <c r="AAH184" s="1"/>
      <c r="AAI184" s="1"/>
      <c r="AAJ184" s="1"/>
      <c r="AAK184" s="1"/>
      <c r="AAL184" s="1"/>
      <c r="AAM184" s="1"/>
      <c r="AAN184" s="1"/>
      <c r="AAO184" s="1"/>
      <c r="AAP184" s="1"/>
      <c r="AAQ184" s="1"/>
      <c r="AAR184" s="1"/>
      <c r="AAS184" s="1"/>
      <c r="AAT184" s="1"/>
      <c r="AAU184" s="1"/>
      <c r="AAV184" s="1"/>
      <c r="AAW184" s="1"/>
      <c r="AAX184" s="1"/>
      <c r="AAY184" s="1"/>
      <c r="AAZ184" s="1"/>
      <c r="ABA184" s="1"/>
      <c r="ABB184" s="1"/>
      <c r="ABC184" s="1"/>
      <c r="ABD184" s="1"/>
      <c r="ABE184" s="1"/>
      <c r="ABF184" s="1"/>
      <c r="ABG184" s="1"/>
      <c r="ABH184" s="1"/>
      <c r="ABI184" s="1"/>
      <c r="ABJ184" s="1"/>
      <c r="ABK184" s="1"/>
      <c r="ABL184" s="1"/>
      <c r="ABM184" s="1"/>
      <c r="ABN184" s="1"/>
      <c r="ABO184" s="1"/>
      <c r="ABP184" s="1"/>
      <c r="ABQ184" s="1"/>
      <c r="ABR184" s="1"/>
      <c r="ABS184" s="1"/>
      <c r="ABT184" s="1"/>
      <c r="ABU184" s="1"/>
      <c r="ABV184" s="1"/>
      <c r="ABW184" s="1"/>
      <c r="ABX184" s="1"/>
      <c r="ABY184" s="1"/>
      <c r="ABZ184" s="1"/>
      <c r="ACA184" s="1"/>
      <c r="ACB184" s="1"/>
      <c r="ACC184" s="1"/>
      <c r="ACD184" s="1"/>
      <c r="ACE184" s="1"/>
      <c r="ACF184" s="1"/>
      <c r="ACG184" s="1"/>
      <c r="ACH184" s="1"/>
      <c r="ACI184" s="1"/>
      <c r="ACJ184" s="1"/>
      <c r="ACK184" s="1"/>
      <c r="ACL184" s="1"/>
      <c r="ACM184" s="1"/>
      <c r="ACN184" s="1"/>
      <c r="ACO184" s="1"/>
      <c r="ACP184" s="1"/>
      <c r="ACQ184" s="1"/>
      <c r="ACR184" s="1"/>
      <c r="ACS184" s="1"/>
      <c r="ACT184" s="1"/>
      <c r="ACU184" s="1"/>
      <c r="ACV184" s="1"/>
      <c r="ACW184" s="1"/>
      <c r="ACX184" s="1"/>
      <c r="ACY184" s="1"/>
      <c r="ACZ184" s="1"/>
      <c r="ADA184" s="1"/>
      <c r="ADB184" s="1"/>
      <c r="ADC184" s="1"/>
      <c r="ADD184" s="1"/>
      <c r="ADE184" s="1"/>
      <c r="ADF184" s="1"/>
      <c r="ADG184" s="1"/>
      <c r="ADH184" s="1"/>
      <c r="ADI184" s="1"/>
      <c r="ADJ184" s="1"/>
      <c r="ADK184" s="1"/>
      <c r="ADL184" s="1"/>
      <c r="ADM184" s="1"/>
      <c r="ADN184" s="1"/>
      <c r="ADO184" s="1"/>
      <c r="ADP184" s="1"/>
      <c r="ADQ184" s="1"/>
      <c r="ADR184" s="1"/>
      <c r="ADS184" s="1"/>
      <c r="ADT184" s="1"/>
      <c r="ADU184" s="1"/>
      <c r="ADV184" s="1"/>
      <c r="ADW184" s="1"/>
      <c r="ADX184" s="1"/>
      <c r="ADY184" s="1"/>
      <c r="ADZ184" s="1"/>
      <c r="AEA184" s="1"/>
      <c r="AEB184" s="1"/>
      <c r="AEC184" s="1"/>
      <c r="AED184" s="1"/>
      <c r="AEE184" s="1"/>
      <c r="AEF184" s="1"/>
      <c r="AEG184" s="1"/>
      <c r="AEH184" s="1"/>
      <c r="AEI184" s="1"/>
      <c r="AEJ184" s="1"/>
      <c r="AEK184" s="1"/>
      <c r="AEL184" s="1"/>
      <c r="AEM184" s="1"/>
      <c r="AEN184" s="1"/>
      <c r="AEO184" s="1"/>
      <c r="AEP184" s="1"/>
      <c r="AEQ184" s="1"/>
      <c r="AER184" s="1"/>
      <c r="AES184" s="1"/>
      <c r="AET184" s="1"/>
      <c r="AEU184" s="1"/>
      <c r="AEV184" s="1"/>
      <c r="AEW184" s="1"/>
      <c r="AEX184" s="1"/>
      <c r="AEY184" s="1"/>
      <c r="AEZ184" s="1"/>
      <c r="AFA184" s="1"/>
      <c r="AFB184" s="1"/>
      <c r="AFC184" s="1"/>
      <c r="AFD184" s="1"/>
      <c r="AFE184" s="1"/>
      <c r="AFF184" s="1"/>
      <c r="AFG184" s="1"/>
      <c r="AFH184" s="1"/>
      <c r="AFI184" s="1"/>
      <c r="AFJ184" s="1"/>
      <c r="AFK184" s="1"/>
      <c r="AFL184" s="1"/>
      <c r="AFM184" s="1"/>
      <c r="AFN184" s="1"/>
      <c r="AFO184" s="1"/>
      <c r="AFP184" s="1"/>
      <c r="AFQ184" s="1"/>
      <c r="AFR184" s="1"/>
      <c r="AFS184" s="1"/>
      <c r="AFT184" s="1"/>
      <c r="AFU184" s="1"/>
      <c r="AFV184" s="1"/>
      <c r="AFW184" s="1"/>
      <c r="AFX184" s="1"/>
      <c r="AFY184" s="1"/>
      <c r="AFZ184" s="1"/>
      <c r="AGA184" s="1"/>
      <c r="AGB184" s="1"/>
      <c r="AGC184" s="1"/>
      <c r="AGD184" s="1"/>
      <c r="AGE184" s="1"/>
      <c r="AGF184" s="1"/>
      <c r="AGG184" s="1"/>
      <c r="AGH184" s="1"/>
      <c r="AGI184" s="1"/>
      <c r="AGJ184" s="1"/>
      <c r="AGK184" s="1"/>
      <c r="AGL184" s="1"/>
      <c r="AGM184" s="1"/>
      <c r="AGN184" s="1"/>
      <c r="AGO184" s="1"/>
      <c r="AGP184" s="1"/>
      <c r="AGQ184" s="1"/>
      <c r="AGR184" s="1"/>
      <c r="AGS184" s="1"/>
      <c r="AGT184" s="1"/>
      <c r="AGU184" s="1"/>
      <c r="AGV184" s="1"/>
      <c r="AGW184" s="1"/>
      <c r="AGX184" s="1"/>
      <c r="AGY184" s="1"/>
      <c r="AGZ184" s="1"/>
      <c r="AHA184" s="1"/>
      <c r="AHB184" s="1"/>
      <c r="AHC184" s="1"/>
      <c r="AHD184" s="1"/>
      <c r="AHE184" s="1"/>
      <c r="AHF184" s="1"/>
      <c r="AHG184" s="1"/>
      <c r="AHH184" s="1"/>
      <c r="AHI184" s="1"/>
      <c r="AHJ184" s="1"/>
      <c r="AHK184" s="1"/>
      <c r="AHL184" s="1"/>
      <c r="AHM184" s="1"/>
      <c r="AHN184" s="1"/>
      <c r="AHO184" s="1"/>
      <c r="AHP184" s="1"/>
      <c r="AHQ184" s="1"/>
      <c r="AHR184" s="1"/>
      <c r="AHS184" s="1"/>
      <c r="AHT184" s="1"/>
      <c r="AHU184" s="1"/>
      <c r="AHV184" s="1"/>
      <c r="AHW184" s="1"/>
      <c r="AHX184" s="1"/>
      <c r="AHY184" s="1"/>
      <c r="AHZ184" s="1"/>
      <c r="AIA184" s="1"/>
      <c r="AIB184" s="1"/>
      <c r="AIC184" s="1"/>
      <c r="AID184" s="1"/>
      <c r="AIE184" s="1"/>
      <c r="AIF184" s="1"/>
      <c r="AIG184" s="1"/>
      <c r="AIH184" s="1"/>
      <c r="AII184" s="1"/>
      <c r="AIJ184" s="1"/>
      <c r="AIK184" s="1"/>
      <c r="AIL184" s="1"/>
      <c r="AIM184" s="1"/>
      <c r="AIN184" s="1"/>
      <c r="AIO184" s="1"/>
      <c r="AIP184" s="1"/>
      <c r="AIQ184" s="1"/>
      <c r="AIR184" s="1"/>
      <c r="AIS184" s="1"/>
      <c r="AIT184" s="1"/>
      <c r="AIU184" s="1"/>
      <c r="AIV184" s="1"/>
      <c r="AIW184" s="1"/>
      <c r="AIX184" s="1"/>
      <c r="AIY184" s="1"/>
      <c r="AIZ184" s="1"/>
      <c r="AJA184" s="1"/>
      <c r="AJB184" s="1"/>
      <c r="AJC184" s="1"/>
      <c r="AJD184" s="1"/>
      <c r="AJE184" s="1"/>
      <c r="AJF184" s="1"/>
      <c r="AJG184" s="1"/>
      <c r="AJH184" s="1"/>
      <c r="AJI184" s="1"/>
      <c r="AJJ184" s="1"/>
      <c r="AJK184" s="1"/>
      <c r="AJL184" s="1"/>
      <c r="AJM184" s="1"/>
      <c r="AJN184" s="1"/>
      <c r="AJO184" s="1"/>
      <c r="AJP184" s="1"/>
      <c r="AJQ184" s="1"/>
      <c r="AJR184" s="1"/>
      <c r="AJS184" s="1"/>
      <c r="AJT184" s="1"/>
      <c r="AJU184" s="1"/>
      <c r="AJV184" s="1"/>
      <c r="AJW184" s="1"/>
      <c r="AJX184" s="1"/>
      <c r="AJY184" s="1"/>
      <c r="AJZ184" s="1"/>
      <c r="AKA184" s="1"/>
      <c r="AKB184" s="1"/>
      <c r="AKC184" s="1"/>
      <c r="AKD184" s="1"/>
      <c r="AKE184" s="1"/>
      <c r="AKF184" s="1"/>
      <c r="AKG184" s="1"/>
      <c r="AKH184" s="1"/>
      <c r="AKI184" s="1"/>
      <c r="AKJ184" s="1"/>
      <c r="AKK184" s="1"/>
      <c r="AKL184" s="1"/>
      <c r="AKM184" s="1"/>
      <c r="AKN184" s="1"/>
      <c r="AKO184" s="1"/>
      <c r="AKP184" s="1"/>
      <c r="AKQ184" s="1"/>
      <c r="AKR184" s="1"/>
      <c r="AKS184" s="1"/>
      <c r="AKT184" s="1"/>
      <c r="AKU184" s="1"/>
      <c r="AKV184" s="1"/>
      <c r="AKW184" s="1"/>
      <c r="AKX184" s="1"/>
      <c r="AKY184" s="1"/>
      <c r="AKZ184" s="1"/>
      <c r="ALA184" s="1"/>
      <c r="ALB184" s="1"/>
      <c r="ALC184" s="1"/>
      <c r="ALD184" s="1"/>
      <c r="ALE184" s="1"/>
      <c r="ALF184" s="1"/>
      <c r="ALG184" s="1"/>
      <c r="ALH184" s="1"/>
      <c r="ALI184" s="1"/>
      <c r="ALJ184" s="1"/>
      <c r="ALK184" s="1"/>
      <c r="ALL184" s="1"/>
      <c r="ALM184" s="1"/>
      <c r="ALN184" s="1"/>
      <c r="ALO184" s="1"/>
      <c r="ALP184" s="1"/>
      <c r="ALQ184" s="1"/>
      <c r="ALR184" s="1"/>
      <c r="ALS184" s="1"/>
      <c r="ALT184" s="1"/>
      <c r="ALU184" s="1"/>
      <c r="ALV184" s="1"/>
      <c r="ALW184" s="1"/>
      <c r="ALX184" s="1"/>
      <c r="ALY184" s="1"/>
      <c r="ALZ184" s="1"/>
      <c r="AMA184" s="1"/>
      <c r="AMB184" s="1"/>
      <c r="AMC184" s="1"/>
      <c r="AMD184" s="1"/>
      <c r="AME184" s="1"/>
      <c r="AMF184" s="1"/>
      <c r="AMG184" s="1"/>
      <c r="AMH184" s="1"/>
      <c r="AMI184" s="1"/>
      <c r="AMJ184" s="1"/>
    </row>
    <row r="185" customFormat="false" ht="10.5" hidden="false" customHeight="true" outlineLevel="0" collapsed="false">
      <c r="A185" s="134" t="s">
        <v>303</v>
      </c>
      <c r="B185" s="134"/>
      <c r="C185" s="134"/>
      <c r="D185" s="134"/>
      <c r="E185" s="134"/>
      <c r="F185" s="134"/>
      <c r="G185" s="134"/>
      <c r="H185" s="134"/>
      <c r="I185" s="134"/>
      <c r="J185" s="134"/>
      <c r="K185" s="219" t="s">
        <v>124</v>
      </c>
      <c r="L185" s="219"/>
      <c r="M185" s="219"/>
      <c r="N185" s="219"/>
      <c r="O185" s="219" t="s">
        <v>313</v>
      </c>
      <c r="P185" s="219"/>
      <c r="Q185" s="219"/>
      <c r="R185" s="219" t="s">
        <v>314</v>
      </c>
      <c r="S185" s="219"/>
      <c r="T185" s="219"/>
      <c r="U185" s="219" t="s">
        <v>315</v>
      </c>
      <c r="V185" s="219"/>
      <c r="W185" s="219"/>
      <c r="X185" s="219"/>
      <c r="Y185" s="219" t="s">
        <v>316</v>
      </c>
      <c r="Z185" s="219"/>
      <c r="AA185" s="219"/>
      <c r="AB185" s="219"/>
      <c r="AC185" s="219"/>
      <c r="AD185" s="219"/>
      <c r="AE185" s="219"/>
      <c r="AF185" s="219"/>
      <c r="AG185" s="219"/>
      <c r="AH185" s="219"/>
      <c r="AI185" s="219"/>
      <c r="AJ185" s="220" t="s">
        <v>128</v>
      </c>
      <c r="AK185" s="220"/>
      <c r="AL185" s="220"/>
      <c r="AM185" s="220"/>
      <c r="AN185" s="220"/>
      <c r="AO185" s="220"/>
      <c r="BE185" s="1"/>
      <c r="BF185" s="1"/>
      <c r="BG185" s="1"/>
      <c r="BH185" s="1"/>
      <c r="BI185" s="1"/>
      <c r="BJ185" s="1"/>
      <c r="BK185" s="1"/>
      <c r="BL185" s="1"/>
      <c r="BM185" s="1"/>
      <c r="BN185" s="1"/>
      <c r="BO185" s="1"/>
      <c r="BP185" s="1"/>
      <c r="BQ185" s="1"/>
      <c r="BR185" s="1"/>
      <c r="BS185" s="1"/>
      <c r="BT185" s="1"/>
      <c r="BU185" s="1"/>
      <c r="BV185" s="1"/>
      <c r="BW185" s="1"/>
      <c r="BX185" s="1"/>
      <c r="BY185" s="1"/>
      <c r="BZ185" s="1"/>
      <c r="CA185" s="1"/>
      <c r="CB185" s="1"/>
      <c r="CC185" s="1"/>
      <c r="CD185" s="1"/>
      <c r="CE185" s="1"/>
      <c r="CF185" s="1"/>
      <c r="CG185" s="1"/>
      <c r="CH185" s="1"/>
      <c r="CI185" s="1"/>
      <c r="CJ185" s="1"/>
      <c r="CK185" s="1"/>
      <c r="CL185" s="1"/>
      <c r="CM185" s="1"/>
      <c r="CN185" s="1"/>
      <c r="CO185" s="1"/>
      <c r="CP185" s="1"/>
      <c r="CQ185" s="1"/>
      <c r="CR185" s="1"/>
      <c r="CS185" s="1"/>
      <c r="CT185" s="1"/>
      <c r="CU185" s="1"/>
      <c r="CV185" s="1"/>
      <c r="CW185" s="1"/>
      <c r="CX185" s="1"/>
      <c r="CY185" s="1"/>
      <c r="CZ185" s="1"/>
      <c r="DA185" s="1"/>
      <c r="DB185" s="1"/>
      <c r="DC185" s="1"/>
      <c r="DD185" s="1"/>
      <c r="DE185" s="1"/>
      <c r="DF185" s="1"/>
      <c r="DG185" s="1"/>
      <c r="DH185" s="1"/>
      <c r="DI185" s="1"/>
      <c r="DJ185" s="1"/>
      <c r="DK185" s="1"/>
      <c r="DL185" s="1"/>
      <c r="DM185" s="1"/>
      <c r="DN185" s="1"/>
      <c r="DO185" s="1"/>
      <c r="DP185" s="1"/>
      <c r="DQ185" s="1"/>
      <c r="DR185" s="1"/>
      <c r="DS185" s="1"/>
      <c r="DT185" s="1"/>
      <c r="DU185" s="1"/>
      <c r="DV185" s="1"/>
      <c r="DW185" s="1"/>
      <c r="DX185" s="1"/>
      <c r="DY185" s="1"/>
      <c r="DZ185" s="1"/>
      <c r="EA185" s="1"/>
      <c r="EB185" s="1"/>
      <c r="EC185" s="1"/>
      <c r="ED185" s="1"/>
      <c r="EE185" s="1"/>
      <c r="EF185" s="1"/>
      <c r="EG185" s="1"/>
      <c r="EH185" s="1"/>
      <c r="EI185" s="1"/>
      <c r="EJ185" s="1"/>
      <c r="EK185" s="1"/>
      <c r="EL185" s="1"/>
      <c r="EM185" s="1"/>
      <c r="EN185" s="1"/>
      <c r="EO185" s="1"/>
      <c r="EP185" s="1"/>
      <c r="EQ185" s="1"/>
      <c r="ER185" s="1"/>
      <c r="ES185" s="1"/>
      <c r="ET185" s="1"/>
      <c r="EU185" s="1"/>
      <c r="EV185" s="1"/>
      <c r="EW185" s="1"/>
      <c r="EX185" s="1"/>
      <c r="EY185" s="1"/>
      <c r="EZ185" s="1"/>
      <c r="FA185" s="1"/>
      <c r="FB185" s="1"/>
      <c r="FC185" s="1"/>
      <c r="FD185" s="1"/>
      <c r="FE185" s="1"/>
      <c r="FF185" s="1"/>
      <c r="FG185" s="1"/>
      <c r="FH185" s="1"/>
      <c r="FI185" s="1"/>
      <c r="FJ185" s="1"/>
      <c r="FK185" s="1"/>
      <c r="FL185" s="1"/>
      <c r="FM185" s="1"/>
      <c r="FN185" s="1"/>
      <c r="FO185" s="1"/>
      <c r="FP185" s="1"/>
      <c r="FQ185" s="1"/>
      <c r="FR185" s="1"/>
      <c r="FS185" s="1"/>
      <c r="FT185" s="1"/>
      <c r="FU185" s="1"/>
      <c r="FV185" s="1"/>
      <c r="FW185" s="1"/>
      <c r="FX185" s="1"/>
      <c r="FY185" s="1"/>
      <c r="FZ185" s="1"/>
      <c r="GA185" s="1"/>
      <c r="GB185" s="1"/>
      <c r="GC185" s="1"/>
      <c r="GD185" s="1"/>
      <c r="GE185" s="1"/>
      <c r="GF185" s="1"/>
      <c r="GG185" s="1"/>
      <c r="GH185" s="1"/>
      <c r="GI185" s="1"/>
      <c r="GJ185" s="1"/>
      <c r="GK185" s="1"/>
      <c r="GL185" s="1"/>
      <c r="GM185" s="1"/>
      <c r="GN185" s="1"/>
      <c r="GO185" s="1"/>
      <c r="GP185" s="1"/>
      <c r="GQ185" s="1"/>
      <c r="GR185" s="1"/>
      <c r="GS185" s="1"/>
      <c r="GT185" s="1"/>
      <c r="GU185" s="1"/>
      <c r="GV185" s="1"/>
      <c r="GW185" s="1"/>
      <c r="GX185" s="1"/>
      <c r="GY185" s="1"/>
      <c r="GZ185" s="1"/>
      <c r="HA185" s="1"/>
      <c r="HB185" s="1"/>
      <c r="HC185" s="1"/>
      <c r="HD185" s="1"/>
      <c r="HE185" s="1"/>
      <c r="HF185" s="1"/>
      <c r="HG185" s="1"/>
      <c r="HH185" s="1"/>
      <c r="HI185" s="1"/>
      <c r="HJ185" s="1"/>
      <c r="HK185" s="1"/>
      <c r="HL185" s="1"/>
      <c r="HM185" s="1"/>
      <c r="HN185" s="1"/>
      <c r="HO185" s="1"/>
      <c r="HP185" s="1"/>
      <c r="HQ185" s="1"/>
      <c r="HR185" s="1"/>
      <c r="HS185" s="1"/>
      <c r="HT185" s="1"/>
      <c r="HU185" s="1"/>
      <c r="HV185" s="1"/>
      <c r="HW185" s="1"/>
      <c r="HX185" s="1"/>
      <c r="HY185" s="1"/>
      <c r="HZ185" s="1"/>
      <c r="IA185" s="1"/>
      <c r="IB185" s="1"/>
      <c r="IC185" s="1"/>
      <c r="ID185" s="1"/>
      <c r="IE185" s="1"/>
      <c r="IF185" s="1"/>
      <c r="IG185" s="1"/>
      <c r="IH185" s="1"/>
      <c r="II185" s="1"/>
      <c r="IJ185" s="1"/>
      <c r="IK185" s="1"/>
      <c r="IL185" s="1"/>
      <c r="IM185" s="1"/>
      <c r="IN185" s="1"/>
      <c r="IO185" s="1"/>
      <c r="IP185" s="1"/>
      <c r="IQ185" s="1"/>
      <c r="IR185" s="1"/>
      <c r="IS185" s="1"/>
      <c r="IT185" s="1"/>
      <c r="IU185" s="1"/>
      <c r="IV185" s="1"/>
      <c r="IW185" s="1"/>
      <c r="IX185" s="1"/>
      <c r="IY185" s="1"/>
      <c r="IZ185" s="1"/>
      <c r="JA185" s="1"/>
      <c r="JB185" s="1"/>
      <c r="JC185" s="1"/>
      <c r="JD185" s="1"/>
      <c r="JE185" s="1"/>
      <c r="JF185" s="1"/>
      <c r="JG185" s="1"/>
      <c r="JH185" s="1"/>
      <c r="JI185" s="1"/>
      <c r="JJ185" s="1"/>
      <c r="JK185" s="1"/>
      <c r="JL185" s="1"/>
      <c r="JM185" s="1"/>
      <c r="JN185" s="1"/>
      <c r="JO185" s="1"/>
      <c r="JP185" s="1"/>
      <c r="JQ185" s="1"/>
      <c r="JR185" s="1"/>
      <c r="JS185" s="1"/>
      <c r="JT185" s="1"/>
      <c r="JU185" s="1"/>
      <c r="JV185" s="1"/>
      <c r="JW185" s="1"/>
      <c r="JX185" s="1"/>
      <c r="JY185" s="1"/>
      <c r="JZ185" s="1"/>
      <c r="KA185" s="1"/>
      <c r="KB185" s="1"/>
      <c r="KC185" s="1"/>
      <c r="KD185" s="1"/>
      <c r="KE185" s="1"/>
      <c r="KF185" s="1"/>
      <c r="KG185" s="1"/>
      <c r="KH185" s="1"/>
      <c r="KI185" s="1"/>
      <c r="KJ185" s="1"/>
      <c r="KK185" s="1"/>
      <c r="KL185" s="1"/>
      <c r="KM185" s="1"/>
      <c r="KN185" s="1"/>
      <c r="KO185" s="1"/>
      <c r="KP185" s="1"/>
      <c r="KQ185" s="1"/>
      <c r="KR185" s="1"/>
      <c r="KS185" s="1"/>
      <c r="KT185" s="1"/>
      <c r="KU185" s="1"/>
      <c r="KV185" s="1"/>
      <c r="KW185" s="1"/>
      <c r="KX185" s="1"/>
      <c r="KY185" s="1"/>
      <c r="KZ185" s="1"/>
      <c r="LA185" s="1"/>
      <c r="LB185" s="1"/>
      <c r="LC185" s="1"/>
      <c r="LD185" s="1"/>
      <c r="LE185" s="1"/>
      <c r="LF185" s="1"/>
      <c r="LG185" s="1"/>
      <c r="LH185" s="1"/>
      <c r="LI185" s="1"/>
      <c r="LJ185" s="1"/>
      <c r="LK185" s="1"/>
      <c r="LL185" s="1"/>
      <c r="LM185" s="1"/>
      <c r="LN185" s="1"/>
      <c r="LO185" s="1"/>
      <c r="LP185" s="1"/>
      <c r="LQ185" s="1"/>
      <c r="LR185" s="1"/>
      <c r="LS185" s="1"/>
      <c r="LT185" s="1"/>
      <c r="LU185" s="1"/>
      <c r="LV185" s="1"/>
      <c r="LW185" s="1"/>
      <c r="LX185" s="1"/>
      <c r="LY185" s="1"/>
      <c r="LZ185" s="1"/>
      <c r="MA185" s="1"/>
      <c r="MB185" s="1"/>
      <c r="MC185" s="1"/>
      <c r="MD185" s="1"/>
      <c r="ME185" s="1"/>
      <c r="MF185" s="1"/>
      <c r="MG185" s="1"/>
      <c r="MH185" s="1"/>
      <c r="MI185" s="1"/>
      <c r="MJ185" s="1"/>
      <c r="MK185" s="1"/>
      <c r="ML185" s="1"/>
      <c r="MM185" s="1"/>
      <c r="MN185" s="1"/>
      <c r="MO185" s="1"/>
      <c r="MP185" s="1"/>
      <c r="MQ185" s="1"/>
      <c r="MR185" s="1"/>
      <c r="MS185" s="1"/>
      <c r="MT185" s="1"/>
      <c r="MU185" s="1"/>
      <c r="MV185" s="1"/>
      <c r="MW185" s="1"/>
      <c r="MX185" s="1"/>
      <c r="MY185" s="1"/>
      <c r="MZ185" s="1"/>
      <c r="NA185" s="1"/>
      <c r="NB185" s="1"/>
      <c r="NC185" s="1"/>
      <c r="ND185" s="1"/>
      <c r="NE185" s="1"/>
      <c r="NF185" s="1"/>
      <c r="NG185" s="1"/>
      <c r="NH185" s="1"/>
      <c r="NI185" s="1"/>
      <c r="NJ185" s="1"/>
      <c r="NK185" s="1"/>
      <c r="NL185" s="1"/>
      <c r="NM185" s="1"/>
      <c r="NN185" s="1"/>
      <c r="NO185" s="1"/>
      <c r="NP185" s="1"/>
      <c r="NQ185" s="1"/>
      <c r="NR185" s="1"/>
      <c r="NS185" s="1"/>
      <c r="NT185" s="1"/>
      <c r="NU185" s="1"/>
      <c r="NV185" s="1"/>
      <c r="NW185" s="1"/>
      <c r="NX185" s="1"/>
      <c r="NY185" s="1"/>
      <c r="NZ185" s="1"/>
      <c r="OA185" s="1"/>
      <c r="OB185" s="1"/>
      <c r="OC185" s="1"/>
      <c r="OD185" s="1"/>
      <c r="OE185" s="1"/>
      <c r="OF185" s="1"/>
      <c r="OG185" s="1"/>
      <c r="OH185" s="1"/>
      <c r="OI185" s="1"/>
      <c r="OJ185" s="1"/>
      <c r="OK185" s="1"/>
      <c r="OL185" s="1"/>
      <c r="OM185" s="1"/>
      <c r="ON185" s="1"/>
      <c r="OO185" s="1"/>
      <c r="OP185" s="1"/>
      <c r="OQ185" s="1"/>
      <c r="OR185" s="1"/>
      <c r="OS185" s="1"/>
      <c r="OT185" s="1"/>
      <c r="OU185" s="1"/>
      <c r="OV185" s="1"/>
      <c r="OW185" s="1"/>
      <c r="OX185" s="1"/>
      <c r="OY185" s="1"/>
      <c r="OZ185" s="1"/>
      <c r="PA185" s="1"/>
      <c r="PB185" s="1"/>
      <c r="PC185" s="1"/>
      <c r="PD185" s="1"/>
      <c r="PE185" s="1"/>
      <c r="PF185" s="1"/>
      <c r="PG185" s="1"/>
      <c r="PH185" s="1"/>
      <c r="PI185" s="1"/>
      <c r="PJ185" s="1"/>
      <c r="PK185" s="1"/>
      <c r="PL185" s="1"/>
      <c r="PM185" s="1"/>
      <c r="PN185" s="1"/>
      <c r="PO185" s="1"/>
      <c r="PP185" s="1"/>
      <c r="PQ185" s="1"/>
      <c r="PR185" s="1"/>
      <c r="PS185" s="1"/>
      <c r="PT185" s="1"/>
      <c r="PU185" s="1"/>
      <c r="PV185" s="1"/>
      <c r="PW185" s="1"/>
      <c r="PX185" s="1"/>
      <c r="PY185" s="1"/>
      <c r="PZ185" s="1"/>
      <c r="QA185" s="1"/>
      <c r="QB185" s="1"/>
      <c r="QC185" s="1"/>
      <c r="QD185" s="1"/>
      <c r="QE185" s="1"/>
      <c r="QF185" s="1"/>
      <c r="QG185" s="1"/>
      <c r="QH185" s="1"/>
      <c r="QI185" s="1"/>
      <c r="QJ185" s="1"/>
      <c r="QK185" s="1"/>
      <c r="QL185" s="1"/>
      <c r="QM185" s="1"/>
      <c r="QN185" s="1"/>
      <c r="QO185" s="1"/>
      <c r="QP185" s="1"/>
      <c r="QQ185" s="1"/>
      <c r="QR185" s="1"/>
      <c r="QS185" s="1"/>
      <c r="QT185" s="1"/>
      <c r="QU185" s="1"/>
      <c r="QV185" s="1"/>
      <c r="QW185" s="1"/>
      <c r="QX185" s="1"/>
      <c r="QY185" s="1"/>
      <c r="QZ185" s="1"/>
      <c r="RA185" s="1"/>
      <c r="RB185" s="1"/>
      <c r="RC185" s="1"/>
      <c r="RD185" s="1"/>
      <c r="RE185" s="1"/>
      <c r="RF185" s="1"/>
      <c r="RG185" s="1"/>
      <c r="RH185" s="1"/>
      <c r="RI185" s="1"/>
      <c r="RJ185" s="1"/>
      <c r="RK185" s="1"/>
      <c r="RL185" s="1"/>
      <c r="RM185" s="1"/>
      <c r="RN185" s="1"/>
      <c r="RO185" s="1"/>
      <c r="RP185" s="1"/>
      <c r="RQ185" s="1"/>
      <c r="RR185" s="1"/>
      <c r="RS185" s="1"/>
      <c r="RT185" s="1"/>
      <c r="RU185" s="1"/>
      <c r="RV185" s="1"/>
      <c r="RW185" s="1"/>
      <c r="RX185" s="1"/>
      <c r="RY185" s="1"/>
      <c r="RZ185" s="1"/>
      <c r="SA185" s="1"/>
      <c r="SB185" s="1"/>
      <c r="SC185" s="1"/>
      <c r="SD185" s="1"/>
      <c r="SE185" s="1"/>
      <c r="SF185" s="1"/>
      <c r="SG185" s="1"/>
      <c r="SH185" s="1"/>
      <c r="SI185" s="1"/>
      <c r="SJ185" s="1"/>
      <c r="SK185" s="1"/>
      <c r="SL185" s="1"/>
      <c r="SM185" s="1"/>
      <c r="SN185" s="1"/>
      <c r="SO185" s="1"/>
      <c r="SP185" s="1"/>
      <c r="SQ185" s="1"/>
      <c r="SR185" s="1"/>
      <c r="SS185" s="1"/>
      <c r="ST185" s="1"/>
      <c r="SU185" s="1"/>
      <c r="SV185" s="1"/>
      <c r="SW185" s="1"/>
      <c r="SX185" s="1"/>
      <c r="SY185" s="1"/>
      <c r="SZ185" s="1"/>
      <c r="TA185" s="1"/>
      <c r="TB185" s="1"/>
      <c r="TC185" s="1"/>
      <c r="TD185" s="1"/>
      <c r="TE185" s="1"/>
      <c r="TF185" s="1"/>
      <c r="TG185" s="1"/>
      <c r="TH185" s="1"/>
      <c r="TI185" s="1"/>
      <c r="TJ185" s="1"/>
      <c r="TK185" s="1"/>
      <c r="TL185" s="1"/>
      <c r="TM185" s="1"/>
      <c r="TN185" s="1"/>
      <c r="TO185" s="1"/>
      <c r="TP185" s="1"/>
      <c r="TQ185" s="1"/>
      <c r="TR185" s="1"/>
      <c r="TS185" s="1"/>
      <c r="TT185" s="1"/>
      <c r="TU185" s="1"/>
      <c r="TV185" s="1"/>
      <c r="TW185" s="1"/>
      <c r="TX185" s="1"/>
      <c r="TY185" s="1"/>
      <c r="TZ185" s="1"/>
      <c r="UA185" s="1"/>
      <c r="UB185" s="1"/>
      <c r="UC185" s="1"/>
      <c r="UD185" s="1"/>
      <c r="UE185" s="1"/>
      <c r="UF185" s="1"/>
      <c r="UG185" s="1"/>
      <c r="UH185" s="1"/>
      <c r="UI185" s="1"/>
      <c r="UJ185" s="1"/>
      <c r="UK185" s="1"/>
      <c r="UL185" s="1"/>
      <c r="UM185" s="1"/>
      <c r="UN185" s="1"/>
      <c r="UO185" s="1"/>
      <c r="UP185" s="1"/>
      <c r="UQ185" s="1"/>
      <c r="UR185" s="1"/>
      <c r="US185" s="1"/>
      <c r="UT185" s="1"/>
      <c r="UU185" s="1"/>
      <c r="UV185" s="1"/>
      <c r="UW185" s="1"/>
      <c r="UX185" s="1"/>
      <c r="UY185" s="1"/>
      <c r="UZ185" s="1"/>
      <c r="VA185" s="1"/>
      <c r="VB185" s="1"/>
      <c r="VC185" s="1"/>
      <c r="VD185" s="1"/>
      <c r="VE185" s="1"/>
      <c r="VF185" s="1"/>
      <c r="VG185" s="1"/>
      <c r="VH185" s="1"/>
      <c r="VI185" s="1"/>
      <c r="VJ185" s="1"/>
      <c r="VK185" s="1"/>
      <c r="VL185" s="1"/>
      <c r="VM185" s="1"/>
      <c r="VN185" s="1"/>
      <c r="VO185" s="1"/>
      <c r="VP185" s="1"/>
      <c r="VQ185" s="1"/>
      <c r="VR185" s="1"/>
      <c r="VS185" s="1"/>
      <c r="VT185" s="1"/>
      <c r="VU185" s="1"/>
      <c r="VV185" s="1"/>
      <c r="VW185" s="1"/>
      <c r="VX185" s="1"/>
      <c r="VY185" s="1"/>
      <c r="VZ185" s="1"/>
      <c r="WA185" s="1"/>
      <c r="WB185" s="1"/>
      <c r="WC185" s="1"/>
      <c r="WD185" s="1"/>
      <c r="WE185" s="1"/>
      <c r="WF185" s="1"/>
      <c r="WG185" s="1"/>
      <c r="WH185" s="1"/>
      <c r="WI185" s="1"/>
      <c r="WJ185" s="1"/>
      <c r="WK185" s="1"/>
      <c r="WL185" s="1"/>
      <c r="WM185" s="1"/>
      <c r="WN185" s="1"/>
      <c r="WO185" s="1"/>
      <c r="WP185" s="1"/>
      <c r="WQ185" s="1"/>
      <c r="WR185" s="1"/>
      <c r="WS185" s="1"/>
      <c r="WT185" s="1"/>
      <c r="WU185" s="1"/>
      <c r="WV185" s="1"/>
      <c r="WW185" s="1"/>
      <c r="WX185" s="1"/>
      <c r="WY185" s="1"/>
      <c r="WZ185" s="1"/>
      <c r="XA185" s="1"/>
      <c r="XB185" s="1"/>
      <c r="XC185" s="1"/>
      <c r="XD185" s="1"/>
      <c r="XE185" s="1"/>
      <c r="XF185" s="1"/>
      <c r="XG185" s="1"/>
      <c r="XH185" s="1"/>
      <c r="XI185" s="1"/>
      <c r="XJ185" s="1"/>
      <c r="XK185" s="1"/>
      <c r="XL185" s="1"/>
      <c r="XM185" s="1"/>
      <c r="XN185" s="1"/>
      <c r="XO185" s="1"/>
      <c r="XP185" s="1"/>
      <c r="XQ185" s="1"/>
      <c r="XR185" s="1"/>
      <c r="XS185" s="1"/>
      <c r="XT185" s="1"/>
      <c r="XU185" s="1"/>
      <c r="XV185" s="1"/>
      <c r="XW185" s="1"/>
      <c r="XX185" s="1"/>
      <c r="XY185" s="1"/>
      <c r="XZ185" s="1"/>
      <c r="YA185" s="1"/>
      <c r="YB185" s="1"/>
      <c r="YC185" s="1"/>
      <c r="YD185" s="1"/>
      <c r="YE185" s="1"/>
      <c r="YF185" s="1"/>
      <c r="YG185" s="1"/>
      <c r="YH185" s="1"/>
      <c r="YI185" s="1"/>
      <c r="YJ185" s="1"/>
      <c r="YK185" s="1"/>
      <c r="YL185" s="1"/>
      <c r="YM185" s="1"/>
      <c r="YN185" s="1"/>
      <c r="YO185" s="1"/>
      <c r="YP185" s="1"/>
      <c r="YQ185" s="1"/>
      <c r="YR185" s="1"/>
      <c r="YS185" s="1"/>
      <c r="YT185" s="1"/>
      <c r="YU185" s="1"/>
      <c r="YV185" s="1"/>
      <c r="YW185" s="1"/>
      <c r="YX185" s="1"/>
      <c r="YY185" s="1"/>
      <c r="YZ185" s="1"/>
      <c r="ZA185" s="1"/>
      <c r="ZB185" s="1"/>
      <c r="ZC185" s="1"/>
      <c r="ZD185" s="1"/>
      <c r="ZE185" s="1"/>
      <c r="ZF185" s="1"/>
      <c r="ZG185" s="1"/>
      <c r="ZH185" s="1"/>
      <c r="ZI185" s="1"/>
      <c r="ZJ185" s="1"/>
      <c r="ZK185" s="1"/>
      <c r="ZL185" s="1"/>
      <c r="ZM185" s="1"/>
      <c r="ZN185" s="1"/>
      <c r="ZO185" s="1"/>
      <c r="ZP185" s="1"/>
      <c r="ZQ185" s="1"/>
      <c r="ZR185" s="1"/>
      <c r="ZS185" s="1"/>
      <c r="ZT185" s="1"/>
      <c r="ZU185" s="1"/>
      <c r="ZV185" s="1"/>
      <c r="ZW185" s="1"/>
      <c r="ZX185" s="1"/>
      <c r="ZY185" s="1"/>
      <c r="ZZ185" s="1"/>
      <c r="AAA185" s="1"/>
      <c r="AAB185" s="1"/>
      <c r="AAC185" s="1"/>
      <c r="AAD185" s="1"/>
      <c r="AAE185" s="1"/>
      <c r="AAF185" s="1"/>
      <c r="AAG185" s="1"/>
      <c r="AAH185" s="1"/>
      <c r="AAI185" s="1"/>
      <c r="AAJ185" s="1"/>
      <c r="AAK185" s="1"/>
      <c r="AAL185" s="1"/>
      <c r="AAM185" s="1"/>
      <c r="AAN185" s="1"/>
      <c r="AAO185" s="1"/>
      <c r="AAP185" s="1"/>
      <c r="AAQ185" s="1"/>
      <c r="AAR185" s="1"/>
      <c r="AAS185" s="1"/>
      <c r="AAT185" s="1"/>
      <c r="AAU185" s="1"/>
      <c r="AAV185" s="1"/>
      <c r="AAW185" s="1"/>
      <c r="AAX185" s="1"/>
      <c r="AAY185" s="1"/>
      <c r="AAZ185" s="1"/>
      <c r="ABA185" s="1"/>
      <c r="ABB185" s="1"/>
      <c r="ABC185" s="1"/>
      <c r="ABD185" s="1"/>
      <c r="ABE185" s="1"/>
      <c r="ABF185" s="1"/>
      <c r="ABG185" s="1"/>
      <c r="ABH185" s="1"/>
      <c r="ABI185" s="1"/>
      <c r="ABJ185" s="1"/>
      <c r="ABK185" s="1"/>
      <c r="ABL185" s="1"/>
      <c r="ABM185" s="1"/>
      <c r="ABN185" s="1"/>
      <c r="ABO185" s="1"/>
      <c r="ABP185" s="1"/>
      <c r="ABQ185" s="1"/>
      <c r="ABR185" s="1"/>
      <c r="ABS185" s="1"/>
      <c r="ABT185" s="1"/>
      <c r="ABU185" s="1"/>
      <c r="ABV185" s="1"/>
      <c r="ABW185" s="1"/>
      <c r="ABX185" s="1"/>
      <c r="ABY185" s="1"/>
      <c r="ABZ185" s="1"/>
      <c r="ACA185" s="1"/>
      <c r="ACB185" s="1"/>
      <c r="ACC185" s="1"/>
      <c r="ACD185" s="1"/>
      <c r="ACE185" s="1"/>
      <c r="ACF185" s="1"/>
      <c r="ACG185" s="1"/>
      <c r="ACH185" s="1"/>
      <c r="ACI185" s="1"/>
      <c r="ACJ185" s="1"/>
      <c r="ACK185" s="1"/>
      <c r="ACL185" s="1"/>
      <c r="ACM185" s="1"/>
      <c r="ACN185" s="1"/>
      <c r="ACO185" s="1"/>
      <c r="ACP185" s="1"/>
      <c r="ACQ185" s="1"/>
      <c r="ACR185" s="1"/>
      <c r="ACS185" s="1"/>
      <c r="ACT185" s="1"/>
      <c r="ACU185" s="1"/>
      <c r="ACV185" s="1"/>
      <c r="ACW185" s="1"/>
      <c r="ACX185" s="1"/>
      <c r="ACY185" s="1"/>
      <c r="ACZ185" s="1"/>
      <c r="ADA185" s="1"/>
      <c r="ADB185" s="1"/>
      <c r="ADC185" s="1"/>
      <c r="ADD185" s="1"/>
      <c r="ADE185" s="1"/>
      <c r="ADF185" s="1"/>
      <c r="ADG185" s="1"/>
      <c r="ADH185" s="1"/>
      <c r="ADI185" s="1"/>
      <c r="ADJ185" s="1"/>
      <c r="ADK185" s="1"/>
      <c r="ADL185" s="1"/>
      <c r="ADM185" s="1"/>
      <c r="ADN185" s="1"/>
      <c r="ADO185" s="1"/>
      <c r="ADP185" s="1"/>
      <c r="ADQ185" s="1"/>
      <c r="ADR185" s="1"/>
      <c r="ADS185" s="1"/>
      <c r="ADT185" s="1"/>
      <c r="ADU185" s="1"/>
      <c r="ADV185" s="1"/>
      <c r="ADW185" s="1"/>
      <c r="ADX185" s="1"/>
      <c r="ADY185" s="1"/>
      <c r="ADZ185" s="1"/>
      <c r="AEA185" s="1"/>
      <c r="AEB185" s="1"/>
      <c r="AEC185" s="1"/>
      <c r="AED185" s="1"/>
      <c r="AEE185" s="1"/>
      <c r="AEF185" s="1"/>
      <c r="AEG185" s="1"/>
      <c r="AEH185" s="1"/>
      <c r="AEI185" s="1"/>
      <c r="AEJ185" s="1"/>
      <c r="AEK185" s="1"/>
      <c r="AEL185" s="1"/>
      <c r="AEM185" s="1"/>
      <c r="AEN185" s="1"/>
      <c r="AEO185" s="1"/>
      <c r="AEP185" s="1"/>
      <c r="AEQ185" s="1"/>
      <c r="AER185" s="1"/>
      <c r="AES185" s="1"/>
      <c r="AET185" s="1"/>
      <c r="AEU185" s="1"/>
      <c r="AEV185" s="1"/>
      <c r="AEW185" s="1"/>
      <c r="AEX185" s="1"/>
      <c r="AEY185" s="1"/>
      <c r="AEZ185" s="1"/>
      <c r="AFA185" s="1"/>
      <c r="AFB185" s="1"/>
      <c r="AFC185" s="1"/>
      <c r="AFD185" s="1"/>
      <c r="AFE185" s="1"/>
      <c r="AFF185" s="1"/>
      <c r="AFG185" s="1"/>
      <c r="AFH185" s="1"/>
      <c r="AFI185" s="1"/>
      <c r="AFJ185" s="1"/>
      <c r="AFK185" s="1"/>
      <c r="AFL185" s="1"/>
      <c r="AFM185" s="1"/>
      <c r="AFN185" s="1"/>
      <c r="AFO185" s="1"/>
      <c r="AFP185" s="1"/>
      <c r="AFQ185" s="1"/>
      <c r="AFR185" s="1"/>
      <c r="AFS185" s="1"/>
      <c r="AFT185" s="1"/>
      <c r="AFU185" s="1"/>
      <c r="AFV185" s="1"/>
      <c r="AFW185" s="1"/>
      <c r="AFX185" s="1"/>
      <c r="AFY185" s="1"/>
      <c r="AFZ185" s="1"/>
      <c r="AGA185" s="1"/>
      <c r="AGB185" s="1"/>
      <c r="AGC185" s="1"/>
      <c r="AGD185" s="1"/>
      <c r="AGE185" s="1"/>
      <c r="AGF185" s="1"/>
      <c r="AGG185" s="1"/>
      <c r="AGH185" s="1"/>
      <c r="AGI185" s="1"/>
      <c r="AGJ185" s="1"/>
      <c r="AGK185" s="1"/>
      <c r="AGL185" s="1"/>
      <c r="AGM185" s="1"/>
      <c r="AGN185" s="1"/>
      <c r="AGO185" s="1"/>
      <c r="AGP185" s="1"/>
      <c r="AGQ185" s="1"/>
      <c r="AGR185" s="1"/>
      <c r="AGS185" s="1"/>
      <c r="AGT185" s="1"/>
      <c r="AGU185" s="1"/>
      <c r="AGV185" s="1"/>
      <c r="AGW185" s="1"/>
      <c r="AGX185" s="1"/>
      <c r="AGY185" s="1"/>
      <c r="AGZ185" s="1"/>
      <c r="AHA185" s="1"/>
      <c r="AHB185" s="1"/>
      <c r="AHC185" s="1"/>
      <c r="AHD185" s="1"/>
      <c r="AHE185" s="1"/>
      <c r="AHF185" s="1"/>
      <c r="AHG185" s="1"/>
      <c r="AHH185" s="1"/>
      <c r="AHI185" s="1"/>
      <c r="AHJ185" s="1"/>
      <c r="AHK185" s="1"/>
      <c r="AHL185" s="1"/>
      <c r="AHM185" s="1"/>
      <c r="AHN185" s="1"/>
      <c r="AHO185" s="1"/>
      <c r="AHP185" s="1"/>
      <c r="AHQ185" s="1"/>
      <c r="AHR185" s="1"/>
      <c r="AHS185" s="1"/>
      <c r="AHT185" s="1"/>
      <c r="AHU185" s="1"/>
      <c r="AHV185" s="1"/>
      <c r="AHW185" s="1"/>
      <c r="AHX185" s="1"/>
      <c r="AHY185" s="1"/>
      <c r="AHZ185" s="1"/>
      <c r="AIA185" s="1"/>
      <c r="AIB185" s="1"/>
      <c r="AIC185" s="1"/>
      <c r="AID185" s="1"/>
      <c r="AIE185" s="1"/>
      <c r="AIF185" s="1"/>
      <c r="AIG185" s="1"/>
      <c r="AIH185" s="1"/>
      <c r="AII185" s="1"/>
      <c r="AIJ185" s="1"/>
      <c r="AIK185" s="1"/>
      <c r="AIL185" s="1"/>
      <c r="AIM185" s="1"/>
      <c r="AIN185" s="1"/>
      <c r="AIO185" s="1"/>
      <c r="AIP185" s="1"/>
      <c r="AIQ185" s="1"/>
      <c r="AIR185" s="1"/>
      <c r="AIS185" s="1"/>
      <c r="AIT185" s="1"/>
      <c r="AIU185" s="1"/>
      <c r="AIV185" s="1"/>
      <c r="AIW185" s="1"/>
      <c r="AIX185" s="1"/>
      <c r="AIY185" s="1"/>
      <c r="AIZ185" s="1"/>
      <c r="AJA185" s="1"/>
      <c r="AJB185" s="1"/>
      <c r="AJC185" s="1"/>
      <c r="AJD185" s="1"/>
      <c r="AJE185" s="1"/>
      <c r="AJF185" s="1"/>
      <c r="AJG185" s="1"/>
      <c r="AJH185" s="1"/>
      <c r="AJI185" s="1"/>
      <c r="AJJ185" s="1"/>
      <c r="AJK185" s="1"/>
      <c r="AJL185" s="1"/>
      <c r="AJM185" s="1"/>
      <c r="AJN185" s="1"/>
      <c r="AJO185" s="1"/>
      <c r="AJP185" s="1"/>
      <c r="AJQ185" s="1"/>
      <c r="AJR185" s="1"/>
      <c r="AJS185" s="1"/>
      <c r="AJT185" s="1"/>
      <c r="AJU185" s="1"/>
      <c r="AJV185" s="1"/>
      <c r="AJW185" s="1"/>
      <c r="AJX185" s="1"/>
      <c r="AJY185" s="1"/>
      <c r="AJZ185" s="1"/>
      <c r="AKA185" s="1"/>
      <c r="AKB185" s="1"/>
      <c r="AKC185" s="1"/>
      <c r="AKD185" s="1"/>
      <c r="AKE185" s="1"/>
      <c r="AKF185" s="1"/>
      <c r="AKG185" s="1"/>
      <c r="AKH185" s="1"/>
      <c r="AKI185" s="1"/>
      <c r="AKJ185" s="1"/>
      <c r="AKK185" s="1"/>
      <c r="AKL185" s="1"/>
      <c r="AKM185" s="1"/>
      <c r="AKN185" s="1"/>
      <c r="AKO185" s="1"/>
      <c r="AKP185" s="1"/>
      <c r="AKQ185" s="1"/>
      <c r="AKR185" s="1"/>
      <c r="AKS185" s="1"/>
      <c r="AKT185" s="1"/>
      <c r="AKU185" s="1"/>
      <c r="AKV185" s="1"/>
      <c r="AKW185" s="1"/>
      <c r="AKX185" s="1"/>
      <c r="AKY185" s="1"/>
      <c r="AKZ185" s="1"/>
      <c r="ALA185" s="1"/>
      <c r="ALB185" s="1"/>
      <c r="ALC185" s="1"/>
      <c r="ALD185" s="1"/>
      <c r="ALE185" s="1"/>
      <c r="ALF185" s="1"/>
      <c r="ALG185" s="1"/>
      <c r="ALH185" s="1"/>
      <c r="ALI185" s="1"/>
      <c r="ALJ185" s="1"/>
      <c r="ALK185" s="1"/>
      <c r="ALL185" s="1"/>
      <c r="ALM185" s="1"/>
      <c r="ALN185" s="1"/>
      <c r="ALO185" s="1"/>
      <c r="ALP185" s="1"/>
      <c r="ALQ185" s="1"/>
      <c r="ALR185" s="1"/>
      <c r="ALS185" s="1"/>
      <c r="ALT185" s="1"/>
      <c r="ALU185" s="1"/>
      <c r="ALV185" s="1"/>
      <c r="ALW185" s="1"/>
      <c r="ALX185" s="1"/>
      <c r="ALY185" s="1"/>
      <c r="ALZ185" s="1"/>
      <c r="AMA185" s="1"/>
      <c r="AMB185" s="1"/>
      <c r="AMC185" s="1"/>
      <c r="AMD185" s="1"/>
      <c r="AME185" s="1"/>
      <c r="AMF185" s="1"/>
      <c r="AMG185" s="1"/>
      <c r="AMH185" s="1"/>
      <c r="AMI185" s="1"/>
      <c r="AMJ185" s="1"/>
    </row>
    <row r="186" customFormat="false" ht="10.5" hidden="false" customHeight="true" outlineLevel="0" collapsed="false">
      <c r="A186" s="162" t="s">
        <v>317</v>
      </c>
      <c r="B186" s="162"/>
      <c r="C186" s="162"/>
      <c r="D186" s="162"/>
      <c r="E186" s="162"/>
      <c r="F186" s="162"/>
      <c r="G186" s="162"/>
      <c r="H186" s="162"/>
      <c r="I186" s="162"/>
      <c r="J186" s="162"/>
      <c r="K186" s="222" t="n">
        <v>10060</v>
      </c>
      <c r="L186" s="222"/>
      <c r="M186" s="222"/>
      <c r="N186" s="222"/>
      <c r="O186" s="19" t="s">
        <v>307</v>
      </c>
      <c r="P186" s="19"/>
      <c r="Q186" s="19"/>
      <c r="R186" s="222" t="n">
        <v>452.81</v>
      </c>
      <c r="S186" s="222"/>
      <c r="T186" s="222"/>
      <c r="U186" s="222" t="n">
        <v>4224.66</v>
      </c>
      <c r="V186" s="222"/>
      <c r="W186" s="222"/>
      <c r="X186" s="222"/>
      <c r="Y186" s="166" t="s">
        <v>318</v>
      </c>
      <c r="Z186" s="166"/>
      <c r="AA186" s="166"/>
      <c r="AB186" s="166"/>
      <c r="AC186" s="166"/>
      <c r="AD186" s="166"/>
      <c r="AE186" s="166"/>
      <c r="AF186" s="166"/>
      <c r="AG186" s="166"/>
      <c r="AH186" s="166"/>
      <c r="AI186" s="166"/>
      <c r="AJ186" s="228" t="s">
        <v>64</v>
      </c>
      <c r="AK186" s="228"/>
      <c r="AL186" s="228"/>
      <c r="AM186" s="228"/>
      <c r="AN186" s="228"/>
      <c r="AO186" s="228"/>
      <c r="BE186" s="1"/>
      <c r="BF186" s="1"/>
      <c r="BG186" s="1"/>
      <c r="BH186" s="1"/>
      <c r="BI186" s="1"/>
      <c r="BJ186" s="1"/>
      <c r="BK186" s="1"/>
      <c r="BL186" s="1"/>
      <c r="BM186" s="1"/>
      <c r="BN186" s="1"/>
      <c r="BO186" s="1"/>
      <c r="BP186" s="1"/>
      <c r="BQ186" s="1"/>
      <c r="BR186" s="1"/>
      <c r="BS186" s="1"/>
      <c r="BT186" s="1"/>
      <c r="BU186" s="1"/>
      <c r="BV186" s="1"/>
      <c r="BW186" s="1"/>
      <c r="BX186" s="1"/>
      <c r="BY186" s="1"/>
      <c r="BZ186" s="1"/>
      <c r="CA186" s="1"/>
      <c r="CB186" s="1"/>
      <c r="CC186" s="1"/>
      <c r="CD186" s="1"/>
      <c r="CE186" s="1"/>
      <c r="CF186" s="1"/>
      <c r="CG186" s="1"/>
      <c r="CH186" s="1"/>
      <c r="CI186" s="1"/>
      <c r="CJ186" s="1"/>
      <c r="CK186" s="1"/>
      <c r="CL186" s="1"/>
      <c r="CM186" s="1"/>
      <c r="CN186" s="1"/>
      <c r="CO186" s="1"/>
      <c r="CP186" s="1"/>
      <c r="CQ186" s="1"/>
      <c r="CR186" s="1"/>
      <c r="CS186" s="1"/>
      <c r="CT186" s="1"/>
      <c r="CU186" s="1"/>
      <c r="CV186" s="1"/>
      <c r="CW186" s="1"/>
      <c r="CX186" s="1"/>
      <c r="CY186" s="1"/>
      <c r="CZ186" s="1"/>
      <c r="DA186" s="1"/>
      <c r="DB186" s="1"/>
      <c r="DC186" s="1"/>
      <c r="DD186" s="1"/>
      <c r="DE186" s="1"/>
      <c r="DF186" s="1"/>
      <c r="DG186" s="1"/>
      <c r="DH186" s="1"/>
      <c r="DI186" s="1"/>
      <c r="DJ186" s="1"/>
      <c r="DK186" s="1"/>
      <c r="DL186" s="1"/>
      <c r="DM186" s="1"/>
      <c r="DN186" s="1"/>
      <c r="DO186" s="1"/>
      <c r="DP186" s="1"/>
      <c r="DQ186" s="1"/>
      <c r="DR186" s="1"/>
      <c r="DS186" s="1"/>
      <c r="DT186" s="1"/>
      <c r="DU186" s="1"/>
      <c r="DV186" s="1"/>
      <c r="DW186" s="1"/>
      <c r="DX186" s="1"/>
      <c r="DY186" s="1"/>
      <c r="DZ186" s="1"/>
      <c r="EA186" s="1"/>
      <c r="EB186" s="1"/>
      <c r="EC186" s="1"/>
      <c r="ED186" s="1"/>
      <c r="EE186" s="1"/>
      <c r="EF186" s="1"/>
      <c r="EG186" s="1"/>
      <c r="EH186" s="1"/>
      <c r="EI186" s="1"/>
      <c r="EJ186" s="1"/>
      <c r="EK186" s="1"/>
      <c r="EL186" s="1"/>
      <c r="EM186" s="1"/>
      <c r="EN186" s="1"/>
      <c r="EO186" s="1"/>
      <c r="EP186" s="1"/>
      <c r="EQ186" s="1"/>
      <c r="ER186" s="1"/>
      <c r="ES186" s="1"/>
      <c r="ET186" s="1"/>
      <c r="EU186" s="1"/>
      <c r="EV186" s="1"/>
      <c r="EW186" s="1"/>
      <c r="EX186" s="1"/>
      <c r="EY186" s="1"/>
      <c r="EZ186" s="1"/>
      <c r="FA186" s="1"/>
      <c r="FB186" s="1"/>
      <c r="FC186" s="1"/>
      <c r="FD186" s="1"/>
      <c r="FE186" s="1"/>
      <c r="FF186" s="1"/>
      <c r="FG186" s="1"/>
      <c r="FH186" s="1"/>
      <c r="FI186" s="1"/>
      <c r="FJ186" s="1"/>
      <c r="FK186" s="1"/>
      <c r="FL186" s="1"/>
      <c r="FM186" s="1"/>
      <c r="FN186" s="1"/>
      <c r="FO186" s="1"/>
      <c r="FP186" s="1"/>
      <c r="FQ186" s="1"/>
      <c r="FR186" s="1"/>
      <c r="FS186" s="1"/>
      <c r="FT186" s="1"/>
      <c r="FU186" s="1"/>
      <c r="FV186" s="1"/>
      <c r="FW186" s="1"/>
      <c r="FX186" s="1"/>
      <c r="FY186" s="1"/>
      <c r="FZ186" s="1"/>
      <c r="GA186" s="1"/>
      <c r="GB186" s="1"/>
      <c r="GC186" s="1"/>
      <c r="GD186" s="1"/>
      <c r="GE186" s="1"/>
      <c r="GF186" s="1"/>
      <c r="GG186" s="1"/>
      <c r="GH186" s="1"/>
      <c r="GI186" s="1"/>
      <c r="GJ186" s="1"/>
      <c r="GK186" s="1"/>
      <c r="GL186" s="1"/>
      <c r="GM186" s="1"/>
      <c r="GN186" s="1"/>
      <c r="GO186" s="1"/>
      <c r="GP186" s="1"/>
      <c r="GQ186" s="1"/>
      <c r="GR186" s="1"/>
      <c r="GS186" s="1"/>
      <c r="GT186" s="1"/>
      <c r="GU186" s="1"/>
      <c r="GV186" s="1"/>
      <c r="GW186" s="1"/>
      <c r="GX186" s="1"/>
      <c r="GY186" s="1"/>
      <c r="GZ186" s="1"/>
      <c r="HA186" s="1"/>
      <c r="HB186" s="1"/>
      <c r="HC186" s="1"/>
      <c r="HD186" s="1"/>
      <c r="HE186" s="1"/>
      <c r="HF186" s="1"/>
      <c r="HG186" s="1"/>
      <c r="HH186" s="1"/>
      <c r="HI186" s="1"/>
      <c r="HJ186" s="1"/>
      <c r="HK186" s="1"/>
      <c r="HL186" s="1"/>
      <c r="HM186" s="1"/>
      <c r="HN186" s="1"/>
      <c r="HO186" s="1"/>
      <c r="HP186" s="1"/>
      <c r="HQ186" s="1"/>
      <c r="HR186" s="1"/>
      <c r="HS186" s="1"/>
      <c r="HT186" s="1"/>
      <c r="HU186" s="1"/>
      <c r="HV186" s="1"/>
      <c r="HW186" s="1"/>
      <c r="HX186" s="1"/>
      <c r="HY186" s="1"/>
      <c r="HZ186" s="1"/>
      <c r="IA186" s="1"/>
      <c r="IB186" s="1"/>
      <c r="IC186" s="1"/>
      <c r="ID186" s="1"/>
      <c r="IE186" s="1"/>
      <c r="IF186" s="1"/>
      <c r="IG186" s="1"/>
      <c r="IH186" s="1"/>
      <c r="II186" s="1"/>
      <c r="IJ186" s="1"/>
      <c r="IK186" s="1"/>
      <c r="IL186" s="1"/>
      <c r="IM186" s="1"/>
      <c r="IN186" s="1"/>
      <c r="IO186" s="1"/>
      <c r="IP186" s="1"/>
      <c r="IQ186" s="1"/>
      <c r="IR186" s="1"/>
      <c r="IS186" s="1"/>
      <c r="IT186" s="1"/>
      <c r="IU186" s="1"/>
      <c r="IV186" s="1"/>
      <c r="IW186" s="1"/>
      <c r="IX186" s="1"/>
      <c r="IY186" s="1"/>
      <c r="IZ186" s="1"/>
      <c r="JA186" s="1"/>
      <c r="JB186" s="1"/>
      <c r="JC186" s="1"/>
      <c r="JD186" s="1"/>
      <c r="JE186" s="1"/>
      <c r="JF186" s="1"/>
      <c r="JG186" s="1"/>
      <c r="JH186" s="1"/>
      <c r="JI186" s="1"/>
      <c r="JJ186" s="1"/>
      <c r="JK186" s="1"/>
      <c r="JL186" s="1"/>
      <c r="JM186" s="1"/>
      <c r="JN186" s="1"/>
      <c r="JO186" s="1"/>
      <c r="JP186" s="1"/>
      <c r="JQ186" s="1"/>
      <c r="JR186" s="1"/>
      <c r="JS186" s="1"/>
      <c r="JT186" s="1"/>
      <c r="JU186" s="1"/>
      <c r="JV186" s="1"/>
      <c r="JW186" s="1"/>
      <c r="JX186" s="1"/>
      <c r="JY186" s="1"/>
      <c r="JZ186" s="1"/>
      <c r="KA186" s="1"/>
      <c r="KB186" s="1"/>
      <c r="KC186" s="1"/>
      <c r="KD186" s="1"/>
      <c r="KE186" s="1"/>
      <c r="KF186" s="1"/>
      <c r="KG186" s="1"/>
      <c r="KH186" s="1"/>
      <c r="KI186" s="1"/>
      <c r="KJ186" s="1"/>
      <c r="KK186" s="1"/>
      <c r="KL186" s="1"/>
      <c r="KM186" s="1"/>
      <c r="KN186" s="1"/>
      <c r="KO186" s="1"/>
      <c r="KP186" s="1"/>
      <c r="KQ186" s="1"/>
      <c r="KR186" s="1"/>
      <c r="KS186" s="1"/>
      <c r="KT186" s="1"/>
      <c r="KU186" s="1"/>
      <c r="KV186" s="1"/>
      <c r="KW186" s="1"/>
      <c r="KX186" s="1"/>
      <c r="KY186" s="1"/>
      <c r="KZ186" s="1"/>
      <c r="LA186" s="1"/>
      <c r="LB186" s="1"/>
      <c r="LC186" s="1"/>
      <c r="LD186" s="1"/>
      <c r="LE186" s="1"/>
      <c r="LF186" s="1"/>
      <c r="LG186" s="1"/>
      <c r="LH186" s="1"/>
      <c r="LI186" s="1"/>
      <c r="LJ186" s="1"/>
      <c r="LK186" s="1"/>
      <c r="LL186" s="1"/>
      <c r="LM186" s="1"/>
      <c r="LN186" s="1"/>
      <c r="LO186" s="1"/>
      <c r="LP186" s="1"/>
      <c r="LQ186" s="1"/>
      <c r="LR186" s="1"/>
      <c r="LS186" s="1"/>
      <c r="LT186" s="1"/>
      <c r="LU186" s="1"/>
      <c r="LV186" s="1"/>
      <c r="LW186" s="1"/>
      <c r="LX186" s="1"/>
      <c r="LY186" s="1"/>
      <c r="LZ186" s="1"/>
      <c r="MA186" s="1"/>
      <c r="MB186" s="1"/>
      <c r="MC186" s="1"/>
      <c r="MD186" s="1"/>
      <c r="ME186" s="1"/>
      <c r="MF186" s="1"/>
      <c r="MG186" s="1"/>
      <c r="MH186" s="1"/>
      <c r="MI186" s="1"/>
      <c r="MJ186" s="1"/>
      <c r="MK186" s="1"/>
      <c r="ML186" s="1"/>
      <c r="MM186" s="1"/>
      <c r="MN186" s="1"/>
      <c r="MO186" s="1"/>
      <c r="MP186" s="1"/>
      <c r="MQ186" s="1"/>
      <c r="MR186" s="1"/>
      <c r="MS186" s="1"/>
      <c r="MT186" s="1"/>
      <c r="MU186" s="1"/>
      <c r="MV186" s="1"/>
      <c r="MW186" s="1"/>
      <c r="MX186" s="1"/>
      <c r="MY186" s="1"/>
      <c r="MZ186" s="1"/>
      <c r="NA186" s="1"/>
      <c r="NB186" s="1"/>
      <c r="NC186" s="1"/>
      <c r="ND186" s="1"/>
      <c r="NE186" s="1"/>
      <c r="NF186" s="1"/>
      <c r="NG186" s="1"/>
      <c r="NH186" s="1"/>
      <c r="NI186" s="1"/>
      <c r="NJ186" s="1"/>
      <c r="NK186" s="1"/>
      <c r="NL186" s="1"/>
      <c r="NM186" s="1"/>
      <c r="NN186" s="1"/>
      <c r="NO186" s="1"/>
      <c r="NP186" s="1"/>
      <c r="NQ186" s="1"/>
      <c r="NR186" s="1"/>
      <c r="NS186" s="1"/>
      <c r="NT186" s="1"/>
      <c r="NU186" s="1"/>
      <c r="NV186" s="1"/>
      <c r="NW186" s="1"/>
      <c r="NX186" s="1"/>
      <c r="NY186" s="1"/>
      <c r="NZ186" s="1"/>
      <c r="OA186" s="1"/>
      <c r="OB186" s="1"/>
      <c r="OC186" s="1"/>
      <c r="OD186" s="1"/>
      <c r="OE186" s="1"/>
      <c r="OF186" s="1"/>
      <c r="OG186" s="1"/>
      <c r="OH186" s="1"/>
      <c r="OI186" s="1"/>
      <c r="OJ186" s="1"/>
      <c r="OK186" s="1"/>
      <c r="OL186" s="1"/>
      <c r="OM186" s="1"/>
      <c r="ON186" s="1"/>
      <c r="OO186" s="1"/>
      <c r="OP186" s="1"/>
      <c r="OQ186" s="1"/>
      <c r="OR186" s="1"/>
      <c r="OS186" s="1"/>
      <c r="OT186" s="1"/>
      <c r="OU186" s="1"/>
      <c r="OV186" s="1"/>
      <c r="OW186" s="1"/>
      <c r="OX186" s="1"/>
      <c r="OY186" s="1"/>
      <c r="OZ186" s="1"/>
      <c r="PA186" s="1"/>
      <c r="PB186" s="1"/>
      <c r="PC186" s="1"/>
      <c r="PD186" s="1"/>
      <c r="PE186" s="1"/>
      <c r="PF186" s="1"/>
      <c r="PG186" s="1"/>
      <c r="PH186" s="1"/>
      <c r="PI186" s="1"/>
      <c r="PJ186" s="1"/>
      <c r="PK186" s="1"/>
      <c r="PL186" s="1"/>
      <c r="PM186" s="1"/>
      <c r="PN186" s="1"/>
      <c r="PO186" s="1"/>
      <c r="PP186" s="1"/>
      <c r="PQ186" s="1"/>
      <c r="PR186" s="1"/>
      <c r="PS186" s="1"/>
      <c r="PT186" s="1"/>
      <c r="PU186" s="1"/>
      <c r="PV186" s="1"/>
      <c r="PW186" s="1"/>
      <c r="PX186" s="1"/>
      <c r="PY186" s="1"/>
      <c r="PZ186" s="1"/>
      <c r="QA186" s="1"/>
      <c r="QB186" s="1"/>
      <c r="QC186" s="1"/>
      <c r="QD186" s="1"/>
      <c r="QE186" s="1"/>
      <c r="QF186" s="1"/>
      <c r="QG186" s="1"/>
      <c r="QH186" s="1"/>
      <c r="QI186" s="1"/>
      <c r="QJ186" s="1"/>
      <c r="QK186" s="1"/>
      <c r="QL186" s="1"/>
      <c r="QM186" s="1"/>
      <c r="QN186" s="1"/>
      <c r="QO186" s="1"/>
      <c r="QP186" s="1"/>
      <c r="QQ186" s="1"/>
      <c r="QR186" s="1"/>
      <c r="QS186" s="1"/>
      <c r="QT186" s="1"/>
      <c r="QU186" s="1"/>
      <c r="QV186" s="1"/>
      <c r="QW186" s="1"/>
      <c r="QX186" s="1"/>
      <c r="QY186" s="1"/>
      <c r="QZ186" s="1"/>
      <c r="RA186" s="1"/>
      <c r="RB186" s="1"/>
      <c r="RC186" s="1"/>
      <c r="RD186" s="1"/>
      <c r="RE186" s="1"/>
      <c r="RF186" s="1"/>
      <c r="RG186" s="1"/>
      <c r="RH186" s="1"/>
      <c r="RI186" s="1"/>
      <c r="RJ186" s="1"/>
      <c r="RK186" s="1"/>
      <c r="RL186" s="1"/>
      <c r="RM186" s="1"/>
      <c r="RN186" s="1"/>
      <c r="RO186" s="1"/>
      <c r="RP186" s="1"/>
      <c r="RQ186" s="1"/>
      <c r="RR186" s="1"/>
      <c r="RS186" s="1"/>
      <c r="RT186" s="1"/>
      <c r="RU186" s="1"/>
      <c r="RV186" s="1"/>
      <c r="RW186" s="1"/>
      <c r="RX186" s="1"/>
      <c r="RY186" s="1"/>
      <c r="RZ186" s="1"/>
      <c r="SA186" s="1"/>
      <c r="SB186" s="1"/>
      <c r="SC186" s="1"/>
      <c r="SD186" s="1"/>
      <c r="SE186" s="1"/>
      <c r="SF186" s="1"/>
      <c r="SG186" s="1"/>
      <c r="SH186" s="1"/>
      <c r="SI186" s="1"/>
      <c r="SJ186" s="1"/>
      <c r="SK186" s="1"/>
      <c r="SL186" s="1"/>
      <c r="SM186" s="1"/>
      <c r="SN186" s="1"/>
      <c r="SO186" s="1"/>
      <c r="SP186" s="1"/>
      <c r="SQ186" s="1"/>
      <c r="SR186" s="1"/>
      <c r="SS186" s="1"/>
      <c r="ST186" s="1"/>
      <c r="SU186" s="1"/>
      <c r="SV186" s="1"/>
      <c r="SW186" s="1"/>
      <c r="SX186" s="1"/>
      <c r="SY186" s="1"/>
      <c r="SZ186" s="1"/>
      <c r="TA186" s="1"/>
      <c r="TB186" s="1"/>
      <c r="TC186" s="1"/>
      <c r="TD186" s="1"/>
      <c r="TE186" s="1"/>
      <c r="TF186" s="1"/>
      <c r="TG186" s="1"/>
      <c r="TH186" s="1"/>
      <c r="TI186" s="1"/>
      <c r="TJ186" s="1"/>
      <c r="TK186" s="1"/>
      <c r="TL186" s="1"/>
      <c r="TM186" s="1"/>
      <c r="TN186" s="1"/>
      <c r="TO186" s="1"/>
      <c r="TP186" s="1"/>
      <c r="TQ186" s="1"/>
      <c r="TR186" s="1"/>
      <c r="TS186" s="1"/>
      <c r="TT186" s="1"/>
      <c r="TU186" s="1"/>
      <c r="TV186" s="1"/>
      <c r="TW186" s="1"/>
      <c r="TX186" s="1"/>
      <c r="TY186" s="1"/>
      <c r="TZ186" s="1"/>
      <c r="UA186" s="1"/>
      <c r="UB186" s="1"/>
      <c r="UC186" s="1"/>
      <c r="UD186" s="1"/>
      <c r="UE186" s="1"/>
      <c r="UF186" s="1"/>
      <c r="UG186" s="1"/>
      <c r="UH186" s="1"/>
      <c r="UI186" s="1"/>
      <c r="UJ186" s="1"/>
      <c r="UK186" s="1"/>
      <c r="UL186" s="1"/>
      <c r="UM186" s="1"/>
      <c r="UN186" s="1"/>
      <c r="UO186" s="1"/>
      <c r="UP186" s="1"/>
      <c r="UQ186" s="1"/>
      <c r="UR186" s="1"/>
      <c r="US186" s="1"/>
      <c r="UT186" s="1"/>
      <c r="UU186" s="1"/>
      <c r="UV186" s="1"/>
      <c r="UW186" s="1"/>
      <c r="UX186" s="1"/>
      <c r="UY186" s="1"/>
      <c r="UZ186" s="1"/>
      <c r="VA186" s="1"/>
      <c r="VB186" s="1"/>
      <c r="VC186" s="1"/>
      <c r="VD186" s="1"/>
      <c r="VE186" s="1"/>
      <c r="VF186" s="1"/>
      <c r="VG186" s="1"/>
      <c r="VH186" s="1"/>
      <c r="VI186" s="1"/>
      <c r="VJ186" s="1"/>
      <c r="VK186" s="1"/>
      <c r="VL186" s="1"/>
      <c r="VM186" s="1"/>
      <c r="VN186" s="1"/>
      <c r="VO186" s="1"/>
      <c r="VP186" s="1"/>
      <c r="VQ186" s="1"/>
      <c r="VR186" s="1"/>
      <c r="VS186" s="1"/>
      <c r="VT186" s="1"/>
      <c r="VU186" s="1"/>
      <c r="VV186" s="1"/>
      <c r="VW186" s="1"/>
      <c r="VX186" s="1"/>
      <c r="VY186" s="1"/>
      <c r="VZ186" s="1"/>
      <c r="WA186" s="1"/>
      <c r="WB186" s="1"/>
      <c r="WC186" s="1"/>
      <c r="WD186" s="1"/>
      <c r="WE186" s="1"/>
      <c r="WF186" s="1"/>
      <c r="WG186" s="1"/>
      <c r="WH186" s="1"/>
      <c r="WI186" s="1"/>
      <c r="WJ186" s="1"/>
      <c r="WK186" s="1"/>
      <c r="WL186" s="1"/>
      <c r="WM186" s="1"/>
      <c r="WN186" s="1"/>
      <c r="WO186" s="1"/>
      <c r="WP186" s="1"/>
      <c r="WQ186" s="1"/>
      <c r="WR186" s="1"/>
      <c r="WS186" s="1"/>
      <c r="WT186" s="1"/>
      <c r="WU186" s="1"/>
      <c r="WV186" s="1"/>
      <c r="WW186" s="1"/>
      <c r="WX186" s="1"/>
      <c r="WY186" s="1"/>
      <c r="WZ186" s="1"/>
      <c r="XA186" s="1"/>
      <c r="XB186" s="1"/>
      <c r="XC186" s="1"/>
      <c r="XD186" s="1"/>
      <c r="XE186" s="1"/>
      <c r="XF186" s="1"/>
      <c r="XG186" s="1"/>
      <c r="XH186" s="1"/>
      <c r="XI186" s="1"/>
      <c r="XJ186" s="1"/>
      <c r="XK186" s="1"/>
      <c r="XL186" s="1"/>
      <c r="XM186" s="1"/>
      <c r="XN186" s="1"/>
      <c r="XO186" s="1"/>
      <c r="XP186" s="1"/>
      <c r="XQ186" s="1"/>
      <c r="XR186" s="1"/>
      <c r="XS186" s="1"/>
      <c r="XT186" s="1"/>
      <c r="XU186" s="1"/>
      <c r="XV186" s="1"/>
      <c r="XW186" s="1"/>
      <c r="XX186" s="1"/>
      <c r="XY186" s="1"/>
      <c r="XZ186" s="1"/>
      <c r="YA186" s="1"/>
      <c r="YB186" s="1"/>
      <c r="YC186" s="1"/>
      <c r="YD186" s="1"/>
      <c r="YE186" s="1"/>
      <c r="YF186" s="1"/>
      <c r="YG186" s="1"/>
      <c r="YH186" s="1"/>
      <c r="YI186" s="1"/>
      <c r="YJ186" s="1"/>
      <c r="YK186" s="1"/>
      <c r="YL186" s="1"/>
      <c r="YM186" s="1"/>
      <c r="YN186" s="1"/>
      <c r="YO186" s="1"/>
      <c r="YP186" s="1"/>
      <c r="YQ186" s="1"/>
      <c r="YR186" s="1"/>
      <c r="YS186" s="1"/>
      <c r="YT186" s="1"/>
      <c r="YU186" s="1"/>
      <c r="YV186" s="1"/>
      <c r="YW186" s="1"/>
      <c r="YX186" s="1"/>
      <c r="YY186" s="1"/>
      <c r="YZ186" s="1"/>
      <c r="ZA186" s="1"/>
      <c r="ZB186" s="1"/>
      <c r="ZC186" s="1"/>
      <c r="ZD186" s="1"/>
      <c r="ZE186" s="1"/>
      <c r="ZF186" s="1"/>
      <c r="ZG186" s="1"/>
      <c r="ZH186" s="1"/>
      <c r="ZI186" s="1"/>
      <c r="ZJ186" s="1"/>
      <c r="ZK186" s="1"/>
      <c r="ZL186" s="1"/>
      <c r="ZM186" s="1"/>
      <c r="ZN186" s="1"/>
      <c r="ZO186" s="1"/>
      <c r="ZP186" s="1"/>
      <c r="ZQ186" s="1"/>
      <c r="ZR186" s="1"/>
      <c r="ZS186" s="1"/>
      <c r="ZT186" s="1"/>
      <c r="ZU186" s="1"/>
      <c r="ZV186" s="1"/>
      <c r="ZW186" s="1"/>
      <c r="ZX186" s="1"/>
      <c r="ZY186" s="1"/>
      <c r="ZZ186" s="1"/>
      <c r="AAA186" s="1"/>
      <c r="AAB186" s="1"/>
      <c r="AAC186" s="1"/>
      <c r="AAD186" s="1"/>
      <c r="AAE186" s="1"/>
      <c r="AAF186" s="1"/>
      <c r="AAG186" s="1"/>
      <c r="AAH186" s="1"/>
      <c r="AAI186" s="1"/>
      <c r="AAJ186" s="1"/>
      <c r="AAK186" s="1"/>
      <c r="AAL186" s="1"/>
      <c r="AAM186" s="1"/>
      <c r="AAN186" s="1"/>
      <c r="AAO186" s="1"/>
      <c r="AAP186" s="1"/>
      <c r="AAQ186" s="1"/>
      <c r="AAR186" s="1"/>
      <c r="AAS186" s="1"/>
      <c r="AAT186" s="1"/>
      <c r="AAU186" s="1"/>
      <c r="AAV186" s="1"/>
      <c r="AAW186" s="1"/>
      <c r="AAX186" s="1"/>
      <c r="AAY186" s="1"/>
      <c r="AAZ186" s="1"/>
      <c r="ABA186" s="1"/>
      <c r="ABB186" s="1"/>
      <c r="ABC186" s="1"/>
      <c r="ABD186" s="1"/>
      <c r="ABE186" s="1"/>
      <c r="ABF186" s="1"/>
      <c r="ABG186" s="1"/>
      <c r="ABH186" s="1"/>
      <c r="ABI186" s="1"/>
      <c r="ABJ186" s="1"/>
      <c r="ABK186" s="1"/>
      <c r="ABL186" s="1"/>
      <c r="ABM186" s="1"/>
      <c r="ABN186" s="1"/>
      <c r="ABO186" s="1"/>
      <c r="ABP186" s="1"/>
      <c r="ABQ186" s="1"/>
      <c r="ABR186" s="1"/>
      <c r="ABS186" s="1"/>
      <c r="ABT186" s="1"/>
      <c r="ABU186" s="1"/>
      <c r="ABV186" s="1"/>
      <c r="ABW186" s="1"/>
      <c r="ABX186" s="1"/>
      <c r="ABY186" s="1"/>
      <c r="ABZ186" s="1"/>
      <c r="ACA186" s="1"/>
      <c r="ACB186" s="1"/>
      <c r="ACC186" s="1"/>
      <c r="ACD186" s="1"/>
      <c r="ACE186" s="1"/>
      <c r="ACF186" s="1"/>
      <c r="ACG186" s="1"/>
      <c r="ACH186" s="1"/>
      <c r="ACI186" s="1"/>
      <c r="ACJ186" s="1"/>
      <c r="ACK186" s="1"/>
      <c r="ACL186" s="1"/>
      <c r="ACM186" s="1"/>
      <c r="ACN186" s="1"/>
      <c r="ACO186" s="1"/>
      <c r="ACP186" s="1"/>
      <c r="ACQ186" s="1"/>
      <c r="ACR186" s="1"/>
      <c r="ACS186" s="1"/>
      <c r="ACT186" s="1"/>
      <c r="ACU186" s="1"/>
      <c r="ACV186" s="1"/>
      <c r="ACW186" s="1"/>
      <c r="ACX186" s="1"/>
      <c r="ACY186" s="1"/>
      <c r="ACZ186" s="1"/>
      <c r="ADA186" s="1"/>
      <c r="ADB186" s="1"/>
      <c r="ADC186" s="1"/>
      <c r="ADD186" s="1"/>
      <c r="ADE186" s="1"/>
      <c r="ADF186" s="1"/>
      <c r="ADG186" s="1"/>
      <c r="ADH186" s="1"/>
      <c r="ADI186" s="1"/>
      <c r="ADJ186" s="1"/>
      <c r="ADK186" s="1"/>
      <c r="ADL186" s="1"/>
      <c r="ADM186" s="1"/>
      <c r="ADN186" s="1"/>
      <c r="ADO186" s="1"/>
      <c r="ADP186" s="1"/>
      <c r="ADQ186" s="1"/>
      <c r="ADR186" s="1"/>
      <c r="ADS186" s="1"/>
      <c r="ADT186" s="1"/>
      <c r="ADU186" s="1"/>
      <c r="ADV186" s="1"/>
      <c r="ADW186" s="1"/>
      <c r="ADX186" s="1"/>
      <c r="ADY186" s="1"/>
      <c r="ADZ186" s="1"/>
      <c r="AEA186" s="1"/>
      <c r="AEB186" s="1"/>
      <c r="AEC186" s="1"/>
      <c r="AED186" s="1"/>
      <c r="AEE186" s="1"/>
      <c r="AEF186" s="1"/>
      <c r="AEG186" s="1"/>
      <c r="AEH186" s="1"/>
      <c r="AEI186" s="1"/>
      <c r="AEJ186" s="1"/>
      <c r="AEK186" s="1"/>
      <c r="AEL186" s="1"/>
      <c r="AEM186" s="1"/>
      <c r="AEN186" s="1"/>
      <c r="AEO186" s="1"/>
      <c r="AEP186" s="1"/>
      <c r="AEQ186" s="1"/>
      <c r="AER186" s="1"/>
      <c r="AES186" s="1"/>
      <c r="AET186" s="1"/>
      <c r="AEU186" s="1"/>
      <c r="AEV186" s="1"/>
      <c r="AEW186" s="1"/>
      <c r="AEX186" s="1"/>
      <c r="AEY186" s="1"/>
      <c r="AEZ186" s="1"/>
      <c r="AFA186" s="1"/>
      <c r="AFB186" s="1"/>
      <c r="AFC186" s="1"/>
      <c r="AFD186" s="1"/>
      <c r="AFE186" s="1"/>
      <c r="AFF186" s="1"/>
      <c r="AFG186" s="1"/>
      <c r="AFH186" s="1"/>
      <c r="AFI186" s="1"/>
      <c r="AFJ186" s="1"/>
      <c r="AFK186" s="1"/>
      <c r="AFL186" s="1"/>
      <c r="AFM186" s="1"/>
      <c r="AFN186" s="1"/>
      <c r="AFO186" s="1"/>
      <c r="AFP186" s="1"/>
      <c r="AFQ186" s="1"/>
      <c r="AFR186" s="1"/>
      <c r="AFS186" s="1"/>
      <c r="AFT186" s="1"/>
      <c r="AFU186" s="1"/>
      <c r="AFV186" s="1"/>
      <c r="AFW186" s="1"/>
      <c r="AFX186" s="1"/>
      <c r="AFY186" s="1"/>
      <c r="AFZ186" s="1"/>
      <c r="AGA186" s="1"/>
      <c r="AGB186" s="1"/>
      <c r="AGC186" s="1"/>
      <c r="AGD186" s="1"/>
      <c r="AGE186" s="1"/>
      <c r="AGF186" s="1"/>
      <c r="AGG186" s="1"/>
      <c r="AGH186" s="1"/>
      <c r="AGI186" s="1"/>
      <c r="AGJ186" s="1"/>
      <c r="AGK186" s="1"/>
      <c r="AGL186" s="1"/>
      <c r="AGM186" s="1"/>
      <c r="AGN186" s="1"/>
      <c r="AGO186" s="1"/>
      <c r="AGP186" s="1"/>
      <c r="AGQ186" s="1"/>
      <c r="AGR186" s="1"/>
      <c r="AGS186" s="1"/>
      <c r="AGT186" s="1"/>
      <c r="AGU186" s="1"/>
      <c r="AGV186" s="1"/>
      <c r="AGW186" s="1"/>
      <c r="AGX186" s="1"/>
      <c r="AGY186" s="1"/>
      <c r="AGZ186" s="1"/>
      <c r="AHA186" s="1"/>
      <c r="AHB186" s="1"/>
      <c r="AHC186" s="1"/>
      <c r="AHD186" s="1"/>
      <c r="AHE186" s="1"/>
      <c r="AHF186" s="1"/>
      <c r="AHG186" s="1"/>
      <c r="AHH186" s="1"/>
      <c r="AHI186" s="1"/>
      <c r="AHJ186" s="1"/>
      <c r="AHK186" s="1"/>
      <c r="AHL186" s="1"/>
      <c r="AHM186" s="1"/>
      <c r="AHN186" s="1"/>
      <c r="AHO186" s="1"/>
      <c r="AHP186" s="1"/>
      <c r="AHQ186" s="1"/>
      <c r="AHR186" s="1"/>
      <c r="AHS186" s="1"/>
      <c r="AHT186" s="1"/>
      <c r="AHU186" s="1"/>
      <c r="AHV186" s="1"/>
      <c r="AHW186" s="1"/>
      <c r="AHX186" s="1"/>
      <c r="AHY186" s="1"/>
      <c r="AHZ186" s="1"/>
      <c r="AIA186" s="1"/>
      <c r="AIB186" s="1"/>
      <c r="AIC186" s="1"/>
      <c r="AID186" s="1"/>
      <c r="AIE186" s="1"/>
      <c r="AIF186" s="1"/>
      <c r="AIG186" s="1"/>
      <c r="AIH186" s="1"/>
      <c r="AII186" s="1"/>
      <c r="AIJ186" s="1"/>
      <c r="AIK186" s="1"/>
      <c r="AIL186" s="1"/>
      <c r="AIM186" s="1"/>
      <c r="AIN186" s="1"/>
      <c r="AIO186" s="1"/>
      <c r="AIP186" s="1"/>
      <c r="AIQ186" s="1"/>
      <c r="AIR186" s="1"/>
      <c r="AIS186" s="1"/>
      <c r="AIT186" s="1"/>
      <c r="AIU186" s="1"/>
      <c r="AIV186" s="1"/>
      <c r="AIW186" s="1"/>
      <c r="AIX186" s="1"/>
      <c r="AIY186" s="1"/>
      <c r="AIZ186" s="1"/>
      <c r="AJA186" s="1"/>
      <c r="AJB186" s="1"/>
      <c r="AJC186" s="1"/>
      <c r="AJD186" s="1"/>
      <c r="AJE186" s="1"/>
      <c r="AJF186" s="1"/>
      <c r="AJG186" s="1"/>
      <c r="AJH186" s="1"/>
      <c r="AJI186" s="1"/>
      <c r="AJJ186" s="1"/>
      <c r="AJK186" s="1"/>
      <c r="AJL186" s="1"/>
      <c r="AJM186" s="1"/>
      <c r="AJN186" s="1"/>
      <c r="AJO186" s="1"/>
      <c r="AJP186" s="1"/>
      <c r="AJQ186" s="1"/>
      <c r="AJR186" s="1"/>
      <c r="AJS186" s="1"/>
      <c r="AJT186" s="1"/>
      <c r="AJU186" s="1"/>
      <c r="AJV186" s="1"/>
      <c r="AJW186" s="1"/>
      <c r="AJX186" s="1"/>
      <c r="AJY186" s="1"/>
      <c r="AJZ186" s="1"/>
      <c r="AKA186" s="1"/>
      <c r="AKB186" s="1"/>
      <c r="AKC186" s="1"/>
      <c r="AKD186" s="1"/>
      <c r="AKE186" s="1"/>
      <c r="AKF186" s="1"/>
      <c r="AKG186" s="1"/>
      <c r="AKH186" s="1"/>
      <c r="AKI186" s="1"/>
      <c r="AKJ186" s="1"/>
      <c r="AKK186" s="1"/>
      <c r="AKL186" s="1"/>
      <c r="AKM186" s="1"/>
      <c r="AKN186" s="1"/>
      <c r="AKO186" s="1"/>
      <c r="AKP186" s="1"/>
      <c r="AKQ186" s="1"/>
      <c r="AKR186" s="1"/>
      <c r="AKS186" s="1"/>
      <c r="AKT186" s="1"/>
      <c r="AKU186" s="1"/>
      <c r="AKV186" s="1"/>
      <c r="AKW186" s="1"/>
      <c r="AKX186" s="1"/>
      <c r="AKY186" s="1"/>
      <c r="AKZ186" s="1"/>
      <c r="ALA186" s="1"/>
      <c r="ALB186" s="1"/>
      <c r="ALC186" s="1"/>
      <c r="ALD186" s="1"/>
      <c r="ALE186" s="1"/>
      <c r="ALF186" s="1"/>
      <c r="ALG186" s="1"/>
      <c r="ALH186" s="1"/>
      <c r="ALI186" s="1"/>
      <c r="ALJ186" s="1"/>
      <c r="ALK186" s="1"/>
      <c r="ALL186" s="1"/>
      <c r="ALM186" s="1"/>
      <c r="ALN186" s="1"/>
      <c r="ALO186" s="1"/>
      <c r="ALP186" s="1"/>
      <c r="ALQ186" s="1"/>
      <c r="ALR186" s="1"/>
      <c r="ALS186" s="1"/>
      <c r="ALT186" s="1"/>
      <c r="ALU186" s="1"/>
      <c r="ALV186" s="1"/>
      <c r="ALW186" s="1"/>
      <c r="ALX186" s="1"/>
      <c r="ALY186" s="1"/>
      <c r="ALZ186" s="1"/>
      <c r="AMA186" s="1"/>
      <c r="AMB186" s="1"/>
      <c r="AMC186" s="1"/>
      <c r="AMD186" s="1"/>
      <c r="AME186" s="1"/>
      <c r="AMF186" s="1"/>
      <c r="AMG186" s="1"/>
      <c r="AMH186" s="1"/>
      <c r="AMI186" s="1"/>
      <c r="AMJ186" s="1"/>
    </row>
    <row r="187" customFormat="false" ht="10.5" hidden="false" customHeight="true" outlineLevel="0" collapsed="false">
      <c r="A187" s="162" t="s">
        <v>319</v>
      </c>
      <c r="B187" s="162"/>
      <c r="C187" s="162"/>
      <c r="D187" s="162"/>
      <c r="E187" s="162"/>
      <c r="F187" s="162"/>
      <c r="G187" s="162"/>
      <c r="H187" s="162"/>
      <c r="I187" s="162"/>
      <c r="J187" s="162"/>
      <c r="K187" s="222" t="n">
        <v>12900</v>
      </c>
      <c r="L187" s="222"/>
      <c r="M187" s="222"/>
      <c r="N187" s="222"/>
      <c r="O187" s="19" t="s">
        <v>307</v>
      </c>
      <c r="P187" s="19"/>
      <c r="Q187" s="19"/>
      <c r="R187" s="222" t="n">
        <v>458.93</v>
      </c>
      <c r="S187" s="222"/>
      <c r="T187" s="222"/>
      <c r="U187" s="222" t="n">
        <v>4101.2</v>
      </c>
      <c r="V187" s="222"/>
      <c r="W187" s="222"/>
      <c r="X187" s="222"/>
      <c r="Y187" s="166" t="s">
        <v>318</v>
      </c>
      <c r="Z187" s="166"/>
      <c r="AA187" s="166"/>
      <c r="AB187" s="166"/>
      <c r="AC187" s="166"/>
      <c r="AD187" s="166"/>
      <c r="AE187" s="166"/>
      <c r="AF187" s="166"/>
      <c r="AG187" s="166"/>
      <c r="AH187" s="166"/>
      <c r="AI187" s="166"/>
      <c r="AJ187" s="228" t="s">
        <v>64</v>
      </c>
      <c r="AK187" s="228"/>
      <c r="AL187" s="228"/>
      <c r="AM187" s="228"/>
      <c r="AN187" s="228"/>
      <c r="AO187" s="228"/>
      <c r="BE187" s="1"/>
      <c r="BF187" s="1"/>
      <c r="BG187" s="1"/>
      <c r="BH187" s="1"/>
      <c r="BI187" s="1"/>
      <c r="BJ187" s="1"/>
      <c r="BK187" s="1"/>
      <c r="BL187" s="1"/>
      <c r="BM187" s="1"/>
      <c r="BN187" s="1"/>
      <c r="BO187" s="1"/>
      <c r="BP187" s="1"/>
      <c r="BQ187" s="1"/>
      <c r="BR187" s="1"/>
      <c r="BS187" s="1"/>
      <c r="BT187" s="1"/>
      <c r="BU187" s="1"/>
      <c r="BV187" s="1"/>
      <c r="BW187" s="1"/>
      <c r="BX187" s="1"/>
      <c r="BY187" s="1"/>
      <c r="BZ187" s="1"/>
      <c r="CA187" s="1"/>
      <c r="CB187" s="1"/>
      <c r="CC187" s="1"/>
      <c r="CD187" s="1"/>
      <c r="CE187" s="1"/>
      <c r="CF187" s="1"/>
      <c r="CG187" s="1"/>
      <c r="CH187" s="1"/>
      <c r="CI187" s="1"/>
      <c r="CJ187" s="1"/>
      <c r="CK187" s="1"/>
      <c r="CL187" s="1"/>
      <c r="CM187" s="1"/>
      <c r="CN187" s="1"/>
      <c r="CO187" s="1"/>
      <c r="CP187" s="1"/>
      <c r="CQ187" s="1"/>
      <c r="CR187" s="1"/>
      <c r="CS187" s="1"/>
      <c r="CT187" s="1"/>
      <c r="CU187" s="1"/>
      <c r="CV187" s="1"/>
      <c r="CW187" s="1"/>
      <c r="CX187" s="1"/>
      <c r="CY187" s="1"/>
      <c r="CZ187" s="1"/>
      <c r="DA187" s="1"/>
      <c r="DB187" s="1"/>
      <c r="DC187" s="1"/>
      <c r="DD187" s="1"/>
      <c r="DE187" s="1"/>
      <c r="DF187" s="1"/>
      <c r="DG187" s="1"/>
      <c r="DH187" s="1"/>
      <c r="DI187" s="1"/>
      <c r="DJ187" s="1"/>
      <c r="DK187" s="1"/>
      <c r="DL187" s="1"/>
      <c r="DM187" s="1"/>
      <c r="DN187" s="1"/>
      <c r="DO187" s="1"/>
      <c r="DP187" s="1"/>
      <c r="DQ187" s="1"/>
      <c r="DR187" s="1"/>
      <c r="DS187" s="1"/>
      <c r="DT187" s="1"/>
      <c r="DU187" s="1"/>
      <c r="DV187" s="1"/>
      <c r="DW187" s="1"/>
      <c r="DX187" s="1"/>
      <c r="DY187" s="1"/>
      <c r="DZ187" s="1"/>
      <c r="EA187" s="1"/>
      <c r="EB187" s="1"/>
      <c r="EC187" s="1"/>
      <c r="ED187" s="1"/>
      <c r="EE187" s="1"/>
      <c r="EF187" s="1"/>
      <c r="EG187" s="1"/>
      <c r="EH187" s="1"/>
      <c r="EI187" s="1"/>
      <c r="EJ187" s="1"/>
      <c r="EK187" s="1"/>
      <c r="EL187" s="1"/>
      <c r="EM187" s="1"/>
      <c r="EN187" s="1"/>
      <c r="EO187" s="1"/>
      <c r="EP187" s="1"/>
      <c r="EQ187" s="1"/>
      <c r="ER187" s="1"/>
      <c r="ES187" s="1"/>
      <c r="ET187" s="1"/>
      <c r="EU187" s="1"/>
      <c r="EV187" s="1"/>
      <c r="EW187" s="1"/>
      <c r="EX187" s="1"/>
      <c r="EY187" s="1"/>
      <c r="EZ187" s="1"/>
      <c r="FA187" s="1"/>
      <c r="FB187" s="1"/>
      <c r="FC187" s="1"/>
      <c r="FD187" s="1"/>
      <c r="FE187" s="1"/>
      <c r="FF187" s="1"/>
      <c r="FG187" s="1"/>
      <c r="FH187" s="1"/>
      <c r="FI187" s="1"/>
      <c r="FJ187" s="1"/>
      <c r="FK187" s="1"/>
      <c r="FL187" s="1"/>
      <c r="FM187" s="1"/>
      <c r="FN187" s="1"/>
      <c r="FO187" s="1"/>
      <c r="FP187" s="1"/>
      <c r="FQ187" s="1"/>
      <c r="FR187" s="1"/>
      <c r="FS187" s="1"/>
      <c r="FT187" s="1"/>
      <c r="FU187" s="1"/>
      <c r="FV187" s="1"/>
      <c r="FW187" s="1"/>
      <c r="FX187" s="1"/>
      <c r="FY187" s="1"/>
      <c r="FZ187" s="1"/>
      <c r="GA187" s="1"/>
      <c r="GB187" s="1"/>
      <c r="GC187" s="1"/>
      <c r="GD187" s="1"/>
      <c r="GE187" s="1"/>
      <c r="GF187" s="1"/>
      <c r="GG187" s="1"/>
      <c r="GH187" s="1"/>
      <c r="GI187" s="1"/>
      <c r="GJ187" s="1"/>
      <c r="GK187" s="1"/>
      <c r="GL187" s="1"/>
      <c r="GM187" s="1"/>
      <c r="GN187" s="1"/>
      <c r="GO187" s="1"/>
      <c r="GP187" s="1"/>
      <c r="GQ187" s="1"/>
      <c r="GR187" s="1"/>
      <c r="GS187" s="1"/>
      <c r="GT187" s="1"/>
      <c r="GU187" s="1"/>
      <c r="GV187" s="1"/>
      <c r="GW187" s="1"/>
      <c r="GX187" s="1"/>
      <c r="GY187" s="1"/>
      <c r="GZ187" s="1"/>
      <c r="HA187" s="1"/>
      <c r="HB187" s="1"/>
      <c r="HC187" s="1"/>
      <c r="HD187" s="1"/>
      <c r="HE187" s="1"/>
      <c r="HF187" s="1"/>
      <c r="HG187" s="1"/>
      <c r="HH187" s="1"/>
      <c r="HI187" s="1"/>
      <c r="HJ187" s="1"/>
      <c r="HK187" s="1"/>
      <c r="HL187" s="1"/>
      <c r="HM187" s="1"/>
      <c r="HN187" s="1"/>
      <c r="HO187" s="1"/>
      <c r="HP187" s="1"/>
      <c r="HQ187" s="1"/>
      <c r="HR187" s="1"/>
      <c r="HS187" s="1"/>
      <c r="HT187" s="1"/>
      <c r="HU187" s="1"/>
      <c r="HV187" s="1"/>
      <c r="HW187" s="1"/>
      <c r="HX187" s="1"/>
      <c r="HY187" s="1"/>
      <c r="HZ187" s="1"/>
      <c r="IA187" s="1"/>
      <c r="IB187" s="1"/>
      <c r="IC187" s="1"/>
      <c r="ID187" s="1"/>
      <c r="IE187" s="1"/>
      <c r="IF187" s="1"/>
      <c r="IG187" s="1"/>
      <c r="IH187" s="1"/>
      <c r="II187" s="1"/>
      <c r="IJ187" s="1"/>
      <c r="IK187" s="1"/>
      <c r="IL187" s="1"/>
      <c r="IM187" s="1"/>
      <c r="IN187" s="1"/>
      <c r="IO187" s="1"/>
      <c r="IP187" s="1"/>
      <c r="IQ187" s="1"/>
      <c r="IR187" s="1"/>
      <c r="IS187" s="1"/>
      <c r="IT187" s="1"/>
      <c r="IU187" s="1"/>
      <c r="IV187" s="1"/>
      <c r="IW187" s="1"/>
      <c r="IX187" s="1"/>
      <c r="IY187" s="1"/>
      <c r="IZ187" s="1"/>
      <c r="JA187" s="1"/>
      <c r="JB187" s="1"/>
      <c r="JC187" s="1"/>
      <c r="JD187" s="1"/>
      <c r="JE187" s="1"/>
      <c r="JF187" s="1"/>
      <c r="JG187" s="1"/>
      <c r="JH187" s="1"/>
      <c r="JI187" s="1"/>
      <c r="JJ187" s="1"/>
      <c r="JK187" s="1"/>
      <c r="JL187" s="1"/>
      <c r="JM187" s="1"/>
      <c r="JN187" s="1"/>
      <c r="JO187" s="1"/>
      <c r="JP187" s="1"/>
      <c r="JQ187" s="1"/>
      <c r="JR187" s="1"/>
      <c r="JS187" s="1"/>
      <c r="JT187" s="1"/>
      <c r="JU187" s="1"/>
      <c r="JV187" s="1"/>
      <c r="JW187" s="1"/>
      <c r="JX187" s="1"/>
      <c r="JY187" s="1"/>
      <c r="JZ187" s="1"/>
      <c r="KA187" s="1"/>
      <c r="KB187" s="1"/>
      <c r="KC187" s="1"/>
      <c r="KD187" s="1"/>
      <c r="KE187" s="1"/>
      <c r="KF187" s="1"/>
      <c r="KG187" s="1"/>
      <c r="KH187" s="1"/>
      <c r="KI187" s="1"/>
      <c r="KJ187" s="1"/>
      <c r="KK187" s="1"/>
      <c r="KL187" s="1"/>
      <c r="KM187" s="1"/>
      <c r="KN187" s="1"/>
      <c r="KO187" s="1"/>
      <c r="KP187" s="1"/>
      <c r="KQ187" s="1"/>
      <c r="KR187" s="1"/>
      <c r="KS187" s="1"/>
      <c r="KT187" s="1"/>
      <c r="KU187" s="1"/>
      <c r="KV187" s="1"/>
      <c r="KW187" s="1"/>
      <c r="KX187" s="1"/>
      <c r="KY187" s="1"/>
      <c r="KZ187" s="1"/>
      <c r="LA187" s="1"/>
      <c r="LB187" s="1"/>
      <c r="LC187" s="1"/>
      <c r="LD187" s="1"/>
      <c r="LE187" s="1"/>
      <c r="LF187" s="1"/>
      <c r="LG187" s="1"/>
      <c r="LH187" s="1"/>
      <c r="LI187" s="1"/>
      <c r="LJ187" s="1"/>
      <c r="LK187" s="1"/>
      <c r="LL187" s="1"/>
      <c r="LM187" s="1"/>
      <c r="LN187" s="1"/>
      <c r="LO187" s="1"/>
      <c r="LP187" s="1"/>
      <c r="LQ187" s="1"/>
      <c r="LR187" s="1"/>
      <c r="LS187" s="1"/>
      <c r="LT187" s="1"/>
      <c r="LU187" s="1"/>
      <c r="LV187" s="1"/>
      <c r="LW187" s="1"/>
      <c r="LX187" s="1"/>
      <c r="LY187" s="1"/>
      <c r="LZ187" s="1"/>
      <c r="MA187" s="1"/>
      <c r="MB187" s="1"/>
      <c r="MC187" s="1"/>
      <c r="MD187" s="1"/>
      <c r="ME187" s="1"/>
      <c r="MF187" s="1"/>
      <c r="MG187" s="1"/>
      <c r="MH187" s="1"/>
      <c r="MI187" s="1"/>
      <c r="MJ187" s="1"/>
      <c r="MK187" s="1"/>
      <c r="ML187" s="1"/>
      <c r="MM187" s="1"/>
      <c r="MN187" s="1"/>
      <c r="MO187" s="1"/>
      <c r="MP187" s="1"/>
      <c r="MQ187" s="1"/>
      <c r="MR187" s="1"/>
      <c r="MS187" s="1"/>
      <c r="MT187" s="1"/>
      <c r="MU187" s="1"/>
      <c r="MV187" s="1"/>
      <c r="MW187" s="1"/>
      <c r="MX187" s="1"/>
      <c r="MY187" s="1"/>
      <c r="MZ187" s="1"/>
      <c r="NA187" s="1"/>
      <c r="NB187" s="1"/>
      <c r="NC187" s="1"/>
      <c r="ND187" s="1"/>
      <c r="NE187" s="1"/>
      <c r="NF187" s="1"/>
      <c r="NG187" s="1"/>
      <c r="NH187" s="1"/>
      <c r="NI187" s="1"/>
      <c r="NJ187" s="1"/>
      <c r="NK187" s="1"/>
      <c r="NL187" s="1"/>
      <c r="NM187" s="1"/>
      <c r="NN187" s="1"/>
      <c r="NO187" s="1"/>
      <c r="NP187" s="1"/>
      <c r="NQ187" s="1"/>
      <c r="NR187" s="1"/>
      <c r="NS187" s="1"/>
      <c r="NT187" s="1"/>
      <c r="NU187" s="1"/>
      <c r="NV187" s="1"/>
      <c r="NW187" s="1"/>
      <c r="NX187" s="1"/>
      <c r="NY187" s="1"/>
      <c r="NZ187" s="1"/>
      <c r="OA187" s="1"/>
      <c r="OB187" s="1"/>
      <c r="OC187" s="1"/>
      <c r="OD187" s="1"/>
      <c r="OE187" s="1"/>
      <c r="OF187" s="1"/>
      <c r="OG187" s="1"/>
      <c r="OH187" s="1"/>
      <c r="OI187" s="1"/>
      <c r="OJ187" s="1"/>
      <c r="OK187" s="1"/>
      <c r="OL187" s="1"/>
      <c r="OM187" s="1"/>
      <c r="ON187" s="1"/>
      <c r="OO187" s="1"/>
      <c r="OP187" s="1"/>
      <c r="OQ187" s="1"/>
      <c r="OR187" s="1"/>
      <c r="OS187" s="1"/>
      <c r="OT187" s="1"/>
      <c r="OU187" s="1"/>
      <c r="OV187" s="1"/>
      <c r="OW187" s="1"/>
      <c r="OX187" s="1"/>
      <c r="OY187" s="1"/>
      <c r="OZ187" s="1"/>
      <c r="PA187" s="1"/>
      <c r="PB187" s="1"/>
      <c r="PC187" s="1"/>
      <c r="PD187" s="1"/>
      <c r="PE187" s="1"/>
      <c r="PF187" s="1"/>
      <c r="PG187" s="1"/>
      <c r="PH187" s="1"/>
      <c r="PI187" s="1"/>
      <c r="PJ187" s="1"/>
      <c r="PK187" s="1"/>
      <c r="PL187" s="1"/>
      <c r="PM187" s="1"/>
      <c r="PN187" s="1"/>
      <c r="PO187" s="1"/>
      <c r="PP187" s="1"/>
      <c r="PQ187" s="1"/>
      <c r="PR187" s="1"/>
      <c r="PS187" s="1"/>
      <c r="PT187" s="1"/>
      <c r="PU187" s="1"/>
      <c r="PV187" s="1"/>
      <c r="PW187" s="1"/>
      <c r="PX187" s="1"/>
      <c r="PY187" s="1"/>
      <c r="PZ187" s="1"/>
      <c r="QA187" s="1"/>
      <c r="QB187" s="1"/>
      <c r="QC187" s="1"/>
      <c r="QD187" s="1"/>
      <c r="QE187" s="1"/>
      <c r="QF187" s="1"/>
      <c r="QG187" s="1"/>
      <c r="QH187" s="1"/>
      <c r="QI187" s="1"/>
      <c r="QJ187" s="1"/>
      <c r="QK187" s="1"/>
      <c r="QL187" s="1"/>
      <c r="QM187" s="1"/>
      <c r="QN187" s="1"/>
      <c r="QO187" s="1"/>
      <c r="QP187" s="1"/>
      <c r="QQ187" s="1"/>
      <c r="QR187" s="1"/>
      <c r="QS187" s="1"/>
      <c r="QT187" s="1"/>
      <c r="QU187" s="1"/>
      <c r="QV187" s="1"/>
      <c r="QW187" s="1"/>
      <c r="QX187" s="1"/>
      <c r="QY187" s="1"/>
      <c r="QZ187" s="1"/>
      <c r="RA187" s="1"/>
      <c r="RB187" s="1"/>
      <c r="RC187" s="1"/>
      <c r="RD187" s="1"/>
      <c r="RE187" s="1"/>
      <c r="RF187" s="1"/>
      <c r="RG187" s="1"/>
      <c r="RH187" s="1"/>
      <c r="RI187" s="1"/>
      <c r="RJ187" s="1"/>
      <c r="RK187" s="1"/>
      <c r="RL187" s="1"/>
      <c r="RM187" s="1"/>
      <c r="RN187" s="1"/>
      <c r="RO187" s="1"/>
      <c r="RP187" s="1"/>
      <c r="RQ187" s="1"/>
      <c r="RR187" s="1"/>
      <c r="RS187" s="1"/>
      <c r="RT187" s="1"/>
      <c r="RU187" s="1"/>
      <c r="RV187" s="1"/>
      <c r="RW187" s="1"/>
      <c r="RX187" s="1"/>
      <c r="RY187" s="1"/>
      <c r="RZ187" s="1"/>
      <c r="SA187" s="1"/>
      <c r="SB187" s="1"/>
      <c r="SC187" s="1"/>
      <c r="SD187" s="1"/>
      <c r="SE187" s="1"/>
      <c r="SF187" s="1"/>
      <c r="SG187" s="1"/>
      <c r="SH187" s="1"/>
      <c r="SI187" s="1"/>
      <c r="SJ187" s="1"/>
      <c r="SK187" s="1"/>
      <c r="SL187" s="1"/>
      <c r="SM187" s="1"/>
      <c r="SN187" s="1"/>
      <c r="SO187" s="1"/>
      <c r="SP187" s="1"/>
      <c r="SQ187" s="1"/>
      <c r="SR187" s="1"/>
      <c r="SS187" s="1"/>
      <c r="ST187" s="1"/>
      <c r="SU187" s="1"/>
      <c r="SV187" s="1"/>
      <c r="SW187" s="1"/>
      <c r="SX187" s="1"/>
      <c r="SY187" s="1"/>
      <c r="SZ187" s="1"/>
      <c r="TA187" s="1"/>
      <c r="TB187" s="1"/>
      <c r="TC187" s="1"/>
      <c r="TD187" s="1"/>
      <c r="TE187" s="1"/>
      <c r="TF187" s="1"/>
      <c r="TG187" s="1"/>
      <c r="TH187" s="1"/>
      <c r="TI187" s="1"/>
      <c r="TJ187" s="1"/>
      <c r="TK187" s="1"/>
      <c r="TL187" s="1"/>
      <c r="TM187" s="1"/>
      <c r="TN187" s="1"/>
      <c r="TO187" s="1"/>
      <c r="TP187" s="1"/>
      <c r="TQ187" s="1"/>
      <c r="TR187" s="1"/>
      <c r="TS187" s="1"/>
      <c r="TT187" s="1"/>
      <c r="TU187" s="1"/>
      <c r="TV187" s="1"/>
      <c r="TW187" s="1"/>
      <c r="TX187" s="1"/>
      <c r="TY187" s="1"/>
      <c r="TZ187" s="1"/>
      <c r="UA187" s="1"/>
      <c r="UB187" s="1"/>
      <c r="UC187" s="1"/>
      <c r="UD187" s="1"/>
      <c r="UE187" s="1"/>
      <c r="UF187" s="1"/>
      <c r="UG187" s="1"/>
      <c r="UH187" s="1"/>
      <c r="UI187" s="1"/>
      <c r="UJ187" s="1"/>
      <c r="UK187" s="1"/>
      <c r="UL187" s="1"/>
      <c r="UM187" s="1"/>
      <c r="UN187" s="1"/>
      <c r="UO187" s="1"/>
      <c r="UP187" s="1"/>
      <c r="UQ187" s="1"/>
      <c r="UR187" s="1"/>
      <c r="US187" s="1"/>
      <c r="UT187" s="1"/>
      <c r="UU187" s="1"/>
      <c r="UV187" s="1"/>
      <c r="UW187" s="1"/>
      <c r="UX187" s="1"/>
      <c r="UY187" s="1"/>
      <c r="UZ187" s="1"/>
      <c r="VA187" s="1"/>
      <c r="VB187" s="1"/>
      <c r="VC187" s="1"/>
      <c r="VD187" s="1"/>
      <c r="VE187" s="1"/>
      <c r="VF187" s="1"/>
      <c r="VG187" s="1"/>
      <c r="VH187" s="1"/>
      <c r="VI187" s="1"/>
      <c r="VJ187" s="1"/>
      <c r="VK187" s="1"/>
      <c r="VL187" s="1"/>
      <c r="VM187" s="1"/>
      <c r="VN187" s="1"/>
      <c r="VO187" s="1"/>
      <c r="VP187" s="1"/>
      <c r="VQ187" s="1"/>
      <c r="VR187" s="1"/>
      <c r="VS187" s="1"/>
      <c r="VT187" s="1"/>
      <c r="VU187" s="1"/>
      <c r="VV187" s="1"/>
      <c r="VW187" s="1"/>
      <c r="VX187" s="1"/>
      <c r="VY187" s="1"/>
      <c r="VZ187" s="1"/>
      <c r="WA187" s="1"/>
      <c r="WB187" s="1"/>
      <c r="WC187" s="1"/>
      <c r="WD187" s="1"/>
      <c r="WE187" s="1"/>
      <c r="WF187" s="1"/>
      <c r="WG187" s="1"/>
      <c r="WH187" s="1"/>
      <c r="WI187" s="1"/>
      <c r="WJ187" s="1"/>
      <c r="WK187" s="1"/>
      <c r="WL187" s="1"/>
      <c r="WM187" s="1"/>
      <c r="WN187" s="1"/>
      <c r="WO187" s="1"/>
      <c r="WP187" s="1"/>
      <c r="WQ187" s="1"/>
      <c r="WR187" s="1"/>
      <c r="WS187" s="1"/>
      <c r="WT187" s="1"/>
      <c r="WU187" s="1"/>
      <c r="WV187" s="1"/>
      <c r="WW187" s="1"/>
      <c r="WX187" s="1"/>
      <c r="WY187" s="1"/>
      <c r="WZ187" s="1"/>
      <c r="XA187" s="1"/>
      <c r="XB187" s="1"/>
      <c r="XC187" s="1"/>
      <c r="XD187" s="1"/>
      <c r="XE187" s="1"/>
      <c r="XF187" s="1"/>
      <c r="XG187" s="1"/>
      <c r="XH187" s="1"/>
      <c r="XI187" s="1"/>
      <c r="XJ187" s="1"/>
      <c r="XK187" s="1"/>
      <c r="XL187" s="1"/>
      <c r="XM187" s="1"/>
      <c r="XN187" s="1"/>
      <c r="XO187" s="1"/>
      <c r="XP187" s="1"/>
      <c r="XQ187" s="1"/>
      <c r="XR187" s="1"/>
      <c r="XS187" s="1"/>
      <c r="XT187" s="1"/>
      <c r="XU187" s="1"/>
      <c r="XV187" s="1"/>
      <c r="XW187" s="1"/>
      <c r="XX187" s="1"/>
      <c r="XY187" s="1"/>
      <c r="XZ187" s="1"/>
      <c r="YA187" s="1"/>
      <c r="YB187" s="1"/>
      <c r="YC187" s="1"/>
      <c r="YD187" s="1"/>
      <c r="YE187" s="1"/>
      <c r="YF187" s="1"/>
      <c r="YG187" s="1"/>
      <c r="YH187" s="1"/>
      <c r="YI187" s="1"/>
      <c r="YJ187" s="1"/>
      <c r="YK187" s="1"/>
      <c r="YL187" s="1"/>
      <c r="YM187" s="1"/>
      <c r="YN187" s="1"/>
      <c r="YO187" s="1"/>
      <c r="YP187" s="1"/>
      <c r="YQ187" s="1"/>
      <c r="YR187" s="1"/>
      <c r="YS187" s="1"/>
      <c r="YT187" s="1"/>
      <c r="YU187" s="1"/>
      <c r="YV187" s="1"/>
      <c r="YW187" s="1"/>
      <c r="YX187" s="1"/>
      <c r="YY187" s="1"/>
      <c r="YZ187" s="1"/>
      <c r="ZA187" s="1"/>
      <c r="ZB187" s="1"/>
      <c r="ZC187" s="1"/>
      <c r="ZD187" s="1"/>
      <c r="ZE187" s="1"/>
      <c r="ZF187" s="1"/>
      <c r="ZG187" s="1"/>
      <c r="ZH187" s="1"/>
      <c r="ZI187" s="1"/>
      <c r="ZJ187" s="1"/>
      <c r="ZK187" s="1"/>
      <c r="ZL187" s="1"/>
      <c r="ZM187" s="1"/>
      <c r="ZN187" s="1"/>
      <c r="ZO187" s="1"/>
      <c r="ZP187" s="1"/>
      <c r="ZQ187" s="1"/>
      <c r="ZR187" s="1"/>
      <c r="ZS187" s="1"/>
      <c r="ZT187" s="1"/>
      <c r="ZU187" s="1"/>
      <c r="ZV187" s="1"/>
      <c r="ZW187" s="1"/>
      <c r="ZX187" s="1"/>
      <c r="ZY187" s="1"/>
      <c r="ZZ187" s="1"/>
      <c r="AAA187" s="1"/>
      <c r="AAB187" s="1"/>
      <c r="AAC187" s="1"/>
      <c r="AAD187" s="1"/>
      <c r="AAE187" s="1"/>
      <c r="AAF187" s="1"/>
      <c r="AAG187" s="1"/>
      <c r="AAH187" s="1"/>
      <c r="AAI187" s="1"/>
      <c r="AAJ187" s="1"/>
      <c r="AAK187" s="1"/>
      <c r="AAL187" s="1"/>
      <c r="AAM187" s="1"/>
      <c r="AAN187" s="1"/>
      <c r="AAO187" s="1"/>
      <c r="AAP187" s="1"/>
      <c r="AAQ187" s="1"/>
      <c r="AAR187" s="1"/>
      <c r="AAS187" s="1"/>
      <c r="AAT187" s="1"/>
      <c r="AAU187" s="1"/>
      <c r="AAV187" s="1"/>
      <c r="AAW187" s="1"/>
      <c r="AAX187" s="1"/>
      <c r="AAY187" s="1"/>
      <c r="AAZ187" s="1"/>
      <c r="ABA187" s="1"/>
      <c r="ABB187" s="1"/>
      <c r="ABC187" s="1"/>
      <c r="ABD187" s="1"/>
      <c r="ABE187" s="1"/>
      <c r="ABF187" s="1"/>
      <c r="ABG187" s="1"/>
      <c r="ABH187" s="1"/>
      <c r="ABI187" s="1"/>
      <c r="ABJ187" s="1"/>
      <c r="ABK187" s="1"/>
      <c r="ABL187" s="1"/>
      <c r="ABM187" s="1"/>
      <c r="ABN187" s="1"/>
      <c r="ABO187" s="1"/>
      <c r="ABP187" s="1"/>
      <c r="ABQ187" s="1"/>
      <c r="ABR187" s="1"/>
      <c r="ABS187" s="1"/>
      <c r="ABT187" s="1"/>
      <c r="ABU187" s="1"/>
      <c r="ABV187" s="1"/>
      <c r="ABW187" s="1"/>
      <c r="ABX187" s="1"/>
      <c r="ABY187" s="1"/>
      <c r="ABZ187" s="1"/>
      <c r="ACA187" s="1"/>
      <c r="ACB187" s="1"/>
      <c r="ACC187" s="1"/>
      <c r="ACD187" s="1"/>
      <c r="ACE187" s="1"/>
      <c r="ACF187" s="1"/>
      <c r="ACG187" s="1"/>
      <c r="ACH187" s="1"/>
      <c r="ACI187" s="1"/>
      <c r="ACJ187" s="1"/>
      <c r="ACK187" s="1"/>
      <c r="ACL187" s="1"/>
      <c r="ACM187" s="1"/>
      <c r="ACN187" s="1"/>
      <c r="ACO187" s="1"/>
      <c r="ACP187" s="1"/>
      <c r="ACQ187" s="1"/>
      <c r="ACR187" s="1"/>
      <c r="ACS187" s="1"/>
      <c r="ACT187" s="1"/>
      <c r="ACU187" s="1"/>
      <c r="ACV187" s="1"/>
      <c r="ACW187" s="1"/>
      <c r="ACX187" s="1"/>
      <c r="ACY187" s="1"/>
      <c r="ACZ187" s="1"/>
      <c r="ADA187" s="1"/>
      <c r="ADB187" s="1"/>
      <c r="ADC187" s="1"/>
      <c r="ADD187" s="1"/>
      <c r="ADE187" s="1"/>
      <c r="ADF187" s="1"/>
      <c r="ADG187" s="1"/>
      <c r="ADH187" s="1"/>
      <c r="ADI187" s="1"/>
      <c r="ADJ187" s="1"/>
      <c r="ADK187" s="1"/>
      <c r="ADL187" s="1"/>
      <c r="ADM187" s="1"/>
      <c r="ADN187" s="1"/>
      <c r="ADO187" s="1"/>
      <c r="ADP187" s="1"/>
      <c r="ADQ187" s="1"/>
      <c r="ADR187" s="1"/>
      <c r="ADS187" s="1"/>
      <c r="ADT187" s="1"/>
      <c r="ADU187" s="1"/>
      <c r="ADV187" s="1"/>
      <c r="ADW187" s="1"/>
      <c r="ADX187" s="1"/>
      <c r="ADY187" s="1"/>
      <c r="ADZ187" s="1"/>
      <c r="AEA187" s="1"/>
      <c r="AEB187" s="1"/>
      <c r="AEC187" s="1"/>
      <c r="AED187" s="1"/>
      <c r="AEE187" s="1"/>
      <c r="AEF187" s="1"/>
      <c r="AEG187" s="1"/>
      <c r="AEH187" s="1"/>
      <c r="AEI187" s="1"/>
      <c r="AEJ187" s="1"/>
      <c r="AEK187" s="1"/>
      <c r="AEL187" s="1"/>
      <c r="AEM187" s="1"/>
      <c r="AEN187" s="1"/>
      <c r="AEO187" s="1"/>
      <c r="AEP187" s="1"/>
      <c r="AEQ187" s="1"/>
      <c r="AER187" s="1"/>
      <c r="AES187" s="1"/>
      <c r="AET187" s="1"/>
      <c r="AEU187" s="1"/>
      <c r="AEV187" s="1"/>
      <c r="AEW187" s="1"/>
      <c r="AEX187" s="1"/>
      <c r="AEY187" s="1"/>
      <c r="AEZ187" s="1"/>
      <c r="AFA187" s="1"/>
      <c r="AFB187" s="1"/>
      <c r="AFC187" s="1"/>
      <c r="AFD187" s="1"/>
      <c r="AFE187" s="1"/>
      <c r="AFF187" s="1"/>
      <c r="AFG187" s="1"/>
      <c r="AFH187" s="1"/>
      <c r="AFI187" s="1"/>
      <c r="AFJ187" s="1"/>
      <c r="AFK187" s="1"/>
      <c r="AFL187" s="1"/>
      <c r="AFM187" s="1"/>
      <c r="AFN187" s="1"/>
      <c r="AFO187" s="1"/>
      <c r="AFP187" s="1"/>
      <c r="AFQ187" s="1"/>
      <c r="AFR187" s="1"/>
      <c r="AFS187" s="1"/>
      <c r="AFT187" s="1"/>
      <c r="AFU187" s="1"/>
      <c r="AFV187" s="1"/>
      <c r="AFW187" s="1"/>
      <c r="AFX187" s="1"/>
      <c r="AFY187" s="1"/>
      <c r="AFZ187" s="1"/>
      <c r="AGA187" s="1"/>
      <c r="AGB187" s="1"/>
      <c r="AGC187" s="1"/>
      <c r="AGD187" s="1"/>
      <c r="AGE187" s="1"/>
      <c r="AGF187" s="1"/>
      <c r="AGG187" s="1"/>
      <c r="AGH187" s="1"/>
      <c r="AGI187" s="1"/>
      <c r="AGJ187" s="1"/>
      <c r="AGK187" s="1"/>
      <c r="AGL187" s="1"/>
      <c r="AGM187" s="1"/>
      <c r="AGN187" s="1"/>
      <c r="AGO187" s="1"/>
      <c r="AGP187" s="1"/>
      <c r="AGQ187" s="1"/>
      <c r="AGR187" s="1"/>
      <c r="AGS187" s="1"/>
      <c r="AGT187" s="1"/>
      <c r="AGU187" s="1"/>
      <c r="AGV187" s="1"/>
      <c r="AGW187" s="1"/>
      <c r="AGX187" s="1"/>
      <c r="AGY187" s="1"/>
      <c r="AGZ187" s="1"/>
      <c r="AHA187" s="1"/>
      <c r="AHB187" s="1"/>
      <c r="AHC187" s="1"/>
      <c r="AHD187" s="1"/>
      <c r="AHE187" s="1"/>
      <c r="AHF187" s="1"/>
      <c r="AHG187" s="1"/>
      <c r="AHH187" s="1"/>
      <c r="AHI187" s="1"/>
      <c r="AHJ187" s="1"/>
      <c r="AHK187" s="1"/>
      <c r="AHL187" s="1"/>
      <c r="AHM187" s="1"/>
      <c r="AHN187" s="1"/>
      <c r="AHO187" s="1"/>
      <c r="AHP187" s="1"/>
      <c r="AHQ187" s="1"/>
      <c r="AHR187" s="1"/>
      <c r="AHS187" s="1"/>
      <c r="AHT187" s="1"/>
      <c r="AHU187" s="1"/>
      <c r="AHV187" s="1"/>
      <c r="AHW187" s="1"/>
      <c r="AHX187" s="1"/>
      <c r="AHY187" s="1"/>
      <c r="AHZ187" s="1"/>
      <c r="AIA187" s="1"/>
      <c r="AIB187" s="1"/>
      <c r="AIC187" s="1"/>
      <c r="AID187" s="1"/>
      <c r="AIE187" s="1"/>
      <c r="AIF187" s="1"/>
      <c r="AIG187" s="1"/>
      <c r="AIH187" s="1"/>
      <c r="AII187" s="1"/>
      <c r="AIJ187" s="1"/>
      <c r="AIK187" s="1"/>
      <c r="AIL187" s="1"/>
      <c r="AIM187" s="1"/>
      <c r="AIN187" s="1"/>
      <c r="AIO187" s="1"/>
      <c r="AIP187" s="1"/>
      <c r="AIQ187" s="1"/>
      <c r="AIR187" s="1"/>
      <c r="AIS187" s="1"/>
      <c r="AIT187" s="1"/>
      <c r="AIU187" s="1"/>
      <c r="AIV187" s="1"/>
      <c r="AIW187" s="1"/>
      <c r="AIX187" s="1"/>
      <c r="AIY187" s="1"/>
      <c r="AIZ187" s="1"/>
      <c r="AJA187" s="1"/>
      <c r="AJB187" s="1"/>
      <c r="AJC187" s="1"/>
      <c r="AJD187" s="1"/>
      <c r="AJE187" s="1"/>
      <c r="AJF187" s="1"/>
      <c r="AJG187" s="1"/>
      <c r="AJH187" s="1"/>
      <c r="AJI187" s="1"/>
      <c r="AJJ187" s="1"/>
      <c r="AJK187" s="1"/>
      <c r="AJL187" s="1"/>
      <c r="AJM187" s="1"/>
      <c r="AJN187" s="1"/>
      <c r="AJO187" s="1"/>
      <c r="AJP187" s="1"/>
      <c r="AJQ187" s="1"/>
      <c r="AJR187" s="1"/>
      <c r="AJS187" s="1"/>
      <c r="AJT187" s="1"/>
      <c r="AJU187" s="1"/>
      <c r="AJV187" s="1"/>
      <c r="AJW187" s="1"/>
      <c r="AJX187" s="1"/>
      <c r="AJY187" s="1"/>
      <c r="AJZ187" s="1"/>
      <c r="AKA187" s="1"/>
      <c r="AKB187" s="1"/>
      <c r="AKC187" s="1"/>
      <c r="AKD187" s="1"/>
      <c r="AKE187" s="1"/>
      <c r="AKF187" s="1"/>
      <c r="AKG187" s="1"/>
      <c r="AKH187" s="1"/>
      <c r="AKI187" s="1"/>
      <c r="AKJ187" s="1"/>
      <c r="AKK187" s="1"/>
      <c r="AKL187" s="1"/>
      <c r="AKM187" s="1"/>
      <c r="AKN187" s="1"/>
      <c r="AKO187" s="1"/>
      <c r="AKP187" s="1"/>
      <c r="AKQ187" s="1"/>
      <c r="AKR187" s="1"/>
      <c r="AKS187" s="1"/>
      <c r="AKT187" s="1"/>
      <c r="AKU187" s="1"/>
      <c r="AKV187" s="1"/>
      <c r="AKW187" s="1"/>
      <c r="AKX187" s="1"/>
      <c r="AKY187" s="1"/>
      <c r="AKZ187" s="1"/>
      <c r="ALA187" s="1"/>
      <c r="ALB187" s="1"/>
      <c r="ALC187" s="1"/>
      <c r="ALD187" s="1"/>
      <c r="ALE187" s="1"/>
      <c r="ALF187" s="1"/>
      <c r="ALG187" s="1"/>
      <c r="ALH187" s="1"/>
      <c r="ALI187" s="1"/>
      <c r="ALJ187" s="1"/>
      <c r="ALK187" s="1"/>
      <c r="ALL187" s="1"/>
      <c r="ALM187" s="1"/>
      <c r="ALN187" s="1"/>
      <c r="ALO187" s="1"/>
      <c r="ALP187" s="1"/>
      <c r="ALQ187" s="1"/>
      <c r="ALR187" s="1"/>
      <c r="ALS187" s="1"/>
      <c r="ALT187" s="1"/>
      <c r="ALU187" s="1"/>
      <c r="ALV187" s="1"/>
      <c r="ALW187" s="1"/>
      <c r="ALX187" s="1"/>
      <c r="ALY187" s="1"/>
      <c r="ALZ187" s="1"/>
      <c r="AMA187" s="1"/>
      <c r="AMB187" s="1"/>
      <c r="AMC187" s="1"/>
      <c r="AMD187" s="1"/>
      <c r="AME187" s="1"/>
      <c r="AMF187" s="1"/>
      <c r="AMG187" s="1"/>
      <c r="AMH187" s="1"/>
      <c r="AMI187" s="1"/>
      <c r="AMJ187" s="1"/>
    </row>
    <row r="188" customFormat="false" ht="10.5" hidden="false" customHeight="true" outlineLevel="0" collapsed="false">
      <c r="A188" s="162" t="s">
        <v>320</v>
      </c>
      <c r="B188" s="162"/>
      <c r="C188" s="162"/>
      <c r="D188" s="162"/>
      <c r="E188" s="162"/>
      <c r="F188" s="162"/>
      <c r="G188" s="162"/>
      <c r="H188" s="162"/>
      <c r="I188" s="162"/>
      <c r="J188" s="162"/>
      <c r="K188" s="222" t="n">
        <v>30000</v>
      </c>
      <c r="L188" s="222"/>
      <c r="M188" s="222"/>
      <c r="N188" s="222"/>
      <c r="O188" s="19" t="n">
        <v>59</v>
      </c>
      <c r="P188" s="19"/>
      <c r="Q188" s="19"/>
      <c r="R188" s="222" t="n">
        <v>1970.43</v>
      </c>
      <c r="S188" s="222"/>
      <c r="T188" s="222"/>
      <c r="U188" s="222" t="n">
        <v>10751.81</v>
      </c>
      <c r="V188" s="222"/>
      <c r="W188" s="222"/>
      <c r="X188" s="222"/>
      <c r="Y188" s="166" t="s">
        <v>321</v>
      </c>
      <c r="Z188" s="166"/>
      <c r="AA188" s="166"/>
      <c r="AB188" s="166"/>
      <c r="AC188" s="166"/>
      <c r="AD188" s="166"/>
      <c r="AE188" s="166"/>
      <c r="AF188" s="166"/>
      <c r="AG188" s="166"/>
      <c r="AH188" s="166"/>
      <c r="AI188" s="166"/>
      <c r="AJ188" s="228" t="s">
        <v>64</v>
      </c>
      <c r="AK188" s="228"/>
      <c r="AL188" s="228"/>
      <c r="AM188" s="228"/>
      <c r="AN188" s="228"/>
      <c r="AO188" s="228"/>
      <c r="BE188" s="1"/>
      <c r="BF188" s="1"/>
      <c r="BG188" s="1"/>
      <c r="BH188" s="1"/>
      <c r="BI188" s="1"/>
      <c r="BJ188" s="1"/>
      <c r="BK188" s="1"/>
      <c r="BL188" s="1"/>
      <c r="BM188" s="1"/>
      <c r="BN188" s="1"/>
      <c r="BO188" s="1"/>
      <c r="BP188" s="1"/>
      <c r="BQ188" s="1"/>
      <c r="BR188" s="1"/>
      <c r="BS188" s="1"/>
      <c r="BT188" s="1"/>
      <c r="BU188" s="1"/>
      <c r="BV188" s="1"/>
      <c r="BW188" s="1"/>
      <c r="BX188" s="1"/>
      <c r="BY188" s="1"/>
      <c r="BZ188" s="1"/>
      <c r="CA188" s="1"/>
      <c r="CB188" s="1"/>
      <c r="CC188" s="1"/>
      <c r="CD188" s="1"/>
      <c r="CE188" s="1"/>
      <c r="CF188" s="1"/>
      <c r="CG188" s="1"/>
      <c r="CH188" s="1"/>
      <c r="CI188" s="1"/>
      <c r="CJ188" s="1"/>
      <c r="CK188" s="1"/>
      <c r="CL188" s="1"/>
      <c r="CM188" s="1"/>
      <c r="CN188" s="1"/>
      <c r="CO188" s="1"/>
      <c r="CP188" s="1"/>
      <c r="CQ188" s="1"/>
      <c r="CR188" s="1"/>
      <c r="CS188" s="1"/>
      <c r="CT188" s="1"/>
      <c r="CU188" s="1"/>
      <c r="CV188" s="1"/>
      <c r="CW188" s="1"/>
      <c r="CX188" s="1"/>
      <c r="CY188" s="1"/>
      <c r="CZ188" s="1"/>
      <c r="DA188" s="1"/>
      <c r="DB188" s="1"/>
      <c r="DC188" s="1"/>
      <c r="DD188" s="1"/>
      <c r="DE188" s="1"/>
      <c r="DF188" s="1"/>
      <c r="DG188" s="1"/>
      <c r="DH188" s="1"/>
      <c r="DI188" s="1"/>
      <c r="DJ188" s="1"/>
      <c r="DK188" s="1"/>
      <c r="DL188" s="1"/>
      <c r="DM188" s="1"/>
      <c r="DN188" s="1"/>
      <c r="DO188" s="1"/>
      <c r="DP188" s="1"/>
      <c r="DQ188" s="1"/>
      <c r="DR188" s="1"/>
      <c r="DS188" s="1"/>
      <c r="DT188" s="1"/>
      <c r="DU188" s="1"/>
      <c r="DV188" s="1"/>
      <c r="DW188" s="1"/>
      <c r="DX188" s="1"/>
      <c r="DY188" s="1"/>
      <c r="DZ188" s="1"/>
      <c r="EA188" s="1"/>
      <c r="EB188" s="1"/>
      <c r="EC188" s="1"/>
      <c r="ED188" s="1"/>
      <c r="EE188" s="1"/>
      <c r="EF188" s="1"/>
      <c r="EG188" s="1"/>
      <c r="EH188" s="1"/>
      <c r="EI188" s="1"/>
      <c r="EJ188" s="1"/>
      <c r="EK188" s="1"/>
      <c r="EL188" s="1"/>
      <c r="EM188" s="1"/>
      <c r="EN188" s="1"/>
      <c r="EO188" s="1"/>
      <c r="EP188" s="1"/>
      <c r="EQ188" s="1"/>
      <c r="ER188" s="1"/>
      <c r="ES188" s="1"/>
      <c r="ET188" s="1"/>
      <c r="EU188" s="1"/>
      <c r="EV188" s="1"/>
      <c r="EW188" s="1"/>
      <c r="EX188" s="1"/>
      <c r="EY188" s="1"/>
      <c r="EZ188" s="1"/>
      <c r="FA188" s="1"/>
      <c r="FB188" s="1"/>
      <c r="FC188" s="1"/>
      <c r="FD188" s="1"/>
      <c r="FE188" s="1"/>
      <c r="FF188" s="1"/>
      <c r="FG188" s="1"/>
      <c r="FH188" s="1"/>
      <c r="FI188" s="1"/>
      <c r="FJ188" s="1"/>
      <c r="FK188" s="1"/>
      <c r="FL188" s="1"/>
      <c r="FM188" s="1"/>
      <c r="FN188" s="1"/>
      <c r="FO188" s="1"/>
      <c r="FP188" s="1"/>
      <c r="FQ188" s="1"/>
      <c r="FR188" s="1"/>
      <c r="FS188" s="1"/>
      <c r="FT188" s="1"/>
      <c r="FU188" s="1"/>
      <c r="FV188" s="1"/>
      <c r="FW188" s="1"/>
      <c r="FX188" s="1"/>
      <c r="FY188" s="1"/>
      <c r="FZ188" s="1"/>
      <c r="GA188" s="1"/>
      <c r="GB188" s="1"/>
      <c r="GC188" s="1"/>
      <c r="GD188" s="1"/>
      <c r="GE188" s="1"/>
      <c r="GF188" s="1"/>
      <c r="GG188" s="1"/>
      <c r="GH188" s="1"/>
      <c r="GI188" s="1"/>
      <c r="GJ188" s="1"/>
      <c r="GK188" s="1"/>
      <c r="GL188" s="1"/>
      <c r="GM188" s="1"/>
      <c r="GN188" s="1"/>
      <c r="GO188" s="1"/>
      <c r="GP188" s="1"/>
      <c r="GQ188" s="1"/>
      <c r="GR188" s="1"/>
      <c r="GS188" s="1"/>
      <c r="GT188" s="1"/>
      <c r="GU188" s="1"/>
      <c r="GV188" s="1"/>
      <c r="GW188" s="1"/>
      <c r="GX188" s="1"/>
      <c r="GY188" s="1"/>
      <c r="GZ188" s="1"/>
      <c r="HA188" s="1"/>
      <c r="HB188" s="1"/>
      <c r="HC188" s="1"/>
      <c r="HD188" s="1"/>
      <c r="HE188" s="1"/>
      <c r="HF188" s="1"/>
      <c r="HG188" s="1"/>
      <c r="HH188" s="1"/>
      <c r="HI188" s="1"/>
      <c r="HJ188" s="1"/>
      <c r="HK188" s="1"/>
      <c r="HL188" s="1"/>
      <c r="HM188" s="1"/>
      <c r="HN188" s="1"/>
      <c r="HO188" s="1"/>
      <c r="HP188" s="1"/>
      <c r="HQ188" s="1"/>
      <c r="HR188" s="1"/>
      <c r="HS188" s="1"/>
      <c r="HT188" s="1"/>
      <c r="HU188" s="1"/>
      <c r="HV188" s="1"/>
      <c r="HW188" s="1"/>
      <c r="HX188" s="1"/>
      <c r="HY188" s="1"/>
      <c r="HZ188" s="1"/>
      <c r="IA188" s="1"/>
      <c r="IB188" s="1"/>
      <c r="IC188" s="1"/>
      <c r="ID188" s="1"/>
      <c r="IE188" s="1"/>
      <c r="IF188" s="1"/>
      <c r="IG188" s="1"/>
      <c r="IH188" s="1"/>
      <c r="II188" s="1"/>
      <c r="IJ188" s="1"/>
      <c r="IK188" s="1"/>
      <c r="IL188" s="1"/>
      <c r="IM188" s="1"/>
      <c r="IN188" s="1"/>
      <c r="IO188" s="1"/>
      <c r="IP188" s="1"/>
      <c r="IQ188" s="1"/>
      <c r="IR188" s="1"/>
      <c r="IS188" s="1"/>
      <c r="IT188" s="1"/>
      <c r="IU188" s="1"/>
      <c r="IV188" s="1"/>
      <c r="IW188" s="1"/>
      <c r="IX188" s="1"/>
      <c r="IY188" s="1"/>
      <c r="IZ188" s="1"/>
      <c r="JA188" s="1"/>
      <c r="JB188" s="1"/>
      <c r="JC188" s="1"/>
      <c r="JD188" s="1"/>
      <c r="JE188" s="1"/>
      <c r="JF188" s="1"/>
      <c r="JG188" s="1"/>
      <c r="JH188" s="1"/>
      <c r="JI188" s="1"/>
      <c r="JJ188" s="1"/>
      <c r="JK188" s="1"/>
      <c r="JL188" s="1"/>
      <c r="JM188" s="1"/>
      <c r="JN188" s="1"/>
      <c r="JO188" s="1"/>
      <c r="JP188" s="1"/>
      <c r="JQ188" s="1"/>
      <c r="JR188" s="1"/>
      <c r="JS188" s="1"/>
      <c r="JT188" s="1"/>
      <c r="JU188" s="1"/>
      <c r="JV188" s="1"/>
      <c r="JW188" s="1"/>
      <c r="JX188" s="1"/>
      <c r="JY188" s="1"/>
      <c r="JZ188" s="1"/>
      <c r="KA188" s="1"/>
      <c r="KB188" s="1"/>
      <c r="KC188" s="1"/>
      <c r="KD188" s="1"/>
      <c r="KE188" s="1"/>
      <c r="KF188" s="1"/>
      <c r="KG188" s="1"/>
      <c r="KH188" s="1"/>
      <c r="KI188" s="1"/>
      <c r="KJ188" s="1"/>
      <c r="KK188" s="1"/>
      <c r="KL188" s="1"/>
      <c r="KM188" s="1"/>
      <c r="KN188" s="1"/>
      <c r="KO188" s="1"/>
      <c r="KP188" s="1"/>
      <c r="KQ188" s="1"/>
      <c r="KR188" s="1"/>
      <c r="KS188" s="1"/>
      <c r="KT188" s="1"/>
      <c r="KU188" s="1"/>
      <c r="KV188" s="1"/>
      <c r="KW188" s="1"/>
      <c r="KX188" s="1"/>
      <c r="KY188" s="1"/>
      <c r="KZ188" s="1"/>
      <c r="LA188" s="1"/>
      <c r="LB188" s="1"/>
      <c r="LC188" s="1"/>
      <c r="LD188" s="1"/>
      <c r="LE188" s="1"/>
      <c r="LF188" s="1"/>
      <c r="LG188" s="1"/>
      <c r="LH188" s="1"/>
      <c r="LI188" s="1"/>
      <c r="LJ188" s="1"/>
      <c r="LK188" s="1"/>
      <c r="LL188" s="1"/>
      <c r="LM188" s="1"/>
      <c r="LN188" s="1"/>
      <c r="LO188" s="1"/>
      <c r="LP188" s="1"/>
      <c r="LQ188" s="1"/>
      <c r="LR188" s="1"/>
      <c r="LS188" s="1"/>
      <c r="LT188" s="1"/>
      <c r="LU188" s="1"/>
      <c r="LV188" s="1"/>
      <c r="LW188" s="1"/>
      <c r="LX188" s="1"/>
      <c r="LY188" s="1"/>
      <c r="LZ188" s="1"/>
      <c r="MA188" s="1"/>
      <c r="MB188" s="1"/>
      <c r="MC188" s="1"/>
      <c r="MD188" s="1"/>
      <c r="ME188" s="1"/>
      <c r="MF188" s="1"/>
      <c r="MG188" s="1"/>
      <c r="MH188" s="1"/>
      <c r="MI188" s="1"/>
      <c r="MJ188" s="1"/>
      <c r="MK188" s="1"/>
      <c r="ML188" s="1"/>
      <c r="MM188" s="1"/>
      <c r="MN188" s="1"/>
      <c r="MO188" s="1"/>
      <c r="MP188" s="1"/>
      <c r="MQ188" s="1"/>
      <c r="MR188" s="1"/>
      <c r="MS188" s="1"/>
      <c r="MT188" s="1"/>
      <c r="MU188" s="1"/>
      <c r="MV188" s="1"/>
      <c r="MW188" s="1"/>
      <c r="MX188" s="1"/>
      <c r="MY188" s="1"/>
      <c r="MZ188" s="1"/>
      <c r="NA188" s="1"/>
      <c r="NB188" s="1"/>
      <c r="NC188" s="1"/>
      <c r="ND188" s="1"/>
      <c r="NE188" s="1"/>
      <c r="NF188" s="1"/>
      <c r="NG188" s="1"/>
      <c r="NH188" s="1"/>
      <c r="NI188" s="1"/>
      <c r="NJ188" s="1"/>
      <c r="NK188" s="1"/>
      <c r="NL188" s="1"/>
      <c r="NM188" s="1"/>
      <c r="NN188" s="1"/>
      <c r="NO188" s="1"/>
      <c r="NP188" s="1"/>
      <c r="NQ188" s="1"/>
      <c r="NR188" s="1"/>
      <c r="NS188" s="1"/>
      <c r="NT188" s="1"/>
      <c r="NU188" s="1"/>
      <c r="NV188" s="1"/>
      <c r="NW188" s="1"/>
      <c r="NX188" s="1"/>
      <c r="NY188" s="1"/>
      <c r="NZ188" s="1"/>
      <c r="OA188" s="1"/>
      <c r="OB188" s="1"/>
      <c r="OC188" s="1"/>
      <c r="OD188" s="1"/>
      <c r="OE188" s="1"/>
      <c r="OF188" s="1"/>
      <c r="OG188" s="1"/>
      <c r="OH188" s="1"/>
      <c r="OI188" s="1"/>
      <c r="OJ188" s="1"/>
      <c r="OK188" s="1"/>
      <c r="OL188" s="1"/>
      <c r="OM188" s="1"/>
      <c r="ON188" s="1"/>
      <c r="OO188" s="1"/>
      <c r="OP188" s="1"/>
      <c r="OQ188" s="1"/>
      <c r="OR188" s="1"/>
      <c r="OS188" s="1"/>
      <c r="OT188" s="1"/>
      <c r="OU188" s="1"/>
      <c r="OV188" s="1"/>
      <c r="OW188" s="1"/>
      <c r="OX188" s="1"/>
      <c r="OY188" s="1"/>
      <c r="OZ188" s="1"/>
      <c r="PA188" s="1"/>
      <c r="PB188" s="1"/>
      <c r="PC188" s="1"/>
      <c r="PD188" s="1"/>
      <c r="PE188" s="1"/>
      <c r="PF188" s="1"/>
      <c r="PG188" s="1"/>
      <c r="PH188" s="1"/>
      <c r="PI188" s="1"/>
      <c r="PJ188" s="1"/>
      <c r="PK188" s="1"/>
      <c r="PL188" s="1"/>
      <c r="PM188" s="1"/>
      <c r="PN188" s="1"/>
      <c r="PO188" s="1"/>
      <c r="PP188" s="1"/>
      <c r="PQ188" s="1"/>
      <c r="PR188" s="1"/>
      <c r="PS188" s="1"/>
      <c r="PT188" s="1"/>
      <c r="PU188" s="1"/>
      <c r="PV188" s="1"/>
      <c r="PW188" s="1"/>
      <c r="PX188" s="1"/>
      <c r="PY188" s="1"/>
      <c r="PZ188" s="1"/>
      <c r="QA188" s="1"/>
      <c r="QB188" s="1"/>
      <c r="QC188" s="1"/>
      <c r="QD188" s="1"/>
      <c r="QE188" s="1"/>
      <c r="QF188" s="1"/>
      <c r="QG188" s="1"/>
      <c r="QH188" s="1"/>
      <c r="QI188" s="1"/>
      <c r="QJ188" s="1"/>
      <c r="QK188" s="1"/>
      <c r="QL188" s="1"/>
      <c r="QM188" s="1"/>
      <c r="QN188" s="1"/>
      <c r="QO188" s="1"/>
      <c r="QP188" s="1"/>
      <c r="QQ188" s="1"/>
      <c r="QR188" s="1"/>
      <c r="QS188" s="1"/>
      <c r="QT188" s="1"/>
      <c r="QU188" s="1"/>
      <c r="QV188" s="1"/>
      <c r="QW188" s="1"/>
      <c r="QX188" s="1"/>
      <c r="QY188" s="1"/>
      <c r="QZ188" s="1"/>
      <c r="RA188" s="1"/>
      <c r="RB188" s="1"/>
      <c r="RC188" s="1"/>
      <c r="RD188" s="1"/>
      <c r="RE188" s="1"/>
      <c r="RF188" s="1"/>
      <c r="RG188" s="1"/>
      <c r="RH188" s="1"/>
      <c r="RI188" s="1"/>
      <c r="RJ188" s="1"/>
      <c r="RK188" s="1"/>
      <c r="RL188" s="1"/>
      <c r="RM188" s="1"/>
      <c r="RN188" s="1"/>
      <c r="RO188" s="1"/>
      <c r="RP188" s="1"/>
      <c r="RQ188" s="1"/>
      <c r="RR188" s="1"/>
      <c r="RS188" s="1"/>
      <c r="RT188" s="1"/>
      <c r="RU188" s="1"/>
      <c r="RV188" s="1"/>
      <c r="RW188" s="1"/>
      <c r="RX188" s="1"/>
      <c r="RY188" s="1"/>
      <c r="RZ188" s="1"/>
      <c r="SA188" s="1"/>
      <c r="SB188" s="1"/>
      <c r="SC188" s="1"/>
      <c r="SD188" s="1"/>
      <c r="SE188" s="1"/>
      <c r="SF188" s="1"/>
      <c r="SG188" s="1"/>
      <c r="SH188" s="1"/>
      <c r="SI188" s="1"/>
      <c r="SJ188" s="1"/>
      <c r="SK188" s="1"/>
      <c r="SL188" s="1"/>
      <c r="SM188" s="1"/>
      <c r="SN188" s="1"/>
      <c r="SO188" s="1"/>
      <c r="SP188" s="1"/>
      <c r="SQ188" s="1"/>
      <c r="SR188" s="1"/>
      <c r="SS188" s="1"/>
      <c r="ST188" s="1"/>
      <c r="SU188" s="1"/>
      <c r="SV188" s="1"/>
      <c r="SW188" s="1"/>
      <c r="SX188" s="1"/>
      <c r="SY188" s="1"/>
      <c r="SZ188" s="1"/>
      <c r="TA188" s="1"/>
      <c r="TB188" s="1"/>
      <c r="TC188" s="1"/>
      <c r="TD188" s="1"/>
      <c r="TE188" s="1"/>
      <c r="TF188" s="1"/>
      <c r="TG188" s="1"/>
      <c r="TH188" s="1"/>
      <c r="TI188" s="1"/>
      <c r="TJ188" s="1"/>
      <c r="TK188" s="1"/>
      <c r="TL188" s="1"/>
      <c r="TM188" s="1"/>
      <c r="TN188" s="1"/>
      <c r="TO188" s="1"/>
      <c r="TP188" s="1"/>
      <c r="TQ188" s="1"/>
      <c r="TR188" s="1"/>
      <c r="TS188" s="1"/>
      <c r="TT188" s="1"/>
      <c r="TU188" s="1"/>
      <c r="TV188" s="1"/>
      <c r="TW188" s="1"/>
      <c r="TX188" s="1"/>
      <c r="TY188" s="1"/>
      <c r="TZ188" s="1"/>
      <c r="UA188" s="1"/>
      <c r="UB188" s="1"/>
      <c r="UC188" s="1"/>
      <c r="UD188" s="1"/>
      <c r="UE188" s="1"/>
      <c r="UF188" s="1"/>
      <c r="UG188" s="1"/>
      <c r="UH188" s="1"/>
      <c r="UI188" s="1"/>
      <c r="UJ188" s="1"/>
      <c r="UK188" s="1"/>
      <c r="UL188" s="1"/>
      <c r="UM188" s="1"/>
      <c r="UN188" s="1"/>
      <c r="UO188" s="1"/>
      <c r="UP188" s="1"/>
      <c r="UQ188" s="1"/>
      <c r="UR188" s="1"/>
      <c r="US188" s="1"/>
      <c r="UT188" s="1"/>
      <c r="UU188" s="1"/>
      <c r="UV188" s="1"/>
      <c r="UW188" s="1"/>
      <c r="UX188" s="1"/>
      <c r="UY188" s="1"/>
      <c r="UZ188" s="1"/>
      <c r="VA188" s="1"/>
      <c r="VB188" s="1"/>
      <c r="VC188" s="1"/>
      <c r="VD188" s="1"/>
      <c r="VE188" s="1"/>
      <c r="VF188" s="1"/>
      <c r="VG188" s="1"/>
      <c r="VH188" s="1"/>
      <c r="VI188" s="1"/>
      <c r="VJ188" s="1"/>
      <c r="VK188" s="1"/>
      <c r="VL188" s="1"/>
      <c r="VM188" s="1"/>
      <c r="VN188" s="1"/>
      <c r="VO188" s="1"/>
      <c r="VP188" s="1"/>
      <c r="VQ188" s="1"/>
      <c r="VR188" s="1"/>
      <c r="VS188" s="1"/>
      <c r="VT188" s="1"/>
      <c r="VU188" s="1"/>
      <c r="VV188" s="1"/>
      <c r="VW188" s="1"/>
      <c r="VX188" s="1"/>
      <c r="VY188" s="1"/>
      <c r="VZ188" s="1"/>
      <c r="WA188" s="1"/>
      <c r="WB188" s="1"/>
      <c r="WC188" s="1"/>
      <c r="WD188" s="1"/>
      <c r="WE188" s="1"/>
      <c r="WF188" s="1"/>
      <c r="WG188" s="1"/>
      <c r="WH188" s="1"/>
      <c r="WI188" s="1"/>
      <c r="WJ188" s="1"/>
      <c r="WK188" s="1"/>
      <c r="WL188" s="1"/>
      <c r="WM188" s="1"/>
      <c r="WN188" s="1"/>
      <c r="WO188" s="1"/>
      <c r="WP188" s="1"/>
      <c r="WQ188" s="1"/>
      <c r="WR188" s="1"/>
      <c r="WS188" s="1"/>
      <c r="WT188" s="1"/>
      <c r="WU188" s="1"/>
      <c r="WV188" s="1"/>
      <c r="WW188" s="1"/>
      <c r="WX188" s="1"/>
      <c r="WY188" s="1"/>
      <c r="WZ188" s="1"/>
      <c r="XA188" s="1"/>
      <c r="XB188" s="1"/>
      <c r="XC188" s="1"/>
      <c r="XD188" s="1"/>
      <c r="XE188" s="1"/>
      <c r="XF188" s="1"/>
      <c r="XG188" s="1"/>
      <c r="XH188" s="1"/>
      <c r="XI188" s="1"/>
      <c r="XJ188" s="1"/>
      <c r="XK188" s="1"/>
      <c r="XL188" s="1"/>
      <c r="XM188" s="1"/>
      <c r="XN188" s="1"/>
      <c r="XO188" s="1"/>
      <c r="XP188" s="1"/>
      <c r="XQ188" s="1"/>
      <c r="XR188" s="1"/>
      <c r="XS188" s="1"/>
      <c r="XT188" s="1"/>
      <c r="XU188" s="1"/>
      <c r="XV188" s="1"/>
      <c r="XW188" s="1"/>
      <c r="XX188" s="1"/>
      <c r="XY188" s="1"/>
      <c r="XZ188" s="1"/>
      <c r="YA188" s="1"/>
      <c r="YB188" s="1"/>
      <c r="YC188" s="1"/>
      <c r="YD188" s="1"/>
      <c r="YE188" s="1"/>
      <c r="YF188" s="1"/>
      <c r="YG188" s="1"/>
      <c r="YH188" s="1"/>
      <c r="YI188" s="1"/>
      <c r="YJ188" s="1"/>
      <c r="YK188" s="1"/>
      <c r="YL188" s="1"/>
      <c r="YM188" s="1"/>
      <c r="YN188" s="1"/>
      <c r="YO188" s="1"/>
      <c r="YP188" s="1"/>
      <c r="YQ188" s="1"/>
      <c r="YR188" s="1"/>
      <c r="YS188" s="1"/>
      <c r="YT188" s="1"/>
      <c r="YU188" s="1"/>
      <c r="YV188" s="1"/>
      <c r="YW188" s="1"/>
      <c r="YX188" s="1"/>
      <c r="YY188" s="1"/>
      <c r="YZ188" s="1"/>
      <c r="ZA188" s="1"/>
      <c r="ZB188" s="1"/>
      <c r="ZC188" s="1"/>
      <c r="ZD188" s="1"/>
      <c r="ZE188" s="1"/>
      <c r="ZF188" s="1"/>
      <c r="ZG188" s="1"/>
      <c r="ZH188" s="1"/>
      <c r="ZI188" s="1"/>
      <c r="ZJ188" s="1"/>
      <c r="ZK188" s="1"/>
      <c r="ZL188" s="1"/>
      <c r="ZM188" s="1"/>
      <c r="ZN188" s="1"/>
      <c r="ZO188" s="1"/>
      <c r="ZP188" s="1"/>
      <c r="ZQ188" s="1"/>
      <c r="ZR188" s="1"/>
      <c r="ZS188" s="1"/>
      <c r="ZT188" s="1"/>
      <c r="ZU188" s="1"/>
      <c r="ZV188" s="1"/>
      <c r="ZW188" s="1"/>
      <c r="ZX188" s="1"/>
      <c r="ZY188" s="1"/>
      <c r="ZZ188" s="1"/>
      <c r="AAA188" s="1"/>
      <c r="AAB188" s="1"/>
      <c r="AAC188" s="1"/>
      <c r="AAD188" s="1"/>
      <c r="AAE188" s="1"/>
      <c r="AAF188" s="1"/>
      <c r="AAG188" s="1"/>
      <c r="AAH188" s="1"/>
      <c r="AAI188" s="1"/>
      <c r="AAJ188" s="1"/>
      <c r="AAK188" s="1"/>
      <c r="AAL188" s="1"/>
      <c r="AAM188" s="1"/>
      <c r="AAN188" s="1"/>
      <c r="AAO188" s="1"/>
      <c r="AAP188" s="1"/>
      <c r="AAQ188" s="1"/>
      <c r="AAR188" s="1"/>
      <c r="AAS188" s="1"/>
      <c r="AAT188" s="1"/>
      <c r="AAU188" s="1"/>
      <c r="AAV188" s="1"/>
      <c r="AAW188" s="1"/>
      <c r="AAX188" s="1"/>
      <c r="AAY188" s="1"/>
      <c r="AAZ188" s="1"/>
      <c r="ABA188" s="1"/>
      <c r="ABB188" s="1"/>
      <c r="ABC188" s="1"/>
      <c r="ABD188" s="1"/>
      <c r="ABE188" s="1"/>
      <c r="ABF188" s="1"/>
      <c r="ABG188" s="1"/>
      <c r="ABH188" s="1"/>
      <c r="ABI188" s="1"/>
      <c r="ABJ188" s="1"/>
      <c r="ABK188" s="1"/>
      <c r="ABL188" s="1"/>
      <c r="ABM188" s="1"/>
      <c r="ABN188" s="1"/>
      <c r="ABO188" s="1"/>
      <c r="ABP188" s="1"/>
      <c r="ABQ188" s="1"/>
      <c r="ABR188" s="1"/>
      <c r="ABS188" s="1"/>
      <c r="ABT188" s="1"/>
      <c r="ABU188" s="1"/>
      <c r="ABV188" s="1"/>
      <c r="ABW188" s="1"/>
      <c r="ABX188" s="1"/>
      <c r="ABY188" s="1"/>
      <c r="ABZ188" s="1"/>
      <c r="ACA188" s="1"/>
      <c r="ACB188" s="1"/>
      <c r="ACC188" s="1"/>
      <c r="ACD188" s="1"/>
      <c r="ACE188" s="1"/>
      <c r="ACF188" s="1"/>
      <c r="ACG188" s="1"/>
      <c r="ACH188" s="1"/>
      <c r="ACI188" s="1"/>
      <c r="ACJ188" s="1"/>
      <c r="ACK188" s="1"/>
      <c r="ACL188" s="1"/>
      <c r="ACM188" s="1"/>
      <c r="ACN188" s="1"/>
      <c r="ACO188" s="1"/>
      <c r="ACP188" s="1"/>
      <c r="ACQ188" s="1"/>
      <c r="ACR188" s="1"/>
      <c r="ACS188" s="1"/>
      <c r="ACT188" s="1"/>
      <c r="ACU188" s="1"/>
      <c r="ACV188" s="1"/>
      <c r="ACW188" s="1"/>
      <c r="ACX188" s="1"/>
      <c r="ACY188" s="1"/>
      <c r="ACZ188" s="1"/>
      <c r="ADA188" s="1"/>
      <c r="ADB188" s="1"/>
      <c r="ADC188" s="1"/>
      <c r="ADD188" s="1"/>
      <c r="ADE188" s="1"/>
      <c r="ADF188" s="1"/>
      <c r="ADG188" s="1"/>
      <c r="ADH188" s="1"/>
      <c r="ADI188" s="1"/>
      <c r="ADJ188" s="1"/>
      <c r="ADK188" s="1"/>
      <c r="ADL188" s="1"/>
      <c r="ADM188" s="1"/>
      <c r="ADN188" s="1"/>
      <c r="ADO188" s="1"/>
      <c r="ADP188" s="1"/>
      <c r="ADQ188" s="1"/>
      <c r="ADR188" s="1"/>
      <c r="ADS188" s="1"/>
      <c r="ADT188" s="1"/>
      <c r="ADU188" s="1"/>
      <c r="ADV188" s="1"/>
      <c r="ADW188" s="1"/>
      <c r="ADX188" s="1"/>
      <c r="ADY188" s="1"/>
      <c r="ADZ188" s="1"/>
      <c r="AEA188" s="1"/>
      <c r="AEB188" s="1"/>
      <c r="AEC188" s="1"/>
      <c r="AED188" s="1"/>
      <c r="AEE188" s="1"/>
      <c r="AEF188" s="1"/>
      <c r="AEG188" s="1"/>
      <c r="AEH188" s="1"/>
      <c r="AEI188" s="1"/>
      <c r="AEJ188" s="1"/>
      <c r="AEK188" s="1"/>
      <c r="AEL188" s="1"/>
      <c r="AEM188" s="1"/>
      <c r="AEN188" s="1"/>
      <c r="AEO188" s="1"/>
      <c r="AEP188" s="1"/>
      <c r="AEQ188" s="1"/>
      <c r="AER188" s="1"/>
      <c r="AES188" s="1"/>
      <c r="AET188" s="1"/>
      <c r="AEU188" s="1"/>
      <c r="AEV188" s="1"/>
      <c r="AEW188" s="1"/>
      <c r="AEX188" s="1"/>
      <c r="AEY188" s="1"/>
      <c r="AEZ188" s="1"/>
      <c r="AFA188" s="1"/>
      <c r="AFB188" s="1"/>
      <c r="AFC188" s="1"/>
      <c r="AFD188" s="1"/>
      <c r="AFE188" s="1"/>
      <c r="AFF188" s="1"/>
      <c r="AFG188" s="1"/>
      <c r="AFH188" s="1"/>
      <c r="AFI188" s="1"/>
      <c r="AFJ188" s="1"/>
      <c r="AFK188" s="1"/>
      <c r="AFL188" s="1"/>
      <c r="AFM188" s="1"/>
      <c r="AFN188" s="1"/>
      <c r="AFO188" s="1"/>
      <c r="AFP188" s="1"/>
      <c r="AFQ188" s="1"/>
      <c r="AFR188" s="1"/>
      <c r="AFS188" s="1"/>
      <c r="AFT188" s="1"/>
      <c r="AFU188" s="1"/>
      <c r="AFV188" s="1"/>
      <c r="AFW188" s="1"/>
      <c r="AFX188" s="1"/>
      <c r="AFY188" s="1"/>
      <c r="AFZ188" s="1"/>
      <c r="AGA188" s="1"/>
      <c r="AGB188" s="1"/>
      <c r="AGC188" s="1"/>
      <c r="AGD188" s="1"/>
      <c r="AGE188" s="1"/>
      <c r="AGF188" s="1"/>
      <c r="AGG188" s="1"/>
      <c r="AGH188" s="1"/>
      <c r="AGI188" s="1"/>
      <c r="AGJ188" s="1"/>
      <c r="AGK188" s="1"/>
      <c r="AGL188" s="1"/>
      <c r="AGM188" s="1"/>
      <c r="AGN188" s="1"/>
      <c r="AGO188" s="1"/>
      <c r="AGP188" s="1"/>
      <c r="AGQ188" s="1"/>
      <c r="AGR188" s="1"/>
      <c r="AGS188" s="1"/>
      <c r="AGT188" s="1"/>
      <c r="AGU188" s="1"/>
      <c r="AGV188" s="1"/>
      <c r="AGW188" s="1"/>
      <c r="AGX188" s="1"/>
      <c r="AGY188" s="1"/>
      <c r="AGZ188" s="1"/>
      <c r="AHA188" s="1"/>
      <c r="AHB188" s="1"/>
      <c r="AHC188" s="1"/>
      <c r="AHD188" s="1"/>
      <c r="AHE188" s="1"/>
      <c r="AHF188" s="1"/>
      <c r="AHG188" s="1"/>
      <c r="AHH188" s="1"/>
      <c r="AHI188" s="1"/>
      <c r="AHJ188" s="1"/>
      <c r="AHK188" s="1"/>
      <c r="AHL188" s="1"/>
      <c r="AHM188" s="1"/>
      <c r="AHN188" s="1"/>
      <c r="AHO188" s="1"/>
      <c r="AHP188" s="1"/>
      <c r="AHQ188" s="1"/>
      <c r="AHR188" s="1"/>
      <c r="AHS188" s="1"/>
      <c r="AHT188" s="1"/>
      <c r="AHU188" s="1"/>
      <c r="AHV188" s="1"/>
      <c r="AHW188" s="1"/>
      <c r="AHX188" s="1"/>
      <c r="AHY188" s="1"/>
      <c r="AHZ188" s="1"/>
      <c r="AIA188" s="1"/>
      <c r="AIB188" s="1"/>
      <c r="AIC188" s="1"/>
      <c r="AID188" s="1"/>
      <c r="AIE188" s="1"/>
      <c r="AIF188" s="1"/>
      <c r="AIG188" s="1"/>
      <c r="AIH188" s="1"/>
      <c r="AII188" s="1"/>
      <c r="AIJ188" s="1"/>
      <c r="AIK188" s="1"/>
      <c r="AIL188" s="1"/>
      <c r="AIM188" s="1"/>
      <c r="AIN188" s="1"/>
      <c r="AIO188" s="1"/>
      <c r="AIP188" s="1"/>
      <c r="AIQ188" s="1"/>
      <c r="AIR188" s="1"/>
      <c r="AIS188" s="1"/>
      <c r="AIT188" s="1"/>
      <c r="AIU188" s="1"/>
      <c r="AIV188" s="1"/>
      <c r="AIW188" s="1"/>
      <c r="AIX188" s="1"/>
      <c r="AIY188" s="1"/>
      <c r="AIZ188" s="1"/>
      <c r="AJA188" s="1"/>
      <c r="AJB188" s="1"/>
      <c r="AJC188" s="1"/>
      <c r="AJD188" s="1"/>
      <c r="AJE188" s="1"/>
      <c r="AJF188" s="1"/>
      <c r="AJG188" s="1"/>
      <c r="AJH188" s="1"/>
      <c r="AJI188" s="1"/>
      <c r="AJJ188" s="1"/>
      <c r="AJK188" s="1"/>
      <c r="AJL188" s="1"/>
      <c r="AJM188" s="1"/>
      <c r="AJN188" s="1"/>
      <c r="AJO188" s="1"/>
      <c r="AJP188" s="1"/>
      <c r="AJQ188" s="1"/>
      <c r="AJR188" s="1"/>
      <c r="AJS188" s="1"/>
      <c r="AJT188" s="1"/>
      <c r="AJU188" s="1"/>
      <c r="AJV188" s="1"/>
      <c r="AJW188" s="1"/>
      <c r="AJX188" s="1"/>
      <c r="AJY188" s="1"/>
      <c r="AJZ188" s="1"/>
      <c r="AKA188" s="1"/>
      <c r="AKB188" s="1"/>
      <c r="AKC188" s="1"/>
      <c r="AKD188" s="1"/>
      <c r="AKE188" s="1"/>
      <c r="AKF188" s="1"/>
      <c r="AKG188" s="1"/>
      <c r="AKH188" s="1"/>
      <c r="AKI188" s="1"/>
      <c r="AKJ188" s="1"/>
      <c r="AKK188" s="1"/>
      <c r="AKL188" s="1"/>
      <c r="AKM188" s="1"/>
      <c r="AKN188" s="1"/>
      <c r="AKO188" s="1"/>
      <c r="AKP188" s="1"/>
      <c r="AKQ188" s="1"/>
      <c r="AKR188" s="1"/>
      <c r="AKS188" s="1"/>
      <c r="AKT188" s="1"/>
      <c r="AKU188" s="1"/>
      <c r="AKV188" s="1"/>
      <c r="AKW188" s="1"/>
      <c r="AKX188" s="1"/>
      <c r="AKY188" s="1"/>
      <c r="AKZ188" s="1"/>
      <c r="ALA188" s="1"/>
      <c r="ALB188" s="1"/>
      <c r="ALC188" s="1"/>
      <c r="ALD188" s="1"/>
      <c r="ALE188" s="1"/>
      <c r="ALF188" s="1"/>
      <c r="ALG188" s="1"/>
      <c r="ALH188" s="1"/>
      <c r="ALI188" s="1"/>
      <c r="ALJ188" s="1"/>
      <c r="ALK188" s="1"/>
      <c r="ALL188" s="1"/>
      <c r="ALM188" s="1"/>
      <c r="ALN188" s="1"/>
      <c r="ALO188" s="1"/>
      <c r="ALP188" s="1"/>
      <c r="ALQ188" s="1"/>
      <c r="ALR188" s="1"/>
      <c r="ALS188" s="1"/>
      <c r="ALT188" s="1"/>
      <c r="ALU188" s="1"/>
      <c r="ALV188" s="1"/>
      <c r="ALW188" s="1"/>
      <c r="ALX188" s="1"/>
      <c r="ALY188" s="1"/>
      <c r="ALZ188" s="1"/>
      <c r="AMA188" s="1"/>
      <c r="AMB188" s="1"/>
      <c r="AMC188" s="1"/>
      <c r="AMD188" s="1"/>
      <c r="AME188" s="1"/>
      <c r="AMF188" s="1"/>
      <c r="AMG188" s="1"/>
      <c r="AMH188" s="1"/>
      <c r="AMI188" s="1"/>
      <c r="AMJ188" s="1"/>
    </row>
    <row r="189" customFormat="false" ht="10.5" hidden="false" customHeight="true" outlineLevel="0" collapsed="false">
      <c r="A189" s="162" t="s">
        <v>322</v>
      </c>
      <c r="B189" s="162"/>
      <c r="C189" s="162"/>
      <c r="D189" s="162"/>
      <c r="E189" s="162"/>
      <c r="F189" s="162"/>
      <c r="G189" s="162"/>
      <c r="H189" s="162"/>
      <c r="I189" s="162"/>
      <c r="J189" s="162"/>
      <c r="K189" s="222" t="n">
        <v>31893.04</v>
      </c>
      <c r="L189" s="222"/>
      <c r="M189" s="222"/>
      <c r="N189" s="222"/>
      <c r="O189" s="19" t="n">
        <v>72</v>
      </c>
      <c r="P189" s="19"/>
      <c r="Q189" s="19"/>
      <c r="R189" s="222" t="n">
        <v>687.69</v>
      </c>
      <c r="S189" s="222"/>
      <c r="T189" s="222"/>
      <c r="U189" s="222" t="n">
        <v>30385.4</v>
      </c>
      <c r="V189" s="222"/>
      <c r="W189" s="222"/>
      <c r="X189" s="222"/>
      <c r="Y189" s="166" t="s">
        <v>318</v>
      </c>
      <c r="Z189" s="166"/>
      <c r="AA189" s="166"/>
      <c r="AB189" s="166"/>
      <c r="AC189" s="166"/>
      <c r="AD189" s="166"/>
      <c r="AE189" s="166"/>
      <c r="AF189" s="166"/>
      <c r="AG189" s="166"/>
      <c r="AH189" s="166"/>
      <c r="AI189" s="166"/>
      <c r="AJ189" s="57" t="s">
        <v>64</v>
      </c>
      <c r="AK189" s="57"/>
      <c r="AL189" s="57"/>
      <c r="AM189" s="57"/>
      <c r="AN189" s="57"/>
      <c r="AO189" s="57"/>
      <c r="BE189" s="1"/>
      <c r="BF189" s="1"/>
      <c r="BG189" s="1"/>
      <c r="BH189" s="1"/>
      <c r="BI189" s="1"/>
      <c r="BJ189" s="1"/>
      <c r="BK189" s="1"/>
      <c r="BL189" s="1"/>
      <c r="BM189" s="1"/>
      <c r="BN189" s="1"/>
      <c r="BO189" s="1"/>
      <c r="BP189" s="1"/>
      <c r="BQ189" s="1"/>
      <c r="BR189" s="1"/>
      <c r="BS189" s="1"/>
      <c r="BT189" s="1"/>
      <c r="BU189" s="1"/>
      <c r="BV189" s="1"/>
      <c r="BW189" s="1"/>
      <c r="BX189" s="1"/>
      <c r="BY189" s="1"/>
      <c r="BZ189" s="1"/>
      <c r="CA189" s="1"/>
      <c r="CB189" s="1"/>
      <c r="CC189" s="1"/>
      <c r="CD189" s="1"/>
      <c r="CE189" s="1"/>
      <c r="CF189" s="1"/>
      <c r="CG189" s="1"/>
      <c r="CH189" s="1"/>
      <c r="CI189" s="1"/>
      <c r="CJ189" s="1"/>
      <c r="CK189" s="1"/>
      <c r="CL189" s="1"/>
      <c r="CM189" s="1"/>
      <c r="CN189" s="1"/>
      <c r="CO189" s="1"/>
      <c r="CP189" s="1"/>
      <c r="CQ189" s="1"/>
      <c r="CR189" s="1"/>
      <c r="CS189" s="1"/>
      <c r="CT189" s="1"/>
      <c r="CU189" s="1"/>
      <c r="CV189" s="1"/>
      <c r="CW189" s="1"/>
      <c r="CX189" s="1"/>
      <c r="CY189" s="1"/>
      <c r="CZ189" s="1"/>
      <c r="DA189" s="1"/>
      <c r="DB189" s="1"/>
      <c r="DC189" s="1"/>
      <c r="DD189" s="1"/>
      <c r="DE189" s="1"/>
      <c r="DF189" s="1"/>
      <c r="DG189" s="1"/>
      <c r="DH189" s="1"/>
      <c r="DI189" s="1"/>
      <c r="DJ189" s="1"/>
      <c r="DK189" s="1"/>
      <c r="DL189" s="1"/>
      <c r="DM189" s="1"/>
      <c r="DN189" s="1"/>
      <c r="DO189" s="1"/>
      <c r="DP189" s="1"/>
      <c r="DQ189" s="1"/>
      <c r="DR189" s="1"/>
      <c r="DS189" s="1"/>
      <c r="DT189" s="1"/>
      <c r="DU189" s="1"/>
      <c r="DV189" s="1"/>
      <c r="DW189" s="1"/>
      <c r="DX189" s="1"/>
      <c r="DY189" s="1"/>
      <c r="DZ189" s="1"/>
      <c r="EA189" s="1"/>
      <c r="EB189" s="1"/>
      <c r="EC189" s="1"/>
      <c r="ED189" s="1"/>
      <c r="EE189" s="1"/>
      <c r="EF189" s="1"/>
      <c r="EG189" s="1"/>
      <c r="EH189" s="1"/>
      <c r="EI189" s="1"/>
      <c r="EJ189" s="1"/>
      <c r="EK189" s="1"/>
      <c r="EL189" s="1"/>
      <c r="EM189" s="1"/>
      <c r="EN189" s="1"/>
      <c r="EO189" s="1"/>
      <c r="EP189" s="1"/>
      <c r="EQ189" s="1"/>
      <c r="ER189" s="1"/>
      <c r="ES189" s="1"/>
      <c r="ET189" s="1"/>
      <c r="EU189" s="1"/>
      <c r="EV189" s="1"/>
      <c r="EW189" s="1"/>
      <c r="EX189" s="1"/>
      <c r="EY189" s="1"/>
      <c r="EZ189" s="1"/>
      <c r="FA189" s="1"/>
      <c r="FB189" s="1"/>
      <c r="FC189" s="1"/>
      <c r="FD189" s="1"/>
      <c r="FE189" s="1"/>
      <c r="FF189" s="1"/>
      <c r="FG189" s="1"/>
      <c r="FH189" s="1"/>
      <c r="FI189" s="1"/>
      <c r="FJ189" s="1"/>
      <c r="FK189" s="1"/>
      <c r="FL189" s="1"/>
      <c r="FM189" s="1"/>
      <c r="FN189" s="1"/>
      <c r="FO189" s="1"/>
      <c r="FP189" s="1"/>
      <c r="FQ189" s="1"/>
      <c r="FR189" s="1"/>
      <c r="FS189" s="1"/>
      <c r="FT189" s="1"/>
      <c r="FU189" s="1"/>
      <c r="FV189" s="1"/>
      <c r="FW189" s="1"/>
      <c r="FX189" s="1"/>
      <c r="FY189" s="1"/>
      <c r="FZ189" s="1"/>
      <c r="GA189" s="1"/>
      <c r="GB189" s="1"/>
      <c r="GC189" s="1"/>
      <c r="GD189" s="1"/>
      <c r="GE189" s="1"/>
      <c r="GF189" s="1"/>
      <c r="GG189" s="1"/>
      <c r="GH189" s="1"/>
      <c r="GI189" s="1"/>
      <c r="GJ189" s="1"/>
      <c r="GK189" s="1"/>
      <c r="GL189" s="1"/>
      <c r="GM189" s="1"/>
      <c r="GN189" s="1"/>
      <c r="GO189" s="1"/>
      <c r="GP189" s="1"/>
      <c r="GQ189" s="1"/>
      <c r="GR189" s="1"/>
      <c r="GS189" s="1"/>
      <c r="GT189" s="1"/>
      <c r="GU189" s="1"/>
      <c r="GV189" s="1"/>
      <c r="GW189" s="1"/>
      <c r="GX189" s="1"/>
      <c r="GY189" s="1"/>
      <c r="GZ189" s="1"/>
      <c r="HA189" s="1"/>
      <c r="HB189" s="1"/>
      <c r="HC189" s="1"/>
      <c r="HD189" s="1"/>
      <c r="HE189" s="1"/>
      <c r="HF189" s="1"/>
      <c r="HG189" s="1"/>
      <c r="HH189" s="1"/>
      <c r="HI189" s="1"/>
      <c r="HJ189" s="1"/>
      <c r="HK189" s="1"/>
      <c r="HL189" s="1"/>
      <c r="HM189" s="1"/>
      <c r="HN189" s="1"/>
      <c r="HO189" s="1"/>
      <c r="HP189" s="1"/>
      <c r="HQ189" s="1"/>
      <c r="HR189" s="1"/>
      <c r="HS189" s="1"/>
      <c r="HT189" s="1"/>
      <c r="HU189" s="1"/>
      <c r="HV189" s="1"/>
      <c r="HW189" s="1"/>
      <c r="HX189" s="1"/>
      <c r="HY189" s="1"/>
      <c r="HZ189" s="1"/>
      <c r="IA189" s="1"/>
      <c r="IB189" s="1"/>
      <c r="IC189" s="1"/>
      <c r="ID189" s="1"/>
      <c r="IE189" s="1"/>
      <c r="IF189" s="1"/>
      <c r="IG189" s="1"/>
      <c r="IH189" s="1"/>
      <c r="II189" s="1"/>
      <c r="IJ189" s="1"/>
      <c r="IK189" s="1"/>
      <c r="IL189" s="1"/>
      <c r="IM189" s="1"/>
      <c r="IN189" s="1"/>
      <c r="IO189" s="1"/>
      <c r="IP189" s="1"/>
      <c r="IQ189" s="1"/>
      <c r="IR189" s="1"/>
      <c r="IS189" s="1"/>
      <c r="IT189" s="1"/>
      <c r="IU189" s="1"/>
      <c r="IV189" s="1"/>
      <c r="IW189" s="1"/>
      <c r="IX189" s="1"/>
      <c r="IY189" s="1"/>
      <c r="IZ189" s="1"/>
      <c r="JA189" s="1"/>
      <c r="JB189" s="1"/>
      <c r="JC189" s="1"/>
      <c r="JD189" s="1"/>
      <c r="JE189" s="1"/>
      <c r="JF189" s="1"/>
      <c r="JG189" s="1"/>
      <c r="JH189" s="1"/>
      <c r="JI189" s="1"/>
      <c r="JJ189" s="1"/>
      <c r="JK189" s="1"/>
      <c r="JL189" s="1"/>
      <c r="JM189" s="1"/>
      <c r="JN189" s="1"/>
      <c r="JO189" s="1"/>
      <c r="JP189" s="1"/>
      <c r="JQ189" s="1"/>
      <c r="JR189" s="1"/>
      <c r="JS189" s="1"/>
      <c r="JT189" s="1"/>
      <c r="JU189" s="1"/>
      <c r="JV189" s="1"/>
      <c r="JW189" s="1"/>
      <c r="JX189" s="1"/>
      <c r="JY189" s="1"/>
      <c r="JZ189" s="1"/>
      <c r="KA189" s="1"/>
      <c r="KB189" s="1"/>
      <c r="KC189" s="1"/>
      <c r="KD189" s="1"/>
      <c r="KE189" s="1"/>
      <c r="KF189" s="1"/>
      <c r="KG189" s="1"/>
      <c r="KH189" s="1"/>
      <c r="KI189" s="1"/>
      <c r="KJ189" s="1"/>
      <c r="KK189" s="1"/>
      <c r="KL189" s="1"/>
      <c r="KM189" s="1"/>
      <c r="KN189" s="1"/>
      <c r="KO189" s="1"/>
      <c r="KP189" s="1"/>
      <c r="KQ189" s="1"/>
      <c r="KR189" s="1"/>
      <c r="KS189" s="1"/>
      <c r="KT189" s="1"/>
      <c r="KU189" s="1"/>
      <c r="KV189" s="1"/>
      <c r="KW189" s="1"/>
      <c r="KX189" s="1"/>
      <c r="KY189" s="1"/>
      <c r="KZ189" s="1"/>
      <c r="LA189" s="1"/>
      <c r="LB189" s="1"/>
      <c r="LC189" s="1"/>
      <c r="LD189" s="1"/>
      <c r="LE189" s="1"/>
      <c r="LF189" s="1"/>
      <c r="LG189" s="1"/>
      <c r="LH189" s="1"/>
      <c r="LI189" s="1"/>
      <c r="LJ189" s="1"/>
      <c r="LK189" s="1"/>
      <c r="LL189" s="1"/>
      <c r="LM189" s="1"/>
      <c r="LN189" s="1"/>
      <c r="LO189" s="1"/>
      <c r="LP189" s="1"/>
      <c r="LQ189" s="1"/>
      <c r="LR189" s="1"/>
      <c r="LS189" s="1"/>
      <c r="LT189" s="1"/>
      <c r="LU189" s="1"/>
      <c r="LV189" s="1"/>
      <c r="LW189" s="1"/>
      <c r="LX189" s="1"/>
      <c r="LY189" s="1"/>
      <c r="LZ189" s="1"/>
      <c r="MA189" s="1"/>
      <c r="MB189" s="1"/>
      <c r="MC189" s="1"/>
      <c r="MD189" s="1"/>
      <c r="ME189" s="1"/>
      <c r="MF189" s="1"/>
      <c r="MG189" s="1"/>
      <c r="MH189" s="1"/>
      <c r="MI189" s="1"/>
      <c r="MJ189" s="1"/>
      <c r="MK189" s="1"/>
      <c r="ML189" s="1"/>
      <c r="MM189" s="1"/>
      <c r="MN189" s="1"/>
      <c r="MO189" s="1"/>
      <c r="MP189" s="1"/>
      <c r="MQ189" s="1"/>
      <c r="MR189" s="1"/>
      <c r="MS189" s="1"/>
      <c r="MT189" s="1"/>
      <c r="MU189" s="1"/>
      <c r="MV189" s="1"/>
      <c r="MW189" s="1"/>
      <c r="MX189" s="1"/>
      <c r="MY189" s="1"/>
      <c r="MZ189" s="1"/>
      <c r="NA189" s="1"/>
      <c r="NB189" s="1"/>
      <c r="NC189" s="1"/>
      <c r="ND189" s="1"/>
      <c r="NE189" s="1"/>
      <c r="NF189" s="1"/>
      <c r="NG189" s="1"/>
      <c r="NH189" s="1"/>
      <c r="NI189" s="1"/>
      <c r="NJ189" s="1"/>
      <c r="NK189" s="1"/>
      <c r="NL189" s="1"/>
      <c r="NM189" s="1"/>
      <c r="NN189" s="1"/>
      <c r="NO189" s="1"/>
      <c r="NP189" s="1"/>
      <c r="NQ189" s="1"/>
      <c r="NR189" s="1"/>
      <c r="NS189" s="1"/>
      <c r="NT189" s="1"/>
      <c r="NU189" s="1"/>
      <c r="NV189" s="1"/>
      <c r="NW189" s="1"/>
      <c r="NX189" s="1"/>
      <c r="NY189" s="1"/>
      <c r="NZ189" s="1"/>
      <c r="OA189" s="1"/>
      <c r="OB189" s="1"/>
      <c r="OC189" s="1"/>
      <c r="OD189" s="1"/>
      <c r="OE189" s="1"/>
      <c r="OF189" s="1"/>
      <c r="OG189" s="1"/>
      <c r="OH189" s="1"/>
      <c r="OI189" s="1"/>
      <c r="OJ189" s="1"/>
      <c r="OK189" s="1"/>
      <c r="OL189" s="1"/>
      <c r="OM189" s="1"/>
      <c r="ON189" s="1"/>
      <c r="OO189" s="1"/>
      <c r="OP189" s="1"/>
      <c r="OQ189" s="1"/>
      <c r="OR189" s="1"/>
      <c r="OS189" s="1"/>
      <c r="OT189" s="1"/>
      <c r="OU189" s="1"/>
      <c r="OV189" s="1"/>
      <c r="OW189" s="1"/>
      <c r="OX189" s="1"/>
      <c r="OY189" s="1"/>
      <c r="OZ189" s="1"/>
      <c r="PA189" s="1"/>
      <c r="PB189" s="1"/>
      <c r="PC189" s="1"/>
      <c r="PD189" s="1"/>
      <c r="PE189" s="1"/>
      <c r="PF189" s="1"/>
      <c r="PG189" s="1"/>
      <c r="PH189" s="1"/>
      <c r="PI189" s="1"/>
      <c r="PJ189" s="1"/>
      <c r="PK189" s="1"/>
      <c r="PL189" s="1"/>
      <c r="PM189" s="1"/>
      <c r="PN189" s="1"/>
      <c r="PO189" s="1"/>
      <c r="PP189" s="1"/>
      <c r="PQ189" s="1"/>
      <c r="PR189" s="1"/>
      <c r="PS189" s="1"/>
      <c r="PT189" s="1"/>
      <c r="PU189" s="1"/>
      <c r="PV189" s="1"/>
      <c r="PW189" s="1"/>
      <c r="PX189" s="1"/>
      <c r="PY189" s="1"/>
      <c r="PZ189" s="1"/>
      <c r="QA189" s="1"/>
      <c r="QB189" s="1"/>
      <c r="QC189" s="1"/>
      <c r="QD189" s="1"/>
      <c r="QE189" s="1"/>
      <c r="QF189" s="1"/>
      <c r="QG189" s="1"/>
      <c r="QH189" s="1"/>
      <c r="QI189" s="1"/>
      <c r="QJ189" s="1"/>
      <c r="QK189" s="1"/>
      <c r="QL189" s="1"/>
      <c r="QM189" s="1"/>
      <c r="QN189" s="1"/>
      <c r="QO189" s="1"/>
      <c r="QP189" s="1"/>
      <c r="QQ189" s="1"/>
      <c r="QR189" s="1"/>
      <c r="QS189" s="1"/>
      <c r="QT189" s="1"/>
      <c r="QU189" s="1"/>
      <c r="QV189" s="1"/>
      <c r="QW189" s="1"/>
      <c r="QX189" s="1"/>
      <c r="QY189" s="1"/>
      <c r="QZ189" s="1"/>
      <c r="RA189" s="1"/>
      <c r="RB189" s="1"/>
      <c r="RC189" s="1"/>
      <c r="RD189" s="1"/>
      <c r="RE189" s="1"/>
      <c r="RF189" s="1"/>
      <c r="RG189" s="1"/>
      <c r="RH189" s="1"/>
      <c r="RI189" s="1"/>
      <c r="RJ189" s="1"/>
      <c r="RK189" s="1"/>
      <c r="RL189" s="1"/>
      <c r="RM189" s="1"/>
      <c r="RN189" s="1"/>
      <c r="RO189" s="1"/>
      <c r="RP189" s="1"/>
      <c r="RQ189" s="1"/>
      <c r="RR189" s="1"/>
      <c r="RS189" s="1"/>
      <c r="RT189" s="1"/>
      <c r="RU189" s="1"/>
      <c r="RV189" s="1"/>
      <c r="RW189" s="1"/>
      <c r="RX189" s="1"/>
      <c r="RY189" s="1"/>
      <c r="RZ189" s="1"/>
      <c r="SA189" s="1"/>
      <c r="SB189" s="1"/>
      <c r="SC189" s="1"/>
      <c r="SD189" s="1"/>
      <c r="SE189" s="1"/>
      <c r="SF189" s="1"/>
      <c r="SG189" s="1"/>
      <c r="SH189" s="1"/>
      <c r="SI189" s="1"/>
      <c r="SJ189" s="1"/>
      <c r="SK189" s="1"/>
      <c r="SL189" s="1"/>
      <c r="SM189" s="1"/>
      <c r="SN189" s="1"/>
      <c r="SO189" s="1"/>
      <c r="SP189" s="1"/>
      <c r="SQ189" s="1"/>
      <c r="SR189" s="1"/>
      <c r="SS189" s="1"/>
      <c r="ST189" s="1"/>
      <c r="SU189" s="1"/>
      <c r="SV189" s="1"/>
      <c r="SW189" s="1"/>
      <c r="SX189" s="1"/>
      <c r="SY189" s="1"/>
      <c r="SZ189" s="1"/>
      <c r="TA189" s="1"/>
      <c r="TB189" s="1"/>
      <c r="TC189" s="1"/>
      <c r="TD189" s="1"/>
      <c r="TE189" s="1"/>
      <c r="TF189" s="1"/>
      <c r="TG189" s="1"/>
      <c r="TH189" s="1"/>
      <c r="TI189" s="1"/>
      <c r="TJ189" s="1"/>
      <c r="TK189" s="1"/>
      <c r="TL189" s="1"/>
      <c r="TM189" s="1"/>
      <c r="TN189" s="1"/>
      <c r="TO189" s="1"/>
      <c r="TP189" s="1"/>
      <c r="TQ189" s="1"/>
      <c r="TR189" s="1"/>
      <c r="TS189" s="1"/>
      <c r="TT189" s="1"/>
      <c r="TU189" s="1"/>
      <c r="TV189" s="1"/>
      <c r="TW189" s="1"/>
      <c r="TX189" s="1"/>
      <c r="TY189" s="1"/>
      <c r="TZ189" s="1"/>
      <c r="UA189" s="1"/>
      <c r="UB189" s="1"/>
      <c r="UC189" s="1"/>
      <c r="UD189" s="1"/>
      <c r="UE189" s="1"/>
      <c r="UF189" s="1"/>
      <c r="UG189" s="1"/>
      <c r="UH189" s="1"/>
      <c r="UI189" s="1"/>
      <c r="UJ189" s="1"/>
      <c r="UK189" s="1"/>
      <c r="UL189" s="1"/>
      <c r="UM189" s="1"/>
      <c r="UN189" s="1"/>
      <c r="UO189" s="1"/>
      <c r="UP189" s="1"/>
      <c r="UQ189" s="1"/>
      <c r="UR189" s="1"/>
      <c r="US189" s="1"/>
      <c r="UT189" s="1"/>
      <c r="UU189" s="1"/>
      <c r="UV189" s="1"/>
      <c r="UW189" s="1"/>
      <c r="UX189" s="1"/>
      <c r="UY189" s="1"/>
      <c r="UZ189" s="1"/>
      <c r="VA189" s="1"/>
      <c r="VB189" s="1"/>
      <c r="VC189" s="1"/>
      <c r="VD189" s="1"/>
      <c r="VE189" s="1"/>
      <c r="VF189" s="1"/>
      <c r="VG189" s="1"/>
      <c r="VH189" s="1"/>
      <c r="VI189" s="1"/>
      <c r="VJ189" s="1"/>
      <c r="VK189" s="1"/>
      <c r="VL189" s="1"/>
      <c r="VM189" s="1"/>
      <c r="VN189" s="1"/>
      <c r="VO189" s="1"/>
      <c r="VP189" s="1"/>
      <c r="VQ189" s="1"/>
      <c r="VR189" s="1"/>
      <c r="VS189" s="1"/>
      <c r="VT189" s="1"/>
      <c r="VU189" s="1"/>
      <c r="VV189" s="1"/>
      <c r="VW189" s="1"/>
      <c r="VX189" s="1"/>
      <c r="VY189" s="1"/>
      <c r="VZ189" s="1"/>
      <c r="WA189" s="1"/>
      <c r="WB189" s="1"/>
      <c r="WC189" s="1"/>
      <c r="WD189" s="1"/>
      <c r="WE189" s="1"/>
      <c r="WF189" s="1"/>
      <c r="WG189" s="1"/>
      <c r="WH189" s="1"/>
      <c r="WI189" s="1"/>
      <c r="WJ189" s="1"/>
      <c r="WK189" s="1"/>
      <c r="WL189" s="1"/>
      <c r="WM189" s="1"/>
      <c r="WN189" s="1"/>
      <c r="WO189" s="1"/>
      <c r="WP189" s="1"/>
      <c r="WQ189" s="1"/>
      <c r="WR189" s="1"/>
      <c r="WS189" s="1"/>
      <c r="WT189" s="1"/>
      <c r="WU189" s="1"/>
      <c r="WV189" s="1"/>
      <c r="WW189" s="1"/>
      <c r="WX189" s="1"/>
      <c r="WY189" s="1"/>
      <c r="WZ189" s="1"/>
      <c r="XA189" s="1"/>
      <c r="XB189" s="1"/>
      <c r="XC189" s="1"/>
      <c r="XD189" s="1"/>
      <c r="XE189" s="1"/>
      <c r="XF189" s="1"/>
      <c r="XG189" s="1"/>
      <c r="XH189" s="1"/>
      <c r="XI189" s="1"/>
      <c r="XJ189" s="1"/>
      <c r="XK189" s="1"/>
      <c r="XL189" s="1"/>
      <c r="XM189" s="1"/>
      <c r="XN189" s="1"/>
      <c r="XO189" s="1"/>
      <c r="XP189" s="1"/>
      <c r="XQ189" s="1"/>
      <c r="XR189" s="1"/>
      <c r="XS189" s="1"/>
      <c r="XT189" s="1"/>
      <c r="XU189" s="1"/>
      <c r="XV189" s="1"/>
      <c r="XW189" s="1"/>
      <c r="XX189" s="1"/>
      <c r="XY189" s="1"/>
      <c r="XZ189" s="1"/>
      <c r="YA189" s="1"/>
      <c r="YB189" s="1"/>
      <c r="YC189" s="1"/>
      <c r="YD189" s="1"/>
      <c r="YE189" s="1"/>
      <c r="YF189" s="1"/>
      <c r="YG189" s="1"/>
      <c r="YH189" s="1"/>
      <c r="YI189" s="1"/>
      <c r="YJ189" s="1"/>
      <c r="YK189" s="1"/>
      <c r="YL189" s="1"/>
      <c r="YM189" s="1"/>
      <c r="YN189" s="1"/>
      <c r="YO189" s="1"/>
      <c r="YP189" s="1"/>
      <c r="YQ189" s="1"/>
      <c r="YR189" s="1"/>
      <c r="YS189" s="1"/>
      <c r="YT189" s="1"/>
      <c r="YU189" s="1"/>
      <c r="YV189" s="1"/>
      <c r="YW189" s="1"/>
      <c r="YX189" s="1"/>
      <c r="YY189" s="1"/>
      <c r="YZ189" s="1"/>
      <c r="ZA189" s="1"/>
      <c r="ZB189" s="1"/>
      <c r="ZC189" s="1"/>
      <c r="ZD189" s="1"/>
      <c r="ZE189" s="1"/>
      <c r="ZF189" s="1"/>
      <c r="ZG189" s="1"/>
      <c r="ZH189" s="1"/>
      <c r="ZI189" s="1"/>
      <c r="ZJ189" s="1"/>
      <c r="ZK189" s="1"/>
      <c r="ZL189" s="1"/>
      <c r="ZM189" s="1"/>
      <c r="ZN189" s="1"/>
      <c r="ZO189" s="1"/>
      <c r="ZP189" s="1"/>
      <c r="ZQ189" s="1"/>
      <c r="ZR189" s="1"/>
      <c r="ZS189" s="1"/>
      <c r="ZT189" s="1"/>
      <c r="ZU189" s="1"/>
      <c r="ZV189" s="1"/>
      <c r="ZW189" s="1"/>
      <c r="ZX189" s="1"/>
      <c r="ZY189" s="1"/>
      <c r="ZZ189" s="1"/>
      <c r="AAA189" s="1"/>
      <c r="AAB189" s="1"/>
      <c r="AAC189" s="1"/>
      <c r="AAD189" s="1"/>
      <c r="AAE189" s="1"/>
      <c r="AAF189" s="1"/>
      <c r="AAG189" s="1"/>
      <c r="AAH189" s="1"/>
      <c r="AAI189" s="1"/>
      <c r="AAJ189" s="1"/>
      <c r="AAK189" s="1"/>
      <c r="AAL189" s="1"/>
      <c r="AAM189" s="1"/>
      <c r="AAN189" s="1"/>
      <c r="AAO189" s="1"/>
      <c r="AAP189" s="1"/>
      <c r="AAQ189" s="1"/>
      <c r="AAR189" s="1"/>
      <c r="AAS189" s="1"/>
      <c r="AAT189" s="1"/>
      <c r="AAU189" s="1"/>
      <c r="AAV189" s="1"/>
      <c r="AAW189" s="1"/>
      <c r="AAX189" s="1"/>
      <c r="AAY189" s="1"/>
      <c r="AAZ189" s="1"/>
      <c r="ABA189" s="1"/>
      <c r="ABB189" s="1"/>
      <c r="ABC189" s="1"/>
      <c r="ABD189" s="1"/>
      <c r="ABE189" s="1"/>
      <c r="ABF189" s="1"/>
      <c r="ABG189" s="1"/>
      <c r="ABH189" s="1"/>
      <c r="ABI189" s="1"/>
      <c r="ABJ189" s="1"/>
      <c r="ABK189" s="1"/>
      <c r="ABL189" s="1"/>
      <c r="ABM189" s="1"/>
      <c r="ABN189" s="1"/>
      <c r="ABO189" s="1"/>
      <c r="ABP189" s="1"/>
      <c r="ABQ189" s="1"/>
      <c r="ABR189" s="1"/>
      <c r="ABS189" s="1"/>
      <c r="ABT189" s="1"/>
      <c r="ABU189" s="1"/>
      <c r="ABV189" s="1"/>
      <c r="ABW189" s="1"/>
      <c r="ABX189" s="1"/>
      <c r="ABY189" s="1"/>
      <c r="ABZ189" s="1"/>
      <c r="ACA189" s="1"/>
      <c r="ACB189" s="1"/>
      <c r="ACC189" s="1"/>
      <c r="ACD189" s="1"/>
      <c r="ACE189" s="1"/>
      <c r="ACF189" s="1"/>
      <c r="ACG189" s="1"/>
      <c r="ACH189" s="1"/>
      <c r="ACI189" s="1"/>
      <c r="ACJ189" s="1"/>
      <c r="ACK189" s="1"/>
      <c r="ACL189" s="1"/>
      <c r="ACM189" s="1"/>
      <c r="ACN189" s="1"/>
      <c r="ACO189" s="1"/>
      <c r="ACP189" s="1"/>
      <c r="ACQ189" s="1"/>
      <c r="ACR189" s="1"/>
      <c r="ACS189" s="1"/>
      <c r="ACT189" s="1"/>
      <c r="ACU189" s="1"/>
      <c r="ACV189" s="1"/>
      <c r="ACW189" s="1"/>
      <c r="ACX189" s="1"/>
      <c r="ACY189" s="1"/>
      <c r="ACZ189" s="1"/>
      <c r="ADA189" s="1"/>
      <c r="ADB189" s="1"/>
      <c r="ADC189" s="1"/>
      <c r="ADD189" s="1"/>
      <c r="ADE189" s="1"/>
      <c r="ADF189" s="1"/>
      <c r="ADG189" s="1"/>
      <c r="ADH189" s="1"/>
      <c r="ADI189" s="1"/>
      <c r="ADJ189" s="1"/>
      <c r="ADK189" s="1"/>
      <c r="ADL189" s="1"/>
      <c r="ADM189" s="1"/>
      <c r="ADN189" s="1"/>
      <c r="ADO189" s="1"/>
      <c r="ADP189" s="1"/>
      <c r="ADQ189" s="1"/>
      <c r="ADR189" s="1"/>
      <c r="ADS189" s="1"/>
      <c r="ADT189" s="1"/>
      <c r="ADU189" s="1"/>
      <c r="ADV189" s="1"/>
      <c r="ADW189" s="1"/>
      <c r="ADX189" s="1"/>
      <c r="ADY189" s="1"/>
      <c r="ADZ189" s="1"/>
      <c r="AEA189" s="1"/>
      <c r="AEB189" s="1"/>
      <c r="AEC189" s="1"/>
      <c r="AED189" s="1"/>
      <c r="AEE189" s="1"/>
      <c r="AEF189" s="1"/>
      <c r="AEG189" s="1"/>
      <c r="AEH189" s="1"/>
      <c r="AEI189" s="1"/>
      <c r="AEJ189" s="1"/>
      <c r="AEK189" s="1"/>
      <c r="AEL189" s="1"/>
      <c r="AEM189" s="1"/>
      <c r="AEN189" s="1"/>
      <c r="AEO189" s="1"/>
      <c r="AEP189" s="1"/>
      <c r="AEQ189" s="1"/>
      <c r="AER189" s="1"/>
      <c r="AES189" s="1"/>
      <c r="AET189" s="1"/>
      <c r="AEU189" s="1"/>
      <c r="AEV189" s="1"/>
      <c r="AEW189" s="1"/>
      <c r="AEX189" s="1"/>
      <c r="AEY189" s="1"/>
      <c r="AEZ189" s="1"/>
      <c r="AFA189" s="1"/>
      <c r="AFB189" s="1"/>
      <c r="AFC189" s="1"/>
      <c r="AFD189" s="1"/>
      <c r="AFE189" s="1"/>
      <c r="AFF189" s="1"/>
      <c r="AFG189" s="1"/>
      <c r="AFH189" s="1"/>
      <c r="AFI189" s="1"/>
      <c r="AFJ189" s="1"/>
      <c r="AFK189" s="1"/>
      <c r="AFL189" s="1"/>
      <c r="AFM189" s="1"/>
      <c r="AFN189" s="1"/>
      <c r="AFO189" s="1"/>
      <c r="AFP189" s="1"/>
      <c r="AFQ189" s="1"/>
      <c r="AFR189" s="1"/>
      <c r="AFS189" s="1"/>
      <c r="AFT189" s="1"/>
      <c r="AFU189" s="1"/>
      <c r="AFV189" s="1"/>
      <c r="AFW189" s="1"/>
      <c r="AFX189" s="1"/>
      <c r="AFY189" s="1"/>
      <c r="AFZ189" s="1"/>
      <c r="AGA189" s="1"/>
      <c r="AGB189" s="1"/>
      <c r="AGC189" s="1"/>
      <c r="AGD189" s="1"/>
      <c r="AGE189" s="1"/>
      <c r="AGF189" s="1"/>
      <c r="AGG189" s="1"/>
      <c r="AGH189" s="1"/>
      <c r="AGI189" s="1"/>
      <c r="AGJ189" s="1"/>
      <c r="AGK189" s="1"/>
      <c r="AGL189" s="1"/>
      <c r="AGM189" s="1"/>
      <c r="AGN189" s="1"/>
      <c r="AGO189" s="1"/>
      <c r="AGP189" s="1"/>
      <c r="AGQ189" s="1"/>
      <c r="AGR189" s="1"/>
      <c r="AGS189" s="1"/>
      <c r="AGT189" s="1"/>
      <c r="AGU189" s="1"/>
      <c r="AGV189" s="1"/>
      <c r="AGW189" s="1"/>
      <c r="AGX189" s="1"/>
      <c r="AGY189" s="1"/>
      <c r="AGZ189" s="1"/>
      <c r="AHA189" s="1"/>
      <c r="AHB189" s="1"/>
      <c r="AHC189" s="1"/>
      <c r="AHD189" s="1"/>
      <c r="AHE189" s="1"/>
      <c r="AHF189" s="1"/>
      <c r="AHG189" s="1"/>
      <c r="AHH189" s="1"/>
      <c r="AHI189" s="1"/>
      <c r="AHJ189" s="1"/>
      <c r="AHK189" s="1"/>
      <c r="AHL189" s="1"/>
      <c r="AHM189" s="1"/>
      <c r="AHN189" s="1"/>
      <c r="AHO189" s="1"/>
      <c r="AHP189" s="1"/>
      <c r="AHQ189" s="1"/>
      <c r="AHR189" s="1"/>
      <c r="AHS189" s="1"/>
      <c r="AHT189" s="1"/>
      <c r="AHU189" s="1"/>
      <c r="AHV189" s="1"/>
      <c r="AHW189" s="1"/>
      <c r="AHX189" s="1"/>
      <c r="AHY189" s="1"/>
      <c r="AHZ189" s="1"/>
      <c r="AIA189" s="1"/>
      <c r="AIB189" s="1"/>
      <c r="AIC189" s="1"/>
      <c r="AID189" s="1"/>
      <c r="AIE189" s="1"/>
      <c r="AIF189" s="1"/>
      <c r="AIG189" s="1"/>
      <c r="AIH189" s="1"/>
      <c r="AII189" s="1"/>
      <c r="AIJ189" s="1"/>
      <c r="AIK189" s="1"/>
      <c r="AIL189" s="1"/>
      <c r="AIM189" s="1"/>
      <c r="AIN189" s="1"/>
      <c r="AIO189" s="1"/>
      <c r="AIP189" s="1"/>
      <c r="AIQ189" s="1"/>
      <c r="AIR189" s="1"/>
      <c r="AIS189" s="1"/>
      <c r="AIT189" s="1"/>
      <c r="AIU189" s="1"/>
      <c r="AIV189" s="1"/>
      <c r="AIW189" s="1"/>
      <c r="AIX189" s="1"/>
      <c r="AIY189" s="1"/>
      <c r="AIZ189" s="1"/>
      <c r="AJA189" s="1"/>
      <c r="AJB189" s="1"/>
      <c r="AJC189" s="1"/>
      <c r="AJD189" s="1"/>
      <c r="AJE189" s="1"/>
      <c r="AJF189" s="1"/>
      <c r="AJG189" s="1"/>
      <c r="AJH189" s="1"/>
      <c r="AJI189" s="1"/>
      <c r="AJJ189" s="1"/>
      <c r="AJK189" s="1"/>
      <c r="AJL189" s="1"/>
      <c r="AJM189" s="1"/>
      <c r="AJN189" s="1"/>
      <c r="AJO189" s="1"/>
      <c r="AJP189" s="1"/>
      <c r="AJQ189" s="1"/>
      <c r="AJR189" s="1"/>
      <c r="AJS189" s="1"/>
      <c r="AJT189" s="1"/>
      <c r="AJU189" s="1"/>
      <c r="AJV189" s="1"/>
      <c r="AJW189" s="1"/>
      <c r="AJX189" s="1"/>
      <c r="AJY189" s="1"/>
      <c r="AJZ189" s="1"/>
      <c r="AKA189" s="1"/>
      <c r="AKB189" s="1"/>
      <c r="AKC189" s="1"/>
      <c r="AKD189" s="1"/>
      <c r="AKE189" s="1"/>
      <c r="AKF189" s="1"/>
      <c r="AKG189" s="1"/>
      <c r="AKH189" s="1"/>
      <c r="AKI189" s="1"/>
      <c r="AKJ189" s="1"/>
      <c r="AKK189" s="1"/>
      <c r="AKL189" s="1"/>
      <c r="AKM189" s="1"/>
      <c r="AKN189" s="1"/>
      <c r="AKO189" s="1"/>
      <c r="AKP189" s="1"/>
      <c r="AKQ189" s="1"/>
      <c r="AKR189" s="1"/>
      <c r="AKS189" s="1"/>
      <c r="AKT189" s="1"/>
      <c r="AKU189" s="1"/>
      <c r="AKV189" s="1"/>
      <c r="AKW189" s="1"/>
      <c r="AKX189" s="1"/>
      <c r="AKY189" s="1"/>
      <c r="AKZ189" s="1"/>
      <c r="ALA189" s="1"/>
      <c r="ALB189" s="1"/>
      <c r="ALC189" s="1"/>
      <c r="ALD189" s="1"/>
      <c r="ALE189" s="1"/>
      <c r="ALF189" s="1"/>
      <c r="ALG189" s="1"/>
      <c r="ALH189" s="1"/>
      <c r="ALI189" s="1"/>
      <c r="ALJ189" s="1"/>
      <c r="ALK189" s="1"/>
      <c r="ALL189" s="1"/>
      <c r="ALM189" s="1"/>
      <c r="ALN189" s="1"/>
      <c r="ALO189" s="1"/>
      <c r="ALP189" s="1"/>
      <c r="ALQ189" s="1"/>
      <c r="ALR189" s="1"/>
      <c r="ALS189" s="1"/>
      <c r="ALT189" s="1"/>
      <c r="ALU189" s="1"/>
      <c r="ALV189" s="1"/>
      <c r="ALW189" s="1"/>
      <c r="ALX189" s="1"/>
      <c r="ALY189" s="1"/>
      <c r="ALZ189" s="1"/>
      <c r="AMA189" s="1"/>
      <c r="AMB189" s="1"/>
      <c r="AMC189" s="1"/>
      <c r="AMD189" s="1"/>
      <c r="AME189" s="1"/>
      <c r="AMF189" s="1"/>
      <c r="AMG189" s="1"/>
      <c r="AMH189" s="1"/>
      <c r="AMI189" s="1"/>
      <c r="AMJ189" s="1"/>
    </row>
    <row r="190" customFormat="false" ht="10.5" hidden="false" customHeight="true" outlineLevel="0" collapsed="false">
      <c r="A190" s="162" t="s">
        <v>323</v>
      </c>
      <c r="B190" s="162"/>
      <c r="C190" s="162"/>
      <c r="D190" s="162"/>
      <c r="E190" s="162"/>
      <c r="F190" s="162"/>
      <c r="G190" s="162"/>
      <c r="H190" s="162"/>
      <c r="I190" s="162"/>
      <c r="J190" s="162"/>
      <c r="K190" s="222" t="n">
        <v>18556.21</v>
      </c>
      <c r="L190" s="222"/>
      <c r="M190" s="222"/>
      <c r="N190" s="222"/>
      <c r="O190" s="19" t="n">
        <v>96</v>
      </c>
      <c r="P190" s="19"/>
      <c r="Q190" s="19"/>
      <c r="R190" s="222" t="n">
        <v>263.58</v>
      </c>
      <c r="S190" s="222"/>
      <c r="T190" s="222"/>
      <c r="U190" s="222" t="n">
        <v>3484.89</v>
      </c>
      <c r="V190" s="222"/>
      <c r="W190" s="222"/>
      <c r="X190" s="222"/>
      <c r="Y190" s="166" t="s">
        <v>318</v>
      </c>
      <c r="Z190" s="166"/>
      <c r="AA190" s="166"/>
      <c r="AB190" s="166"/>
      <c r="AC190" s="166"/>
      <c r="AD190" s="166"/>
      <c r="AE190" s="166"/>
      <c r="AF190" s="166"/>
      <c r="AG190" s="166"/>
      <c r="AH190" s="166"/>
      <c r="AI190" s="166"/>
      <c r="AJ190" s="57" t="s">
        <v>64</v>
      </c>
      <c r="AK190" s="57"/>
      <c r="AL190" s="57"/>
      <c r="AM190" s="57"/>
      <c r="AN190" s="57"/>
      <c r="AO190" s="57"/>
      <c r="BE190" s="1"/>
      <c r="BF190" s="1"/>
      <c r="BG190" s="1"/>
      <c r="BH190" s="1"/>
      <c r="BI190" s="1"/>
      <c r="BJ190" s="1"/>
      <c r="BK190" s="1"/>
      <c r="BL190" s="1"/>
      <c r="BM190" s="1"/>
      <c r="BN190" s="1"/>
      <c r="BO190" s="1"/>
      <c r="BP190" s="1"/>
      <c r="BQ190" s="1"/>
      <c r="BR190" s="1"/>
      <c r="BS190" s="1"/>
      <c r="BT190" s="1"/>
      <c r="BU190" s="1"/>
      <c r="BV190" s="1"/>
      <c r="BW190" s="1"/>
      <c r="BX190" s="1"/>
      <c r="BY190" s="1"/>
      <c r="BZ190" s="1"/>
      <c r="CA190" s="1"/>
      <c r="CB190" s="1"/>
      <c r="CC190" s="1"/>
      <c r="CD190" s="1"/>
      <c r="CE190" s="1"/>
      <c r="CF190" s="1"/>
      <c r="CG190" s="1"/>
      <c r="CH190" s="1"/>
      <c r="CI190" s="1"/>
      <c r="CJ190" s="1"/>
      <c r="CK190" s="1"/>
      <c r="CL190" s="1"/>
      <c r="CM190" s="1"/>
      <c r="CN190" s="1"/>
      <c r="CO190" s="1"/>
      <c r="CP190" s="1"/>
      <c r="CQ190" s="1"/>
      <c r="CR190" s="1"/>
      <c r="CS190" s="1"/>
      <c r="CT190" s="1"/>
      <c r="CU190" s="1"/>
      <c r="CV190" s="1"/>
      <c r="CW190" s="1"/>
      <c r="CX190" s="1"/>
      <c r="CY190" s="1"/>
      <c r="CZ190" s="1"/>
      <c r="DA190" s="1"/>
      <c r="DB190" s="1"/>
      <c r="DC190" s="1"/>
      <c r="DD190" s="1"/>
      <c r="DE190" s="1"/>
      <c r="DF190" s="1"/>
      <c r="DG190" s="1"/>
      <c r="DH190" s="1"/>
      <c r="DI190" s="1"/>
      <c r="DJ190" s="1"/>
      <c r="DK190" s="1"/>
      <c r="DL190" s="1"/>
      <c r="DM190" s="1"/>
      <c r="DN190" s="1"/>
      <c r="DO190" s="1"/>
      <c r="DP190" s="1"/>
      <c r="DQ190" s="1"/>
      <c r="DR190" s="1"/>
      <c r="DS190" s="1"/>
      <c r="DT190" s="1"/>
      <c r="DU190" s="1"/>
      <c r="DV190" s="1"/>
      <c r="DW190" s="1"/>
      <c r="DX190" s="1"/>
      <c r="DY190" s="1"/>
      <c r="DZ190" s="1"/>
      <c r="EA190" s="1"/>
      <c r="EB190" s="1"/>
      <c r="EC190" s="1"/>
      <c r="ED190" s="1"/>
      <c r="EE190" s="1"/>
      <c r="EF190" s="1"/>
      <c r="EG190" s="1"/>
      <c r="EH190" s="1"/>
      <c r="EI190" s="1"/>
      <c r="EJ190" s="1"/>
      <c r="EK190" s="1"/>
      <c r="EL190" s="1"/>
      <c r="EM190" s="1"/>
      <c r="EN190" s="1"/>
      <c r="EO190" s="1"/>
      <c r="EP190" s="1"/>
      <c r="EQ190" s="1"/>
      <c r="ER190" s="1"/>
      <c r="ES190" s="1"/>
      <c r="ET190" s="1"/>
      <c r="EU190" s="1"/>
      <c r="EV190" s="1"/>
      <c r="EW190" s="1"/>
      <c r="EX190" s="1"/>
      <c r="EY190" s="1"/>
      <c r="EZ190" s="1"/>
      <c r="FA190" s="1"/>
      <c r="FB190" s="1"/>
      <c r="FC190" s="1"/>
      <c r="FD190" s="1"/>
      <c r="FE190" s="1"/>
      <c r="FF190" s="1"/>
      <c r="FG190" s="1"/>
      <c r="FH190" s="1"/>
      <c r="FI190" s="1"/>
      <c r="FJ190" s="1"/>
      <c r="FK190" s="1"/>
      <c r="FL190" s="1"/>
      <c r="FM190" s="1"/>
      <c r="FN190" s="1"/>
      <c r="FO190" s="1"/>
      <c r="FP190" s="1"/>
      <c r="FQ190" s="1"/>
      <c r="FR190" s="1"/>
      <c r="FS190" s="1"/>
      <c r="FT190" s="1"/>
      <c r="FU190" s="1"/>
      <c r="FV190" s="1"/>
      <c r="FW190" s="1"/>
      <c r="FX190" s="1"/>
      <c r="FY190" s="1"/>
      <c r="FZ190" s="1"/>
      <c r="GA190" s="1"/>
      <c r="GB190" s="1"/>
      <c r="GC190" s="1"/>
      <c r="GD190" s="1"/>
      <c r="GE190" s="1"/>
      <c r="GF190" s="1"/>
      <c r="GG190" s="1"/>
      <c r="GH190" s="1"/>
      <c r="GI190" s="1"/>
      <c r="GJ190" s="1"/>
      <c r="GK190" s="1"/>
      <c r="GL190" s="1"/>
      <c r="GM190" s="1"/>
      <c r="GN190" s="1"/>
      <c r="GO190" s="1"/>
      <c r="GP190" s="1"/>
      <c r="GQ190" s="1"/>
      <c r="GR190" s="1"/>
      <c r="GS190" s="1"/>
      <c r="GT190" s="1"/>
      <c r="GU190" s="1"/>
      <c r="GV190" s="1"/>
      <c r="GW190" s="1"/>
      <c r="GX190" s="1"/>
      <c r="GY190" s="1"/>
      <c r="GZ190" s="1"/>
      <c r="HA190" s="1"/>
      <c r="HB190" s="1"/>
      <c r="HC190" s="1"/>
      <c r="HD190" s="1"/>
      <c r="HE190" s="1"/>
      <c r="HF190" s="1"/>
      <c r="HG190" s="1"/>
      <c r="HH190" s="1"/>
      <c r="HI190" s="1"/>
      <c r="HJ190" s="1"/>
      <c r="HK190" s="1"/>
      <c r="HL190" s="1"/>
      <c r="HM190" s="1"/>
      <c r="HN190" s="1"/>
      <c r="HO190" s="1"/>
      <c r="HP190" s="1"/>
      <c r="HQ190" s="1"/>
      <c r="HR190" s="1"/>
      <c r="HS190" s="1"/>
      <c r="HT190" s="1"/>
      <c r="HU190" s="1"/>
      <c r="HV190" s="1"/>
      <c r="HW190" s="1"/>
      <c r="HX190" s="1"/>
      <c r="HY190" s="1"/>
      <c r="HZ190" s="1"/>
      <c r="IA190" s="1"/>
      <c r="IB190" s="1"/>
      <c r="IC190" s="1"/>
      <c r="ID190" s="1"/>
      <c r="IE190" s="1"/>
      <c r="IF190" s="1"/>
      <c r="IG190" s="1"/>
      <c r="IH190" s="1"/>
      <c r="II190" s="1"/>
      <c r="IJ190" s="1"/>
      <c r="IK190" s="1"/>
      <c r="IL190" s="1"/>
      <c r="IM190" s="1"/>
      <c r="IN190" s="1"/>
      <c r="IO190" s="1"/>
      <c r="IP190" s="1"/>
      <c r="IQ190" s="1"/>
      <c r="IR190" s="1"/>
      <c r="IS190" s="1"/>
      <c r="IT190" s="1"/>
      <c r="IU190" s="1"/>
      <c r="IV190" s="1"/>
      <c r="IW190" s="1"/>
      <c r="IX190" s="1"/>
      <c r="IY190" s="1"/>
      <c r="IZ190" s="1"/>
      <c r="JA190" s="1"/>
      <c r="JB190" s="1"/>
      <c r="JC190" s="1"/>
      <c r="JD190" s="1"/>
      <c r="JE190" s="1"/>
      <c r="JF190" s="1"/>
      <c r="JG190" s="1"/>
      <c r="JH190" s="1"/>
      <c r="JI190" s="1"/>
      <c r="JJ190" s="1"/>
      <c r="JK190" s="1"/>
      <c r="JL190" s="1"/>
      <c r="JM190" s="1"/>
      <c r="JN190" s="1"/>
      <c r="JO190" s="1"/>
      <c r="JP190" s="1"/>
      <c r="JQ190" s="1"/>
      <c r="JR190" s="1"/>
      <c r="JS190" s="1"/>
      <c r="JT190" s="1"/>
      <c r="JU190" s="1"/>
      <c r="JV190" s="1"/>
      <c r="JW190" s="1"/>
      <c r="JX190" s="1"/>
      <c r="JY190" s="1"/>
      <c r="JZ190" s="1"/>
      <c r="KA190" s="1"/>
      <c r="KB190" s="1"/>
      <c r="KC190" s="1"/>
      <c r="KD190" s="1"/>
      <c r="KE190" s="1"/>
      <c r="KF190" s="1"/>
      <c r="KG190" s="1"/>
      <c r="KH190" s="1"/>
      <c r="KI190" s="1"/>
      <c r="KJ190" s="1"/>
      <c r="KK190" s="1"/>
      <c r="KL190" s="1"/>
      <c r="KM190" s="1"/>
      <c r="KN190" s="1"/>
      <c r="KO190" s="1"/>
      <c r="KP190" s="1"/>
      <c r="KQ190" s="1"/>
      <c r="KR190" s="1"/>
      <c r="KS190" s="1"/>
      <c r="KT190" s="1"/>
      <c r="KU190" s="1"/>
      <c r="KV190" s="1"/>
      <c r="KW190" s="1"/>
      <c r="KX190" s="1"/>
      <c r="KY190" s="1"/>
      <c r="KZ190" s="1"/>
      <c r="LA190" s="1"/>
      <c r="LB190" s="1"/>
      <c r="LC190" s="1"/>
      <c r="LD190" s="1"/>
      <c r="LE190" s="1"/>
      <c r="LF190" s="1"/>
      <c r="LG190" s="1"/>
      <c r="LH190" s="1"/>
      <c r="LI190" s="1"/>
      <c r="LJ190" s="1"/>
      <c r="LK190" s="1"/>
      <c r="LL190" s="1"/>
      <c r="LM190" s="1"/>
      <c r="LN190" s="1"/>
      <c r="LO190" s="1"/>
      <c r="LP190" s="1"/>
      <c r="LQ190" s="1"/>
      <c r="LR190" s="1"/>
      <c r="LS190" s="1"/>
      <c r="LT190" s="1"/>
      <c r="LU190" s="1"/>
      <c r="LV190" s="1"/>
      <c r="LW190" s="1"/>
      <c r="LX190" s="1"/>
      <c r="LY190" s="1"/>
      <c r="LZ190" s="1"/>
      <c r="MA190" s="1"/>
      <c r="MB190" s="1"/>
      <c r="MC190" s="1"/>
      <c r="MD190" s="1"/>
      <c r="ME190" s="1"/>
      <c r="MF190" s="1"/>
      <c r="MG190" s="1"/>
      <c r="MH190" s="1"/>
      <c r="MI190" s="1"/>
      <c r="MJ190" s="1"/>
      <c r="MK190" s="1"/>
      <c r="ML190" s="1"/>
      <c r="MM190" s="1"/>
      <c r="MN190" s="1"/>
      <c r="MO190" s="1"/>
      <c r="MP190" s="1"/>
      <c r="MQ190" s="1"/>
      <c r="MR190" s="1"/>
      <c r="MS190" s="1"/>
      <c r="MT190" s="1"/>
      <c r="MU190" s="1"/>
      <c r="MV190" s="1"/>
      <c r="MW190" s="1"/>
      <c r="MX190" s="1"/>
      <c r="MY190" s="1"/>
      <c r="MZ190" s="1"/>
      <c r="NA190" s="1"/>
      <c r="NB190" s="1"/>
      <c r="NC190" s="1"/>
      <c r="ND190" s="1"/>
      <c r="NE190" s="1"/>
      <c r="NF190" s="1"/>
      <c r="NG190" s="1"/>
      <c r="NH190" s="1"/>
      <c r="NI190" s="1"/>
      <c r="NJ190" s="1"/>
      <c r="NK190" s="1"/>
      <c r="NL190" s="1"/>
      <c r="NM190" s="1"/>
      <c r="NN190" s="1"/>
      <c r="NO190" s="1"/>
      <c r="NP190" s="1"/>
      <c r="NQ190" s="1"/>
      <c r="NR190" s="1"/>
      <c r="NS190" s="1"/>
      <c r="NT190" s="1"/>
      <c r="NU190" s="1"/>
      <c r="NV190" s="1"/>
      <c r="NW190" s="1"/>
      <c r="NX190" s="1"/>
      <c r="NY190" s="1"/>
      <c r="NZ190" s="1"/>
      <c r="OA190" s="1"/>
      <c r="OB190" s="1"/>
      <c r="OC190" s="1"/>
      <c r="OD190" s="1"/>
      <c r="OE190" s="1"/>
      <c r="OF190" s="1"/>
      <c r="OG190" s="1"/>
      <c r="OH190" s="1"/>
      <c r="OI190" s="1"/>
      <c r="OJ190" s="1"/>
      <c r="OK190" s="1"/>
      <c r="OL190" s="1"/>
      <c r="OM190" s="1"/>
      <c r="ON190" s="1"/>
      <c r="OO190" s="1"/>
      <c r="OP190" s="1"/>
      <c r="OQ190" s="1"/>
      <c r="OR190" s="1"/>
      <c r="OS190" s="1"/>
      <c r="OT190" s="1"/>
      <c r="OU190" s="1"/>
      <c r="OV190" s="1"/>
      <c r="OW190" s="1"/>
      <c r="OX190" s="1"/>
      <c r="OY190" s="1"/>
      <c r="OZ190" s="1"/>
      <c r="PA190" s="1"/>
      <c r="PB190" s="1"/>
      <c r="PC190" s="1"/>
      <c r="PD190" s="1"/>
      <c r="PE190" s="1"/>
      <c r="PF190" s="1"/>
      <c r="PG190" s="1"/>
      <c r="PH190" s="1"/>
      <c r="PI190" s="1"/>
      <c r="PJ190" s="1"/>
      <c r="PK190" s="1"/>
      <c r="PL190" s="1"/>
      <c r="PM190" s="1"/>
      <c r="PN190" s="1"/>
      <c r="PO190" s="1"/>
      <c r="PP190" s="1"/>
      <c r="PQ190" s="1"/>
      <c r="PR190" s="1"/>
      <c r="PS190" s="1"/>
      <c r="PT190" s="1"/>
      <c r="PU190" s="1"/>
      <c r="PV190" s="1"/>
      <c r="PW190" s="1"/>
      <c r="PX190" s="1"/>
      <c r="PY190" s="1"/>
      <c r="PZ190" s="1"/>
      <c r="QA190" s="1"/>
      <c r="QB190" s="1"/>
      <c r="QC190" s="1"/>
      <c r="QD190" s="1"/>
      <c r="QE190" s="1"/>
      <c r="QF190" s="1"/>
      <c r="QG190" s="1"/>
      <c r="QH190" s="1"/>
      <c r="QI190" s="1"/>
      <c r="QJ190" s="1"/>
      <c r="QK190" s="1"/>
      <c r="QL190" s="1"/>
      <c r="QM190" s="1"/>
      <c r="QN190" s="1"/>
      <c r="QO190" s="1"/>
      <c r="QP190" s="1"/>
      <c r="QQ190" s="1"/>
      <c r="QR190" s="1"/>
      <c r="QS190" s="1"/>
      <c r="QT190" s="1"/>
      <c r="QU190" s="1"/>
      <c r="QV190" s="1"/>
      <c r="QW190" s="1"/>
      <c r="QX190" s="1"/>
      <c r="QY190" s="1"/>
      <c r="QZ190" s="1"/>
      <c r="RA190" s="1"/>
      <c r="RB190" s="1"/>
      <c r="RC190" s="1"/>
      <c r="RD190" s="1"/>
      <c r="RE190" s="1"/>
      <c r="RF190" s="1"/>
      <c r="RG190" s="1"/>
      <c r="RH190" s="1"/>
      <c r="RI190" s="1"/>
      <c r="RJ190" s="1"/>
      <c r="RK190" s="1"/>
      <c r="RL190" s="1"/>
      <c r="RM190" s="1"/>
      <c r="RN190" s="1"/>
      <c r="RO190" s="1"/>
      <c r="RP190" s="1"/>
      <c r="RQ190" s="1"/>
      <c r="RR190" s="1"/>
      <c r="RS190" s="1"/>
      <c r="RT190" s="1"/>
      <c r="RU190" s="1"/>
      <c r="RV190" s="1"/>
      <c r="RW190" s="1"/>
      <c r="RX190" s="1"/>
      <c r="RY190" s="1"/>
      <c r="RZ190" s="1"/>
      <c r="SA190" s="1"/>
      <c r="SB190" s="1"/>
      <c r="SC190" s="1"/>
      <c r="SD190" s="1"/>
      <c r="SE190" s="1"/>
      <c r="SF190" s="1"/>
      <c r="SG190" s="1"/>
      <c r="SH190" s="1"/>
      <c r="SI190" s="1"/>
      <c r="SJ190" s="1"/>
      <c r="SK190" s="1"/>
      <c r="SL190" s="1"/>
      <c r="SM190" s="1"/>
      <c r="SN190" s="1"/>
      <c r="SO190" s="1"/>
      <c r="SP190" s="1"/>
      <c r="SQ190" s="1"/>
      <c r="SR190" s="1"/>
      <c r="SS190" s="1"/>
      <c r="ST190" s="1"/>
      <c r="SU190" s="1"/>
      <c r="SV190" s="1"/>
      <c r="SW190" s="1"/>
      <c r="SX190" s="1"/>
      <c r="SY190" s="1"/>
      <c r="SZ190" s="1"/>
      <c r="TA190" s="1"/>
      <c r="TB190" s="1"/>
      <c r="TC190" s="1"/>
      <c r="TD190" s="1"/>
      <c r="TE190" s="1"/>
      <c r="TF190" s="1"/>
      <c r="TG190" s="1"/>
      <c r="TH190" s="1"/>
      <c r="TI190" s="1"/>
      <c r="TJ190" s="1"/>
      <c r="TK190" s="1"/>
      <c r="TL190" s="1"/>
      <c r="TM190" s="1"/>
      <c r="TN190" s="1"/>
      <c r="TO190" s="1"/>
      <c r="TP190" s="1"/>
      <c r="TQ190" s="1"/>
      <c r="TR190" s="1"/>
      <c r="TS190" s="1"/>
      <c r="TT190" s="1"/>
      <c r="TU190" s="1"/>
      <c r="TV190" s="1"/>
      <c r="TW190" s="1"/>
      <c r="TX190" s="1"/>
      <c r="TY190" s="1"/>
      <c r="TZ190" s="1"/>
      <c r="UA190" s="1"/>
      <c r="UB190" s="1"/>
      <c r="UC190" s="1"/>
      <c r="UD190" s="1"/>
      <c r="UE190" s="1"/>
      <c r="UF190" s="1"/>
      <c r="UG190" s="1"/>
      <c r="UH190" s="1"/>
      <c r="UI190" s="1"/>
      <c r="UJ190" s="1"/>
      <c r="UK190" s="1"/>
      <c r="UL190" s="1"/>
      <c r="UM190" s="1"/>
      <c r="UN190" s="1"/>
      <c r="UO190" s="1"/>
      <c r="UP190" s="1"/>
      <c r="UQ190" s="1"/>
      <c r="UR190" s="1"/>
      <c r="US190" s="1"/>
      <c r="UT190" s="1"/>
      <c r="UU190" s="1"/>
      <c r="UV190" s="1"/>
      <c r="UW190" s="1"/>
      <c r="UX190" s="1"/>
      <c r="UY190" s="1"/>
      <c r="UZ190" s="1"/>
      <c r="VA190" s="1"/>
      <c r="VB190" s="1"/>
      <c r="VC190" s="1"/>
      <c r="VD190" s="1"/>
      <c r="VE190" s="1"/>
      <c r="VF190" s="1"/>
      <c r="VG190" s="1"/>
      <c r="VH190" s="1"/>
      <c r="VI190" s="1"/>
      <c r="VJ190" s="1"/>
      <c r="VK190" s="1"/>
      <c r="VL190" s="1"/>
      <c r="VM190" s="1"/>
      <c r="VN190" s="1"/>
      <c r="VO190" s="1"/>
      <c r="VP190" s="1"/>
      <c r="VQ190" s="1"/>
      <c r="VR190" s="1"/>
      <c r="VS190" s="1"/>
      <c r="VT190" s="1"/>
      <c r="VU190" s="1"/>
      <c r="VV190" s="1"/>
      <c r="VW190" s="1"/>
      <c r="VX190" s="1"/>
      <c r="VY190" s="1"/>
      <c r="VZ190" s="1"/>
      <c r="WA190" s="1"/>
      <c r="WB190" s="1"/>
      <c r="WC190" s="1"/>
      <c r="WD190" s="1"/>
      <c r="WE190" s="1"/>
      <c r="WF190" s="1"/>
      <c r="WG190" s="1"/>
      <c r="WH190" s="1"/>
      <c r="WI190" s="1"/>
      <c r="WJ190" s="1"/>
      <c r="WK190" s="1"/>
      <c r="WL190" s="1"/>
      <c r="WM190" s="1"/>
      <c r="WN190" s="1"/>
      <c r="WO190" s="1"/>
      <c r="WP190" s="1"/>
      <c r="WQ190" s="1"/>
      <c r="WR190" s="1"/>
      <c r="WS190" s="1"/>
      <c r="WT190" s="1"/>
      <c r="WU190" s="1"/>
      <c r="WV190" s="1"/>
      <c r="WW190" s="1"/>
      <c r="WX190" s="1"/>
      <c r="WY190" s="1"/>
      <c r="WZ190" s="1"/>
      <c r="XA190" s="1"/>
      <c r="XB190" s="1"/>
      <c r="XC190" s="1"/>
      <c r="XD190" s="1"/>
      <c r="XE190" s="1"/>
      <c r="XF190" s="1"/>
      <c r="XG190" s="1"/>
      <c r="XH190" s="1"/>
      <c r="XI190" s="1"/>
      <c r="XJ190" s="1"/>
      <c r="XK190" s="1"/>
      <c r="XL190" s="1"/>
      <c r="XM190" s="1"/>
      <c r="XN190" s="1"/>
      <c r="XO190" s="1"/>
      <c r="XP190" s="1"/>
      <c r="XQ190" s="1"/>
      <c r="XR190" s="1"/>
      <c r="XS190" s="1"/>
      <c r="XT190" s="1"/>
      <c r="XU190" s="1"/>
      <c r="XV190" s="1"/>
      <c r="XW190" s="1"/>
      <c r="XX190" s="1"/>
      <c r="XY190" s="1"/>
      <c r="XZ190" s="1"/>
      <c r="YA190" s="1"/>
      <c r="YB190" s="1"/>
      <c r="YC190" s="1"/>
      <c r="YD190" s="1"/>
      <c r="YE190" s="1"/>
      <c r="YF190" s="1"/>
      <c r="YG190" s="1"/>
      <c r="YH190" s="1"/>
      <c r="YI190" s="1"/>
      <c r="YJ190" s="1"/>
      <c r="YK190" s="1"/>
      <c r="YL190" s="1"/>
      <c r="YM190" s="1"/>
      <c r="YN190" s="1"/>
      <c r="YO190" s="1"/>
      <c r="YP190" s="1"/>
      <c r="YQ190" s="1"/>
      <c r="YR190" s="1"/>
      <c r="YS190" s="1"/>
      <c r="YT190" s="1"/>
      <c r="YU190" s="1"/>
      <c r="YV190" s="1"/>
      <c r="YW190" s="1"/>
      <c r="YX190" s="1"/>
      <c r="YY190" s="1"/>
      <c r="YZ190" s="1"/>
      <c r="ZA190" s="1"/>
      <c r="ZB190" s="1"/>
      <c r="ZC190" s="1"/>
      <c r="ZD190" s="1"/>
      <c r="ZE190" s="1"/>
      <c r="ZF190" s="1"/>
      <c r="ZG190" s="1"/>
      <c r="ZH190" s="1"/>
      <c r="ZI190" s="1"/>
      <c r="ZJ190" s="1"/>
      <c r="ZK190" s="1"/>
      <c r="ZL190" s="1"/>
      <c r="ZM190" s="1"/>
      <c r="ZN190" s="1"/>
      <c r="ZO190" s="1"/>
      <c r="ZP190" s="1"/>
      <c r="ZQ190" s="1"/>
      <c r="ZR190" s="1"/>
      <c r="ZS190" s="1"/>
      <c r="ZT190" s="1"/>
      <c r="ZU190" s="1"/>
      <c r="ZV190" s="1"/>
      <c r="ZW190" s="1"/>
      <c r="ZX190" s="1"/>
      <c r="ZY190" s="1"/>
      <c r="ZZ190" s="1"/>
      <c r="AAA190" s="1"/>
      <c r="AAB190" s="1"/>
      <c r="AAC190" s="1"/>
      <c r="AAD190" s="1"/>
      <c r="AAE190" s="1"/>
      <c r="AAF190" s="1"/>
      <c r="AAG190" s="1"/>
      <c r="AAH190" s="1"/>
      <c r="AAI190" s="1"/>
      <c r="AAJ190" s="1"/>
      <c r="AAK190" s="1"/>
      <c r="AAL190" s="1"/>
      <c r="AAM190" s="1"/>
      <c r="AAN190" s="1"/>
      <c r="AAO190" s="1"/>
      <c r="AAP190" s="1"/>
      <c r="AAQ190" s="1"/>
      <c r="AAR190" s="1"/>
      <c r="AAS190" s="1"/>
      <c r="AAT190" s="1"/>
      <c r="AAU190" s="1"/>
      <c r="AAV190" s="1"/>
      <c r="AAW190" s="1"/>
      <c r="AAX190" s="1"/>
      <c r="AAY190" s="1"/>
      <c r="AAZ190" s="1"/>
      <c r="ABA190" s="1"/>
      <c r="ABB190" s="1"/>
      <c r="ABC190" s="1"/>
      <c r="ABD190" s="1"/>
      <c r="ABE190" s="1"/>
      <c r="ABF190" s="1"/>
      <c r="ABG190" s="1"/>
      <c r="ABH190" s="1"/>
      <c r="ABI190" s="1"/>
      <c r="ABJ190" s="1"/>
      <c r="ABK190" s="1"/>
      <c r="ABL190" s="1"/>
      <c r="ABM190" s="1"/>
      <c r="ABN190" s="1"/>
      <c r="ABO190" s="1"/>
      <c r="ABP190" s="1"/>
      <c r="ABQ190" s="1"/>
      <c r="ABR190" s="1"/>
      <c r="ABS190" s="1"/>
      <c r="ABT190" s="1"/>
      <c r="ABU190" s="1"/>
      <c r="ABV190" s="1"/>
      <c r="ABW190" s="1"/>
      <c r="ABX190" s="1"/>
      <c r="ABY190" s="1"/>
      <c r="ABZ190" s="1"/>
      <c r="ACA190" s="1"/>
      <c r="ACB190" s="1"/>
      <c r="ACC190" s="1"/>
      <c r="ACD190" s="1"/>
      <c r="ACE190" s="1"/>
      <c r="ACF190" s="1"/>
      <c r="ACG190" s="1"/>
      <c r="ACH190" s="1"/>
      <c r="ACI190" s="1"/>
      <c r="ACJ190" s="1"/>
      <c r="ACK190" s="1"/>
      <c r="ACL190" s="1"/>
      <c r="ACM190" s="1"/>
      <c r="ACN190" s="1"/>
      <c r="ACO190" s="1"/>
      <c r="ACP190" s="1"/>
      <c r="ACQ190" s="1"/>
      <c r="ACR190" s="1"/>
      <c r="ACS190" s="1"/>
      <c r="ACT190" s="1"/>
      <c r="ACU190" s="1"/>
      <c r="ACV190" s="1"/>
      <c r="ACW190" s="1"/>
      <c r="ACX190" s="1"/>
      <c r="ACY190" s="1"/>
      <c r="ACZ190" s="1"/>
      <c r="ADA190" s="1"/>
      <c r="ADB190" s="1"/>
      <c r="ADC190" s="1"/>
      <c r="ADD190" s="1"/>
      <c r="ADE190" s="1"/>
      <c r="ADF190" s="1"/>
      <c r="ADG190" s="1"/>
      <c r="ADH190" s="1"/>
      <c r="ADI190" s="1"/>
      <c r="ADJ190" s="1"/>
      <c r="ADK190" s="1"/>
      <c r="ADL190" s="1"/>
      <c r="ADM190" s="1"/>
      <c r="ADN190" s="1"/>
      <c r="ADO190" s="1"/>
      <c r="ADP190" s="1"/>
      <c r="ADQ190" s="1"/>
      <c r="ADR190" s="1"/>
      <c r="ADS190" s="1"/>
      <c r="ADT190" s="1"/>
      <c r="ADU190" s="1"/>
      <c r="ADV190" s="1"/>
      <c r="ADW190" s="1"/>
      <c r="ADX190" s="1"/>
      <c r="ADY190" s="1"/>
      <c r="ADZ190" s="1"/>
      <c r="AEA190" s="1"/>
      <c r="AEB190" s="1"/>
      <c r="AEC190" s="1"/>
      <c r="AED190" s="1"/>
      <c r="AEE190" s="1"/>
      <c r="AEF190" s="1"/>
      <c r="AEG190" s="1"/>
      <c r="AEH190" s="1"/>
      <c r="AEI190" s="1"/>
      <c r="AEJ190" s="1"/>
      <c r="AEK190" s="1"/>
      <c r="AEL190" s="1"/>
      <c r="AEM190" s="1"/>
      <c r="AEN190" s="1"/>
      <c r="AEO190" s="1"/>
      <c r="AEP190" s="1"/>
      <c r="AEQ190" s="1"/>
      <c r="AER190" s="1"/>
      <c r="AES190" s="1"/>
      <c r="AET190" s="1"/>
      <c r="AEU190" s="1"/>
      <c r="AEV190" s="1"/>
      <c r="AEW190" s="1"/>
      <c r="AEX190" s="1"/>
      <c r="AEY190" s="1"/>
      <c r="AEZ190" s="1"/>
      <c r="AFA190" s="1"/>
      <c r="AFB190" s="1"/>
      <c r="AFC190" s="1"/>
      <c r="AFD190" s="1"/>
      <c r="AFE190" s="1"/>
      <c r="AFF190" s="1"/>
      <c r="AFG190" s="1"/>
      <c r="AFH190" s="1"/>
      <c r="AFI190" s="1"/>
      <c r="AFJ190" s="1"/>
      <c r="AFK190" s="1"/>
      <c r="AFL190" s="1"/>
      <c r="AFM190" s="1"/>
      <c r="AFN190" s="1"/>
      <c r="AFO190" s="1"/>
      <c r="AFP190" s="1"/>
      <c r="AFQ190" s="1"/>
      <c r="AFR190" s="1"/>
      <c r="AFS190" s="1"/>
      <c r="AFT190" s="1"/>
      <c r="AFU190" s="1"/>
      <c r="AFV190" s="1"/>
      <c r="AFW190" s="1"/>
      <c r="AFX190" s="1"/>
      <c r="AFY190" s="1"/>
      <c r="AFZ190" s="1"/>
      <c r="AGA190" s="1"/>
      <c r="AGB190" s="1"/>
      <c r="AGC190" s="1"/>
      <c r="AGD190" s="1"/>
      <c r="AGE190" s="1"/>
      <c r="AGF190" s="1"/>
      <c r="AGG190" s="1"/>
      <c r="AGH190" s="1"/>
      <c r="AGI190" s="1"/>
      <c r="AGJ190" s="1"/>
      <c r="AGK190" s="1"/>
      <c r="AGL190" s="1"/>
      <c r="AGM190" s="1"/>
      <c r="AGN190" s="1"/>
      <c r="AGO190" s="1"/>
      <c r="AGP190" s="1"/>
      <c r="AGQ190" s="1"/>
      <c r="AGR190" s="1"/>
      <c r="AGS190" s="1"/>
      <c r="AGT190" s="1"/>
      <c r="AGU190" s="1"/>
      <c r="AGV190" s="1"/>
      <c r="AGW190" s="1"/>
      <c r="AGX190" s="1"/>
      <c r="AGY190" s="1"/>
      <c r="AGZ190" s="1"/>
      <c r="AHA190" s="1"/>
      <c r="AHB190" s="1"/>
      <c r="AHC190" s="1"/>
      <c r="AHD190" s="1"/>
      <c r="AHE190" s="1"/>
      <c r="AHF190" s="1"/>
      <c r="AHG190" s="1"/>
      <c r="AHH190" s="1"/>
      <c r="AHI190" s="1"/>
      <c r="AHJ190" s="1"/>
      <c r="AHK190" s="1"/>
      <c r="AHL190" s="1"/>
      <c r="AHM190" s="1"/>
      <c r="AHN190" s="1"/>
      <c r="AHO190" s="1"/>
      <c r="AHP190" s="1"/>
      <c r="AHQ190" s="1"/>
      <c r="AHR190" s="1"/>
      <c r="AHS190" s="1"/>
      <c r="AHT190" s="1"/>
      <c r="AHU190" s="1"/>
      <c r="AHV190" s="1"/>
      <c r="AHW190" s="1"/>
      <c r="AHX190" s="1"/>
      <c r="AHY190" s="1"/>
      <c r="AHZ190" s="1"/>
      <c r="AIA190" s="1"/>
      <c r="AIB190" s="1"/>
      <c r="AIC190" s="1"/>
      <c r="AID190" s="1"/>
      <c r="AIE190" s="1"/>
      <c r="AIF190" s="1"/>
      <c r="AIG190" s="1"/>
      <c r="AIH190" s="1"/>
      <c r="AII190" s="1"/>
      <c r="AIJ190" s="1"/>
      <c r="AIK190" s="1"/>
      <c r="AIL190" s="1"/>
      <c r="AIM190" s="1"/>
      <c r="AIN190" s="1"/>
      <c r="AIO190" s="1"/>
      <c r="AIP190" s="1"/>
      <c r="AIQ190" s="1"/>
      <c r="AIR190" s="1"/>
      <c r="AIS190" s="1"/>
      <c r="AIT190" s="1"/>
      <c r="AIU190" s="1"/>
      <c r="AIV190" s="1"/>
      <c r="AIW190" s="1"/>
      <c r="AIX190" s="1"/>
      <c r="AIY190" s="1"/>
      <c r="AIZ190" s="1"/>
      <c r="AJA190" s="1"/>
      <c r="AJB190" s="1"/>
      <c r="AJC190" s="1"/>
      <c r="AJD190" s="1"/>
      <c r="AJE190" s="1"/>
      <c r="AJF190" s="1"/>
      <c r="AJG190" s="1"/>
      <c r="AJH190" s="1"/>
      <c r="AJI190" s="1"/>
      <c r="AJJ190" s="1"/>
      <c r="AJK190" s="1"/>
      <c r="AJL190" s="1"/>
      <c r="AJM190" s="1"/>
      <c r="AJN190" s="1"/>
      <c r="AJO190" s="1"/>
      <c r="AJP190" s="1"/>
      <c r="AJQ190" s="1"/>
      <c r="AJR190" s="1"/>
      <c r="AJS190" s="1"/>
      <c r="AJT190" s="1"/>
      <c r="AJU190" s="1"/>
      <c r="AJV190" s="1"/>
      <c r="AJW190" s="1"/>
      <c r="AJX190" s="1"/>
      <c r="AJY190" s="1"/>
      <c r="AJZ190" s="1"/>
      <c r="AKA190" s="1"/>
      <c r="AKB190" s="1"/>
      <c r="AKC190" s="1"/>
      <c r="AKD190" s="1"/>
      <c r="AKE190" s="1"/>
      <c r="AKF190" s="1"/>
      <c r="AKG190" s="1"/>
      <c r="AKH190" s="1"/>
      <c r="AKI190" s="1"/>
      <c r="AKJ190" s="1"/>
      <c r="AKK190" s="1"/>
      <c r="AKL190" s="1"/>
      <c r="AKM190" s="1"/>
      <c r="AKN190" s="1"/>
      <c r="AKO190" s="1"/>
      <c r="AKP190" s="1"/>
      <c r="AKQ190" s="1"/>
      <c r="AKR190" s="1"/>
      <c r="AKS190" s="1"/>
      <c r="AKT190" s="1"/>
      <c r="AKU190" s="1"/>
      <c r="AKV190" s="1"/>
      <c r="AKW190" s="1"/>
      <c r="AKX190" s="1"/>
      <c r="AKY190" s="1"/>
      <c r="AKZ190" s="1"/>
      <c r="ALA190" s="1"/>
      <c r="ALB190" s="1"/>
      <c r="ALC190" s="1"/>
      <c r="ALD190" s="1"/>
      <c r="ALE190" s="1"/>
      <c r="ALF190" s="1"/>
      <c r="ALG190" s="1"/>
      <c r="ALH190" s="1"/>
      <c r="ALI190" s="1"/>
      <c r="ALJ190" s="1"/>
      <c r="ALK190" s="1"/>
      <c r="ALL190" s="1"/>
      <c r="ALM190" s="1"/>
      <c r="ALN190" s="1"/>
      <c r="ALO190" s="1"/>
      <c r="ALP190" s="1"/>
      <c r="ALQ190" s="1"/>
      <c r="ALR190" s="1"/>
      <c r="ALS190" s="1"/>
      <c r="ALT190" s="1"/>
      <c r="ALU190" s="1"/>
      <c r="ALV190" s="1"/>
      <c r="ALW190" s="1"/>
      <c r="ALX190" s="1"/>
      <c r="ALY190" s="1"/>
      <c r="ALZ190" s="1"/>
      <c r="AMA190" s="1"/>
      <c r="AMB190" s="1"/>
      <c r="AMC190" s="1"/>
      <c r="AMD190" s="1"/>
      <c r="AME190" s="1"/>
      <c r="AMF190" s="1"/>
      <c r="AMG190" s="1"/>
      <c r="AMH190" s="1"/>
      <c r="AMI190" s="1"/>
      <c r="AMJ190" s="1"/>
    </row>
    <row r="191" customFormat="false" ht="10.5" hidden="false" customHeight="true" outlineLevel="0" collapsed="false">
      <c r="A191" s="162" t="s">
        <v>324</v>
      </c>
      <c r="B191" s="162"/>
      <c r="C191" s="162"/>
      <c r="D191" s="162"/>
      <c r="E191" s="162"/>
      <c r="F191" s="162"/>
      <c r="G191" s="162"/>
      <c r="H191" s="162"/>
      <c r="I191" s="162"/>
      <c r="J191" s="162"/>
      <c r="K191" s="222" t="n">
        <v>234.56</v>
      </c>
      <c r="L191" s="222"/>
      <c r="M191" s="222"/>
      <c r="N191" s="222"/>
      <c r="O191" s="19" t="n">
        <v>0</v>
      </c>
      <c r="P191" s="19"/>
      <c r="Q191" s="19"/>
      <c r="R191" s="222" t="n">
        <v>21.28</v>
      </c>
      <c r="S191" s="222"/>
      <c r="T191" s="222"/>
      <c r="U191" s="222" t="n">
        <v>234.56</v>
      </c>
      <c r="V191" s="222"/>
      <c r="W191" s="222"/>
      <c r="X191" s="222"/>
      <c r="Y191" s="166" t="s">
        <v>318</v>
      </c>
      <c r="Z191" s="166"/>
      <c r="AA191" s="166"/>
      <c r="AB191" s="166"/>
      <c r="AC191" s="166"/>
      <c r="AD191" s="166"/>
      <c r="AE191" s="166"/>
      <c r="AF191" s="166"/>
      <c r="AG191" s="166"/>
      <c r="AH191" s="166"/>
      <c r="AI191" s="166"/>
      <c r="AJ191" s="57" t="s">
        <v>64</v>
      </c>
      <c r="AK191" s="57"/>
      <c r="AL191" s="57"/>
      <c r="AM191" s="57"/>
      <c r="AN191" s="57"/>
      <c r="AO191" s="57"/>
      <c r="BE191" s="1"/>
      <c r="BF191" s="1"/>
      <c r="BG191" s="1"/>
      <c r="BH191" s="1"/>
      <c r="BI191" s="1"/>
      <c r="BJ191" s="1"/>
      <c r="BK191" s="1"/>
      <c r="BL191" s="1"/>
      <c r="BM191" s="1"/>
      <c r="BN191" s="1"/>
      <c r="BO191" s="1"/>
      <c r="BP191" s="1"/>
      <c r="BQ191" s="1"/>
      <c r="BR191" s="1"/>
      <c r="BS191" s="1"/>
      <c r="BT191" s="1"/>
      <c r="BU191" s="1"/>
      <c r="BV191" s="1"/>
      <c r="BW191" s="1"/>
      <c r="BX191" s="1"/>
      <c r="BY191" s="1"/>
      <c r="BZ191" s="1"/>
      <c r="CA191" s="1"/>
      <c r="CB191" s="1"/>
      <c r="CC191" s="1"/>
      <c r="CD191" s="1"/>
      <c r="CE191" s="1"/>
      <c r="CF191" s="1"/>
      <c r="CG191" s="1"/>
      <c r="CH191" s="1"/>
      <c r="CI191" s="1"/>
      <c r="CJ191" s="1"/>
      <c r="CK191" s="1"/>
      <c r="CL191" s="1"/>
      <c r="CM191" s="1"/>
      <c r="CN191" s="1"/>
      <c r="CO191" s="1"/>
      <c r="CP191" s="1"/>
      <c r="CQ191" s="1"/>
      <c r="CR191" s="1"/>
      <c r="CS191" s="1"/>
      <c r="CT191" s="1"/>
      <c r="CU191" s="1"/>
      <c r="CV191" s="1"/>
      <c r="CW191" s="1"/>
      <c r="CX191" s="1"/>
      <c r="CY191" s="1"/>
      <c r="CZ191" s="1"/>
      <c r="DA191" s="1"/>
      <c r="DB191" s="1"/>
      <c r="DC191" s="1"/>
      <c r="DD191" s="1"/>
      <c r="DE191" s="1"/>
      <c r="DF191" s="1"/>
      <c r="DG191" s="1"/>
      <c r="DH191" s="1"/>
      <c r="DI191" s="1"/>
      <c r="DJ191" s="1"/>
      <c r="DK191" s="1"/>
      <c r="DL191" s="1"/>
      <c r="DM191" s="1"/>
      <c r="DN191" s="1"/>
      <c r="DO191" s="1"/>
      <c r="DP191" s="1"/>
      <c r="DQ191" s="1"/>
      <c r="DR191" s="1"/>
      <c r="DS191" s="1"/>
      <c r="DT191" s="1"/>
      <c r="DU191" s="1"/>
      <c r="DV191" s="1"/>
      <c r="DW191" s="1"/>
      <c r="DX191" s="1"/>
      <c r="DY191" s="1"/>
      <c r="DZ191" s="1"/>
      <c r="EA191" s="1"/>
      <c r="EB191" s="1"/>
      <c r="EC191" s="1"/>
      <c r="ED191" s="1"/>
      <c r="EE191" s="1"/>
      <c r="EF191" s="1"/>
      <c r="EG191" s="1"/>
      <c r="EH191" s="1"/>
      <c r="EI191" s="1"/>
      <c r="EJ191" s="1"/>
      <c r="EK191" s="1"/>
      <c r="EL191" s="1"/>
      <c r="EM191" s="1"/>
      <c r="EN191" s="1"/>
      <c r="EO191" s="1"/>
      <c r="EP191" s="1"/>
      <c r="EQ191" s="1"/>
      <c r="ER191" s="1"/>
      <c r="ES191" s="1"/>
      <c r="ET191" s="1"/>
      <c r="EU191" s="1"/>
      <c r="EV191" s="1"/>
      <c r="EW191" s="1"/>
      <c r="EX191" s="1"/>
      <c r="EY191" s="1"/>
      <c r="EZ191" s="1"/>
      <c r="FA191" s="1"/>
      <c r="FB191" s="1"/>
      <c r="FC191" s="1"/>
      <c r="FD191" s="1"/>
      <c r="FE191" s="1"/>
      <c r="FF191" s="1"/>
      <c r="FG191" s="1"/>
      <c r="FH191" s="1"/>
      <c r="FI191" s="1"/>
      <c r="FJ191" s="1"/>
      <c r="FK191" s="1"/>
      <c r="FL191" s="1"/>
      <c r="FM191" s="1"/>
      <c r="FN191" s="1"/>
      <c r="FO191" s="1"/>
      <c r="FP191" s="1"/>
      <c r="FQ191" s="1"/>
      <c r="FR191" s="1"/>
      <c r="FS191" s="1"/>
      <c r="FT191" s="1"/>
      <c r="FU191" s="1"/>
      <c r="FV191" s="1"/>
      <c r="FW191" s="1"/>
      <c r="FX191" s="1"/>
      <c r="FY191" s="1"/>
      <c r="FZ191" s="1"/>
      <c r="GA191" s="1"/>
      <c r="GB191" s="1"/>
      <c r="GC191" s="1"/>
      <c r="GD191" s="1"/>
      <c r="GE191" s="1"/>
      <c r="GF191" s="1"/>
      <c r="GG191" s="1"/>
      <c r="GH191" s="1"/>
      <c r="GI191" s="1"/>
      <c r="GJ191" s="1"/>
      <c r="GK191" s="1"/>
      <c r="GL191" s="1"/>
      <c r="GM191" s="1"/>
      <c r="GN191" s="1"/>
      <c r="GO191" s="1"/>
      <c r="GP191" s="1"/>
      <c r="GQ191" s="1"/>
      <c r="GR191" s="1"/>
      <c r="GS191" s="1"/>
      <c r="GT191" s="1"/>
      <c r="GU191" s="1"/>
      <c r="GV191" s="1"/>
      <c r="GW191" s="1"/>
      <c r="GX191" s="1"/>
      <c r="GY191" s="1"/>
      <c r="GZ191" s="1"/>
      <c r="HA191" s="1"/>
      <c r="HB191" s="1"/>
      <c r="HC191" s="1"/>
      <c r="HD191" s="1"/>
      <c r="HE191" s="1"/>
      <c r="HF191" s="1"/>
      <c r="HG191" s="1"/>
      <c r="HH191" s="1"/>
      <c r="HI191" s="1"/>
      <c r="HJ191" s="1"/>
      <c r="HK191" s="1"/>
      <c r="HL191" s="1"/>
      <c r="HM191" s="1"/>
      <c r="HN191" s="1"/>
      <c r="HO191" s="1"/>
      <c r="HP191" s="1"/>
      <c r="HQ191" s="1"/>
      <c r="HR191" s="1"/>
      <c r="HS191" s="1"/>
      <c r="HT191" s="1"/>
      <c r="HU191" s="1"/>
      <c r="HV191" s="1"/>
      <c r="HW191" s="1"/>
      <c r="HX191" s="1"/>
      <c r="HY191" s="1"/>
      <c r="HZ191" s="1"/>
      <c r="IA191" s="1"/>
      <c r="IB191" s="1"/>
      <c r="IC191" s="1"/>
      <c r="ID191" s="1"/>
      <c r="IE191" s="1"/>
      <c r="IF191" s="1"/>
      <c r="IG191" s="1"/>
      <c r="IH191" s="1"/>
      <c r="II191" s="1"/>
      <c r="IJ191" s="1"/>
      <c r="IK191" s="1"/>
      <c r="IL191" s="1"/>
      <c r="IM191" s="1"/>
      <c r="IN191" s="1"/>
      <c r="IO191" s="1"/>
      <c r="IP191" s="1"/>
      <c r="IQ191" s="1"/>
      <c r="IR191" s="1"/>
      <c r="IS191" s="1"/>
      <c r="IT191" s="1"/>
      <c r="IU191" s="1"/>
      <c r="IV191" s="1"/>
      <c r="IW191" s="1"/>
      <c r="IX191" s="1"/>
      <c r="IY191" s="1"/>
      <c r="IZ191" s="1"/>
      <c r="JA191" s="1"/>
      <c r="JB191" s="1"/>
      <c r="JC191" s="1"/>
      <c r="JD191" s="1"/>
      <c r="JE191" s="1"/>
      <c r="JF191" s="1"/>
      <c r="JG191" s="1"/>
      <c r="JH191" s="1"/>
      <c r="JI191" s="1"/>
      <c r="JJ191" s="1"/>
      <c r="JK191" s="1"/>
      <c r="JL191" s="1"/>
      <c r="JM191" s="1"/>
      <c r="JN191" s="1"/>
      <c r="JO191" s="1"/>
      <c r="JP191" s="1"/>
      <c r="JQ191" s="1"/>
      <c r="JR191" s="1"/>
      <c r="JS191" s="1"/>
      <c r="JT191" s="1"/>
      <c r="JU191" s="1"/>
      <c r="JV191" s="1"/>
      <c r="JW191" s="1"/>
      <c r="JX191" s="1"/>
      <c r="JY191" s="1"/>
      <c r="JZ191" s="1"/>
      <c r="KA191" s="1"/>
      <c r="KB191" s="1"/>
      <c r="KC191" s="1"/>
      <c r="KD191" s="1"/>
      <c r="KE191" s="1"/>
      <c r="KF191" s="1"/>
      <c r="KG191" s="1"/>
      <c r="KH191" s="1"/>
      <c r="KI191" s="1"/>
      <c r="KJ191" s="1"/>
      <c r="KK191" s="1"/>
      <c r="KL191" s="1"/>
      <c r="KM191" s="1"/>
      <c r="KN191" s="1"/>
      <c r="KO191" s="1"/>
      <c r="KP191" s="1"/>
      <c r="KQ191" s="1"/>
      <c r="KR191" s="1"/>
      <c r="KS191" s="1"/>
      <c r="KT191" s="1"/>
      <c r="KU191" s="1"/>
      <c r="KV191" s="1"/>
      <c r="KW191" s="1"/>
      <c r="KX191" s="1"/>
      <c r="KY191" s="1"/>
      <c r="KZ191" s="1"/>
      <c r="LA191" s="1"/>
      <c r="LB191" s="1"/>
      <c r="LC191" s="1"/>
      <c r="LD191" s="1"/>
      <c r="LE191" s="1"/>
      <c r="LF191" s="1"/>
      <c r="LG191" s="1"/>
      <c r="LH191" s="1"/>
      <c r="LI191" s="1"/>
      <c r="LJ191" s="1"/>
      <c r="LK191" s="1"/>
      <c r="LL191" s="1"/>
      <c r="LM191" s="1"/>
      <c r="LN191" s="1"/>
      <c r="LO191" s="1"/>
      <c r="LP191" s="1"/>
      <c r="LQ191" s="1"/>
      <c r="LR191" s="1"/>
      <c r="LS191" s="1"/>
      <c r="LT191" s="1"/>
      <c r="LU191" s="1"/>
      <c r="LV191" s="1"/>
      <c r="LW191" s="1"/>
      <c r="LX191" s="1"/>
      <c r="LY191" s="1"/>
      <c r="LZ191" s="1"/>
      <c r="MA191" s="1"/>
      <c r="MB191" s="1"/>
      <c r="MC191" s="1"/>
      <c r="MD191" s="1"/>
      <c r="ME191" s="1"/>
      <c r="MF191" s="1"/>
      <c r="MG191" s="1"/>
      <c r="MH191" s="1"/>
      <c r="MI191" s="1"/>
      <c r="MJ191" s="1"/>
      <c r="MK191" s="1"/>
      <c r="ML191" s="1"/>
      <c r="MM191" s="1"/>
      <c r="MN191" s="1"/>
      <c r="MO191" s="1"/>
      <c r="MP191" s="1"/>
      <c r="MQ191" s="1"/>
      <c r="MR191" s="1"/>
      <c r="MS191" s="1"/>
      <c r="MT191" s="1"/>
      <c r="MU191" s="1"/>
      <c r="MV191" s="1"/>
      <c r="MW191" s="1"/>
      <c r="MX191" s="1"/>
      <c r="MY191" s="1"/>
      <c r="MZ191" s="1"/>
      <c r="NA191" s="1"/>
      <c r="NB191" s="1"/>
      <c r="NC191" s="1"/>
      <c r="ND191" s="1"/>
      <c r="NE191" s="1"/>
      <c r="NF191" s="1"/>
      <c r="NG191" s="1"/>
      <c r="NH191" s="1"/>
      <c r="NI191" s="1"/>
      <c r="NJ191" s="1"/>
      <c r="NK191" s="1"/>
      <c r="NL191" s="1"/>
      <c r="NM191" s="1"/>
      <c r="NN191" s="1"/>
      <c r="NO191" s="1"/>
      <c r="NP191" s="1"/>
      <c r="NQ191" s="1"/>
      <c r="NR191" s="1"/>
      <c r="NS191" s="1"/>
      <c r="NT191" s="1"/>
      <c r="NU191" s="1"/>
      <c r="NV191" s="1"/>
      <c r="NW191" s="1"/>
      <c r="NX191" s="1"/>
      <c r="NY191" s="1"/>
      <c r="NZ191" s="1"/>
      <c r="OA191" s="1"/>
      <c r="OB191" s="1"/>
      <c r="OC191" s="1"/>
      <c r="OD191" s="1"/>
      <c r="OE191" s="1"/>
      <c r="OF191" s="1"/>
      <c r="OG191" s="1"/>
      <c r="OH191" s="1"/>
      <c r="OI191" s="1"/>
      <c r="OJ191" s="1"/>
      <c r="OK191" s="1"/>
      <c r="OL191" s="1"/>
      <c r="OM191" s="1"/>
      <c r="ON191" s="1"/>
      <c r="OO191" s="1"/>
      <c r="OP191" s="1"/>
      <c r="OQ191" s="1"/>
      <c r="OR191" s="1"/>
      <c r="OS191" s="1"/>
      <c r="OT191" s="1"/>
      <c r="OU191" s="1"/>
      <c r="OV191" s="1"/>
      <c r="OW191" s="1"/>
      <c r="OX191" s="1"/>
      <c r="OY191" s="1"/>
      <c r="OZ191" s="1"/>
      <c r="PA191" s="1"/>
      <c r="PB191" s="1"/>
      <c r="PC191" s="1"/>
      <c r="PD191" s="1"/>
      <c r="PE191" s="1"/>
      <c r="PF191" s="1"/>
      <c r="PG191" s="1"/>
      <c r="PH191" s="1"/>
      <c r="PI191" s="1"/>
      <c r="PJ191" s="1"/>
      <c r="PK191" s="1"/>
      <c r="PL191" s="1"/>
      <c r="PM191" s="1"/>
      <c r="PN191" s="1"/>
      <c r="PO191" s="1"/>
      <c r="PP191" s="1"/>
      <c r="PQ191" s="1"/>
      <c r="PR191" s="1"/>
      <c r="PS191" s="1"/>
      <c r="PT191" s="1"/>
      <c r="PU191" s="1"/>
      <c r="PV191" s="1"/>
      <c r="PW191" s="1"/>
      <c r="PX191" s="1"/>
      <c r="PY191" s="1"/>
      <c r="PZ191" s="1"/>
      <c r="QA191" s="1"/>
      <c r="QB191" s="1"/>
      <c r="QC191" s="1"/>
      <c r="QD191" s="1"/>
      <c r="QE191" s="1"/>
      <c r="QF191" s="1"/>
      <c r="QG191" s="1"/>
      <c r="QH191" s="1"/>
      <c r="QI191" s="1"/>
      <c r="QJ191" s="1"/>
      <c r="QK191" s="1"/>
      <c r="QL191" s="1"/>
      <c r="QM191" s="1"/>
      <c r="QN191" s="1"/>
      <c r="QO191" s="1"/>
      <c r="QP191" s="1"/>
      <c r="QQ191" s="1"/>
      <c r="QR191" s="1"/>
      <c r="QS191" s="1"/>
      <c r="QT191" s="1"/>
      <c r="QU191" s="1"/>
      <c r="QV191" s="1"/>
      <c r="QW191" s="1"/>
      <c r="QX191" s="1"/>
      <c r="QY191" s="1"/>
      <c r="QZ191" s="1"/>
      <c r="RA191" s="1"/>
      <c r="RB191" s="1"/>
      <c r="RC191" s="1"/>
      <c r="RD191" s="1"/>
      <c r="RE191" s="1"/>
      <c r="RF191" s="1"/>
      <c r="RG191" s="1"/>
      <c r="RH191" s="1"/>
      <c r="RI191" s="1"/>
      <c r="RJ191" s="1"/>
      <c r="RK191" s="1"/>
      <c r="RL191" s="1"/>
      <c r="RM191" s="1"/>
      <c r="RN191" s="1"/>
      <c r="RO191" s="1"/>
      <c r="RP191" s="1"/>
      <c r="RQ191" s="1"/>
      <c r="RR191" s="1"/>
      <c r="RS191" s="1"/>
      <c r="RT191" s="1"/>
      <c r="RU191" s="1"/>
      <c r="RV191" s="1"/>
      <c r="RW191" s="1"/>
      <c r="RX191" s="1"/>
      <c r="RY191" s="1"/>
      <c r="RZ191" s="1"/>
      <c r="SA191" s="1"/>
      <c r="SB191" s="1"/>
      <c r="SC191" s="1"/>
      <c r="SD191" s="1"/>
      <c r="SE191" s="1"/>
      <c r="SF191" s="1"/>
      <c r="SG191" s="1"/>
      <c r="SH191" s="1"/>
      <c r="SI191" s="1"/>
      <c r="SJ191" s="1"/>
      <c r="SK191" s="1"/>
      <c r="SL191" s="1"/>
      <c r="SM191" s="1"/>
      <c r="SN191" s="1"/>
      <c r="SO191" s="1"/>
      <c r="SP191" s="1"/>
      <c r="SQ191" s="1"/>
      <c r="SR191" s="1"/>
      <c r="SS191" s="1"/>
      <c r="ST191" s="1"/>
      <c r="SU191" s="1"/>
      <c r="SV191" s="1"/>
      <c r="SW191" s="1"/>
      <c r="SX191" s="1"/>
      <c r="SY191" s="1"/>
      <c r="SZ191" s="1"/>
      <c r="TA191" s="1"/>
      <c r="TB191" s="1"/>
      <c r="TC191" s="1"/>
      <c r="TD191" s="1"/>
      <c r="TE191" s="1"/>
      <c r="TF191" s="1"/>
      <c r="TG191" s="1"/>
      <c r="TH191" s="1"/>
      <c r="TI191" s="1"/>
      <c r="TJ191" s="1"/>
      <c r="TK191" s="1"/>
      <c r="TL191" s="1"/>
      <c r="TM191" s="1"/>
      <c r="TN191" s="1"/>
      <c r="TO191" s="1"/>
      <c r="TP191" s="1"/>
      <c r="TQ191" s="1"/>
      <c r="TR191" s="1"/>
      <c r="TS191" s="1"/>
      <c r="TT191" s="1"/>
      <c r="TU191" s="1"/>
      <c r="TV191" s="1"/>
      <c r="TW191" s="1"/>
      <c r="TX191" s="1"/>
      <c r="TY191" s="1"/>
      <c r="TZ191" s="1"/>
      <c r="UA191" s="1"/>
      <c r="UB191" s="1"/>
      <c r="UC191" s="1"/>
      <c r="UD191" s="1"/>
      <c r="UE191" s="1"/>
      <c r="UF191" s="1"/>
      <c r="UG191" s="1"/>
      <c r="UH191" s="1"/>
      <c r="UI191" s="1"/>
      <c r="UJ191" s="1"/>
      <c r="UK191" s="1"/>
      <c r="UL191" s="1"/>
      <c r="UM191" s="1"/>
      <c r="UN191" s="1"/>
      <c r="UO191" s="1"/>
      <c r="UP191" s="1"/>
      <c r="UQ191" s="1"/>
      <c r="UR191" s="1"/>
      <c r="US191" s="1"/>
      <c r="UT191" s="1"/>
      <c r="UU191" s="1"/>
      <c r="UV191" s="1"/>
      <c r="UW191" s="1"/>
      <c r="UX191" s="1"/>
      <c r="UY191" s="1"/>
      <c r="UZ191" s="1"/>
      <c r="VA191" s="1"/>
      <c r="VB191" s="1"/>
      <c r="VC191" s="1"/>
      <c r="VD191" s="1"/>
      <c r="VE191" s="1"/>
      <c r="VF191" s="1"/>
      <c r="VG191" s="1"/>
      <c r="VH191" s="1"/>
      <c r="VI191" s="1"/>
      <c r="VJ191" s="1"/>
      <c r="VK191" s="1"/>
      <c r="VL191" s="1"/>
      <c r="VM191" s="1"/>
      <c r="VN191" s="1"/>
      <c r="VO191" s="1"/>
      <c r="VP191" s="1"/>
      <c r="VQ191" s="1"/>
      <c r="VR191" s="1"/>
      <c r="VS191" s="1"/>
      <c r="VT191" s="1"/>
      <c r="VU191" s="1"/>
      <c r="VV191" s="1"/>
      <c r="VW191" s="1"/>
      <c r="VX191" s="1"/>
      <c r="VY191" s="1"/>
      <c r="VZ191" s="1"/>
      <c r="WA191" s="1"/>
      <c r="WB191" s="1"/>
      <c r="WC191" s="1"/>
      <c r="WD191" s="1"/>
      <c r="WE191" s="1"/>
      <c r="WF191" s="1"/>
      <c r="WG191" s="1"/>
      <c r="WH191" s="1"/>
      <c r="WI191" s="1"/>
      <c r="WJ191" s="1"/>
      <c r="WK191" s="1"/>
      <c r="WL191" s="1"/>
      <c r="WM191" s="1"/>
      <c r="WN191" s="1"/>
      <c r="WO191" s="1"/>
      <c r="WP191" s="1"/>
      <c r="WQ191" s="1"/>
      <c r="WR191" s="1"/>
      <c r="WS191" s="1"/>
      <c r="WT191" s="1"/>
      <c r="WU191" s="1"/>
      <c r="WV191" s="1"/>
      <c r="WW191" s="1"/>
      <c r="WX191" s="1"/>
      <c r="WY191" s="1"/>
      <c r="WZ191" s="1"/>
      <c r="XA191" s="1"/>
      <c r="XB191" s="1"/>
      <c r="XC191" s="1"/>
      <c r="XD191" s="1"/>
      <c r="XE191" s="1"/>
      <c r="XF191" s="1"/>
      <c r="XG191" s="1"/>
      <c r="XH191" s="1"/>
      <c r="XI191" s="1"/>
      <c r="XJ191" s="1"/>
      <c r="XK191" s="1"/>
      <c r="XL191" s="1"/>
      <c r="XM191" s="1"/>
      <c r="XN191" s="1"/>
      <c r="XO191" s="1"/>
      <c r="XP191" s="1"/>
      <c r="XQ191" s="1"/>
      <c r="XR191" s="1"/>
      <c r="XS191" s="1"/>
      <c r="XT191" s="1"/>
      <c r="XU191" s="1"/>
      <c r="XV191" s="1"/>
      <c r="XW191" s="1"/>
      <c r="XX191" s="1"/>
      <c r="XY191" s="1"/>
      <c r="XZ191" s="1"/>
      <c r="YA191" s="1"/>
      <c r="YB191" s="1"/>
      <c r="YC191" s="1"/>
      <c r="YD191" s="1"/>
      <c r="YE191" s="1"/>
      <c r="YF191" s="1"/>
      <c r="YG191" s="1"/>
      <c r="YH191" s="1"/>
      <c r="YI191" s="1"/>
      <c r="YJ191" s="1"/>
      <c r="YK191" s="1"/>
      <c r="YL191" s="1"/>
      <c r="YM191" s="1"/>
      <c r="YN191" s="1"/>
      <c r="YO191" s="1"/>
      <c r="YP191" s="1"/>
      <c r="YQ191" s="1"/>
      <c r="YR191" s="1"/>
      <c r="YS191" s="1"/>
      <c r="YT191" s="1"/>
      <c r="YU191" s="1"/>
      <c r="YV191" s="1"/>
      <c r="YW191" s="1"/>
      <c r="YX191" s="1"/>
      <c r="YY191" s="1"/>
      <c r="YZ191" s="1"/>
      <c r="ZA191" s="1"/>
      <c r="ZB191" s="1"/>
      <c r="ZC191" s="1"/>
      <c r="ZD191" s="1"/>
      <c r="ZE191" s="1"/>
      <c r="ZF191" s="1"/>
      <c r="ZG191" s="1"/>
      <c r="ZH191" s="1"/>
      <c r="ZI191" s="1"/>
      <c r="ZJ191" s="1"/>
      <c r="ZK191" s="1"/>
      <c r="ZL191" s="1"/>
      <c r="ZM191" s="1"/>
      <c r="ZN191" s="1"/>
      <c r="ZO191" s="1"/>
      <c r="ZP191" s="1"/>
      <c r="ZQ191" s="1"/>
      <c r="ZR191" s="1"/>
      <c r="ZS191" s="1"/>
      <c r="ZT191" s="1"/>
      <c r="ZU191" s="1"/>
      <c r="ZV191" s="1"/>
      <c r="ZW191" s="1"/>
      <c r="ZX191" s="1"/>
      <c r="ZY191" s="1"/>
      <c r="ZZ191" s="1"/>
      <c r="AAA191" s="1"/>
      <c r="AAB191" s="1"/>
      <c r="AAC191" s="1"/>
      <c r="AAD191" s="1"/>
      <c r="AAE191" s="1"/>
      <c r="AAF191" s="1"/>
      <c r="AAG191" s="1"/>
      <c r="AAH191" s="1"/>
      <c r="AAI191" s="1"/>
      <c r="AAJ191" s="1"/>
      <c r="AAK191" s="1"/>
      <c r="AAL191" s="1"/>
      <c r="AAM191" s="1"/>
      <c r="AAN191" s="1"/>
      <c r="AAO191" s="1"/>
      <c r="AAP191" s="1"/>
      <c r="AAQ191" s="1"/>
      <c r="AAR191" s="1"/>
      <c r="AAS191" s="1"/>
      <c r="AAT191" s="1"/>
      <c r="AAU191" s="1"/>
      <c r="AAV191" s="1"/>
      <c r="AAW191" s="1"/>
      <c r="AAX191" s="1"/>
      <c r="AAY191" s="1"/>
      <c r="AAZ191" s="1"/>
      <c r="ABA191" s="1"/>
      <c r="ABB191" s="1"/>
      <c r="ABC191" s="1"/>
      <c r="ABD191" s="1"/>
      <c r="ABE191" s="1"/>
      <c r="ABF191" s="1"/>
      <c r="ABG191" s="1"/>
      <c r="ABH191" s="1"/>
      <c r="ABI191" s="1"/>
      <c r="ABJ191" s="1"/>
      <c r="ABK191" s="1"/>
      <c r="ABL191" s="1"/>
      <c r="ABM191" s="1"/>
      <c r="ABN191" s="1"/>
      <c r="ABO191" s="1"/>
      <c r="ABP191" s="1"/>
      <c r="ABQ191" s="1"/>
      <c r="ABR191" s="1"/>
      <c r="ABS191" s="1"/>
      <c r="ABT191" s="1"/>
      <c r="ABU191" s="1"/>
      <c r="ABV191" s="1"/>
      <c r="ABW191" s="1"/>
      <c r="ABX191" s="1"/>
      <c r="ABY191" s="1"/>
      <c r="ABZ191" s="1"/>
      <c r="ACA191" s="1"/>
      <c r="ACB191" s="1"/>
      <c r="ACC191" s="1"/>
      <c r="ACD191" s="1"/>
      <c r="ACE191" s="1"/>
      <c r="ACF191" s="1"/>
      <c r="ACG191" s="1"/>
      <c r="ACH191" s="1"/>
      <c r="ACI191" s="1"/>
      <c r="ACJ191" s="1"/>
      <c r="ACK191" s="1"/>
      <c r="ACL191" s="1"/>
      <c r="ACM191" s="1"/>
      <c r="ACN191" s="1"/>
      <c r="ACO191" s="1"/>
      <c r="ACP191" s="1"/>
      <c r="ACQ191" s="1"/>
      <c r="ACR191" s="1"/>
      <c r="ACS191" s="1"/>
      <c r="ACT191" s="1"/>
      <c r="ACU191" s="1"/>
      <c r="ACV191" s="1"/>
      <c r="ACW191" s="1"/>
      <c r="ACX191" s="1"/>
      <c r="ACY191" s="1"/>
      <c r="ACZ191" s="1"/>
      <c r="ADA191" s="1"/>
      <c r="ADB191" s="1"/>
      <c r="ADC191" s="1"/>
      <c r="ADD191" s="1"/>
      <c r="ADE191" s="1"/>
      <c r="ADF191" s="1"/>
      <c r="ADG191" s="1"/>
      <c r="ADH191" s="1"/>
      <c r="ADI191" s="1"/>
      <c r="ADJ191" s="1"/>
      <c r="ADK191" s="1"/>
      <c r="ADL191" s="1"/>
      <c r="ADM191" s="1"/>
      <c r="ADN191" s="1"/>
      <c r="ADO191" s="1"/>
      <c r="ADP191" s="1"/>
      <c r="ADQ191" s="1"/>
      <c r="ADR191" s="1"/>
      <c r="ADS191" s="1"/>
      <c r="ADT191" s="1"/>
      <c r="ADU191" s="1"/>
      <c r="ADV191" s="1"/>
      <c r="ADW191" s="1"/>
      <c r="ADX191" s="1"/>
      <c r="ADY191" s="1"/>
      <c r="ADZ191" s="1"/>
      <c r="AEA191" s="1"/>
      <c r="AEB191" s="1"/>
      <c r="AEC191" s="1"/>
      <c r="AED191" s="1"/>
      <c r="AEE191" s="1"/>
      <c r="AEF191" s="1"/>
      <c r="AEG191" s="1"/>
      <c r="AEH191" s="1"/>
      <c r="AEI191" s="1"/>
      <c r="AEJ191" s="1"/>
      <c r="AEK191" s="1"/>
      <c r="AEL191" s="1"/>
      <c r="AEM191" s="1"/>
      <c r="AEN191" s="1"/>
      <c r="AEO191" s="1"/>
      <c r="AEP191" s="1"/>
      <c r="AEQ191" s="1"/>
      <c r="AER191" s="1"/>
      <c r="AES191" s="1"/>
      <c r="AET191" s="1"/>
      <c r="AEU191" s="1"/>
      <c r="AEV191" s="1"/>
      <c r="AEW191" s="1"/>
      <c r="AEX191" s="1"/>
      <c r="AEY191" s="1"/>
      <c r="AEZ191" s="1"/>
      <c r="AFA191" s="1"/>
      <c r="AFB191" s="1"/>
      <c r="AFC191" s="1"/>
      <c r="AFD191" s="1"/>
      <c r="AFE191" s="1"/>
      <c r="AFF191" s="1"/>
      <c r="AFG191" s="1"/>
      <c r="AFH191" s="1"/>
      <c r="AFI191" s="1"/>
      <c r="AFJ191" s="1"/>
      <c r="AFK191" s="1"/>
      <c r="AFL191" s="1"/>
      <c r="AFM191" s="1"/>
      <c r="AFN191" s="1"/>
      <c r="AFO191" s="1"/>
      <c r="AFP191" s="1"/>
      <c r="AFQ191" s="1"/>
      <c r="AFR191" s="1"/>
      <c r="AFS191" s="1"/>
      <c r="AFT191" s="1"/>
      <c r="AFU191" s="1"/>
      <c r="AFV191" s="1"/>
      <c r="AFW191" s="1"/>
      <c r="AFX191" s="1"/>
      <c r="AFY191" s="1"/>
      <c r="AFZ191" s="1"/>
      <c r="AGA191" s="1"/>
      <c r="AGB191" s="1"/>
      <c r="AGC191" s="1"/>
      <c r="AGD191" s="1"/>
      <c r="AGE191" s="1"/>
      <c r="AGF191" s="1"/>
      <c r="AGG191" s="1"/>
      <c r="AGH191" s="1"/>
      <c r="AGI191" s="1"/>
      <c r="AGJ191" s="1"/>
      <c r="AGK191" s="1"/>
      <c r="AGL191" s="1"/>
      <c r="AGM191" s="1"/>
      <c r="AGN191" s="1"/>
      <c r="AGO191" s="1"/>
      <c r="AGP191" s="1"/>
      <c r="AGQ191" s="1"/>
      <c r="AGR191" s="1"/>
      <c r="AGS191" s="1"/>
      <c r="AGT191" s="1"/>
      <c r="AGU191" s="1"/>
      <c r="AGV191" s="1"/>
      <c r="AGW191" s="1"/>
      <c r="AGX191" s="1"/>
      <c r="AGY191" s="1"/>
      <c r="AGZ191" s="1"/>
      <c r="AHA191" s="1"/>
      <c r="AHB191" s="1"/>
      <c r="AHC191" s="1"/>
      <c r="AHD191" s="1"/>
      <c r="AHE191" s="1"/>
      <c r="AHF191" s="1"/>
      <c r="AHG191" s="1"/>
      <c r="AHH191" s="1"/>
      <c r="AHI191" s="1"/>
      <c r="AHJ191" s="1"/>
      <c r="AHK191" s="1"/>
      <c r="AHL191" s="1"/>
      <c r="AHM191" s="1"/>
      <c r="AHN191" s="1"/>
      <c r="AHO191" s="1"/>
      <c r="AHP191" s="1"/>
      <c r="AHQ191" s="1"/>
      <c r="AHR191" s="1"/>
      <c r="AHS191" s="1"/>
      <c r="AHT191" s="1"/>
      <c r="AHU191" s="1"/>
      <c r="AHV191" s="1"/>
      <c r="AHW191" s="1"/>
      <c r="AHX191" s="1"/>
      <c r="AHY191" s="1"/>
      <c r="AHZ191" s="1"/>
      <c r="AIA191" s="1"/>
      <c r="AIB191" s="1"/>
      <c r="AIC191" s="1"/>
      <c r="AID191" s="1"/>
      <c r="AIE191" s="1"/>
      <c r="AIF191" s="1"/>
      <c r="AIG191" s="1"/>
      <c r="AIH191" s="1"/>
      <c r="AII191" s="1"/>
      <c r="AIJ191" s="1"/>
      <c r="AIK191" s="1"/>
      <c r="AIL191" s="1"/>
      <c r="AIM191" s="1"/>
      <c r="AIN191" s="1"/>
      <c r="AIO191" s="1"/>
      <c r="AIP191" s="1"/>
      <c r="AIQ191" s="1"/>
      <c r="AIR191" s="1"/>
      <c r="AIS191" s="1"/>
      <c r="AIT191" s="1"/>
      <c r="AIU191" s="1"/>
      <c r="AIV191" s="1"/>
      <c r="AIW191" s="1"/>
      <c r="AIX191" s="1"/>
      <c r="AIY191" s="1"/>
      <c r="AIZ191" s="1"/>
      <c r="AJA191" s="1"/>
      <c r="AJB191" s="1"/>
      <c r="AJC191" s="1"/>
      <c r="AJD191" s="1"/>
      <c r="AJE191" s="1"/>
      <c r="AJF191" s="1"/>
      <c r="AJG191" s="1"/>
      <c r="AJH191" s="1"/>
      <c r="AJI191" s="1"/>
      <c r="AJJ191" s="1"/>
      <c r="AJK191" s="1"/>
      <c r="AJL191" s="1"/>
      <c r="AJM191" s="1"/>
      <c r="AJN191" s="1"/>
      <c r="AJO191" s="1"/>
      <c r="AJP191" s="1"/>
      <c r="AJQ191" s="1"/>
      <c r="AJR191" s="1"/>
      <c r="AJS191" s="1"/>
      <c r="AJT191" s="1"/>
      <c r="AJU191" s="1"/>
      <c r="AJV191" s="1"/>
      <c r="AJW191" s="1"/>
      <c r="AJX191" s="1"/>
      <c r="AJY191" s="1"/>
      <c r="AJZ191" s="1"/>
      <c r="AKA191" s="1"/>
      <c r="AKB191" s="1"/>
      <c r="AKC191" s="1"/>
      <c r="AKD191" s="1"/>
      <c r="AKE191" s="1"/>
      <c r="AKF191" s="1"/>
      <c r="AKG191" s="1"/>
      <c r="AKH191" s="1"/>
      <c r="AKI191" s="1"/>
      <c r="AKJ191" s="1"/>
      <c r="AKK191" s="1"/>
      <c r="AKL191" s="1"/>
      <c r="AKM191" s="1"/>
      <c r="AKN191" s="1"/>
      <c r="AKO191" s="1"/>
      <c r="AKP191" s="1"/>
      <c r="AKQ191" s="1"/>
      <c r="AKR191" s="1"/>
      <c r="AKS191" s="1"/>
      <c r="AKT191" s="1"/>
      <c r="AKU191" s="1"/>
      <c r="AKV191" s="1"/>
      <c r="AKW191" s="1"/>
      <c r="AKX191" s="1"/>
      <c r="AKY191" s="1"/>
      <c r="AKZ191" s="1"/>
      <c r="ALA191" s="1"/>
      <c r="ALB191" s="1"/>
      <c r="ALC191" s="1"/>
      <c r="ALD191" s="1"/>
      <c r="ALE191" s="1"/>
      <c r="ALF191" s="1"/>
      <c r="ALG191" s="1"/>
      <c r="ALH191" s="1"/>
      <c r="ALI191" s="1"/>
      <c r="ALJ191" s="1"/>
      <c r="ALK191" s="1"/>
      <c r="ALL191" s="1"/>
      <c r="ALM191" s="1"/>
      <c r="ALN191" s="1"/>
      <c r="ALO191" s="1"/>
      <c r="ALP191" s="1"/>
      <c r="ALQ191" s="1"/>
      <c r="ALR191" s="1"/>
      <c r="ALS191" s="1"/>
      <c r="ALT191" s="1"/>
      <c r="ALU191" s="1"/>
      <c r="ALV191" s="1"/>
      <c r="ALW191" s="1"/>
      <c r="ALX191" s="1"/>
      <c r="ALY191" s="1"/>
      <c r="ALZ191" s="1"/>
      <c r="AMA191" s="1"/>
      <c r="AMB191" s="1"/>
      <c r="AMC191" s="1"/>
      <c r="AMD191" s="1"/>
      <c r="AME191" s="1"/>
      <c r="AMF191" s="1"/>
      <c r="AMG191" s="1"/>
      <c r="AMH191" s="1"/>
      <c r="AMI191" s="1"/>
      <c r="AMJ191" s="1"/>
    </row>
    <row r="192" customFormat="false" ht="10.5" hidden="false" customHeight="true" outlineLevel="0" collapsed="false">
      <c r="A192" s="236" t="s">
        <v>319</v>
      </c>
      <c r="B192" s="236"/>
      <c r="C192" s="236"/>
      <c r="D192" s="236"/>
      <c r="E192" s="236"/>
      <c r="F192" s="236"/>
      <c r="G192" s="236"/>
      <c r="H192" s="236"/>
      <c r="I192" s="236"/>
      <c r="J192" s="236"/>
      <c r="K192" s="237" t="n">
        <v>9700</v>
      </c>
      <c r="L192" s="237"/>
      <c r="M192" s="237"/>
      <c r="N192" s="237"/>
      <c r="O192" s="67" t="s">
        <v>307</v>
      </c>
      <c r="P192" s="67"/>
      <c r="Q192" s="67"/>
      <c r="R192" s="237" t="n">
        <v>482.13</v>
      </c>
      <c r="S192" s="237"/>
      <c r="T192" s="237"/>
      <c r="U192" s="237" t="n">
        <v>7673.79</v>
      </c>
      <c r="V192" s="237"/>
      <c r="W192" s="237"/>
      <c r="X192" s="237"/>
      <c r="Y192" s="166" t="s">
        <v>318</v>
      </c>
      <c r="Z192" s="166"/>
      <c r="AA192" s="166"/>
      <c r="AB192" s="166"/>
      <c r="AC192" s="166"/>
      <c r="AD192" s="166"/>
      <c r="AE192" s="166"/>
      <c r="AF192" s="166"/>
      <c r="AG192" s="166"/>
      <c r="AH192" s="166"/>
      <c r="AI192" s="166"/>
      <c r="AJ192" s="65" t="s">
        <v>64</v>
      </c>
      <c r="AK192" s="65"/>
      <c r="AL192" s="65"/>
      <c r="AM192" s="65"/>
      <c r="AN192" s="65"/>
      <c r="AO192" s="65"/>
      <c r="BE192" s="1"/>
      <c r="BF192" s="1"/>
      <c r="BG192" s="1"/>
      <c r="BH192" s="1"/>
      <c r="BI192" s="1"/>
      <c r="BJ192" s="1"/>
      <c r="BK192" s="1"/>
      <c r="BL192" s="1"/>
      <c r="BM192" s="1"/>
      <c r="BN192" s="1"/>
      <c r="BO192" s="1"/>
      <c r="BP192" s="1"/>
      <c r="BQ192" s="1"/>
      <c r="BR192" s="1"/>
      <c r="BS192" s="1"/>
      <c r="BT192" s="1"/>
      <c r="BU192" s="1"/>
      <c r="BV192" s="1"/>
      <c r="BW192" s="1"/>
      <c r="BX192" s="1"/>
      <c r="BY192" s="1"/>
      <c r="BZ192" s="1"/>
      <c r="CA192" s="1"/>
      <c r="CB192" s="1"/>
      <c r="CC192" s="1"/>
      <c r="CD192" s="1"/>
      <c r="CE192" s="1"/>
      <c r="CF192" s="1"/>
      <c r="CG192" s="1"/>
      <c r="CH192" s="1"/>
      <c r="CI192" s="1"/>
      <c r="CJ192" s="1"/>
      <c r="CK192" s="1"/>
      <c r="CL192" s="1"/>
      <c r="CM192" s="1"/>
      <c r="CN192" s="1"/>
      <c r="CO192" s="1"/>
      <c r="CP192" s="1"/>
      <c r="CQ192" s="1"/>
      <c r="CR192" s="1"/>
      <c r="CS192" s="1"/>
      <c r="CT192" s="1"/>
      <c r="CU192" s="1"/>
      <c r="CV192" s="1"/>
      <c r="CW192" s="1"/>
      <c r="CX192" s="1"/>
      <c r="CY192" s="1"/>
      <c r="CZ192" s="1"/>
      <c r="DA192" s="1"/>
      <c r="DB192" s="1"/>
      <c r="DC192" s="1"/>
      <c r="DD192" s="1"/>
      <c r="DE192" s="1"/>
      <c r="DF192" s="1"/>
      <c r="DG192" s="1"/>
      <c r="DH192" s="1"/>
      <c r="DI192" s="1"/>
      <c r="DJ192" s="1"/>
      <c r="DK192" s="1"/>
      <c r="DL192" s="1"/>
      <c r="DM192" s="1"/>
      <c r="DN192" s="1"/>
      <c r="DO192" s="1"/>
      <c r="DP192" s="1"/>
      <c r="DQ192" s="1"/>
      <c r="DR192" s="1"/>
      <c r="DS192" s="1"/>
      <c r="DT192" s="1"/>
      <c r="DU192" s="1"/>
      <c r="DV192" s="1"/>
      <c r="DW192" s="1"/>
      <c r="DX192" s="1"/>
      <c r="DY192" s="1"/>
      <c r="DZ192" s="1"/>
      <c r="EA192" s="1"/>
      <c r="EB192" s="1"/>
      <c r="EC192" s="1"/>
      <c r="ED192" s="1"/>
      <c r="EE192" s="1"/>
      <c r="EF192" s="1"/>
      <c r="EG192" s="1"/>
      <c r="EH192" s="1"/>
      <c r="EI192" s="1"/>
      <c r="EJ192" s="1"/>
      <c r="EK192" s="1"/>
      <c r="EL192" s="1"/>
      <c r="EM192" s="1"/>
      <c r="EN192" s="1"/>
      <c r="EO192" s="1"/>
      <c r="EP192" s="1"/>
      <c r="EQ192" s="1"/>
      <c r="ER192" s="1"/>
      <c r="ES192" s="1"/>
      <c r="ET192" s="1"/>
      <c r="EU192" s="1"/>
      <c r="EV192" s="1"/>
      <c r="EW192" s="1"/>
      <c r="EX192" s="1"/>
      <c r="EY192" s="1"/>
      <c r="EZ192" s="1"/>
      <c r="FA192" s="1"/>
      <c r="FB192" s="1"/>
      <c r="FC192" s="1"/>
      <c r="FD192" s="1"/>
      <c r="FE192" s="1"/>
      <c r="FF192" s="1"/>
      <c r="FG192" s="1"/>
      <c r="FH192" s="1"/>
      <c r="FI192" s="1"/>
      <c r="FJ192" s="1"/>
      <c r="FK192" s="1"/>
      <c r="FL192" s="1"/>
      <c r="FM192" s="1"/>
      <c r="FN192" s="1"/>
      <c r="FO192" s="1"/>
      <c r="FP192" s="1"/>
      <c r="FQ192" s="1"/>
      <c r="FR192" s="1"/>
      <c r="FS192" s="1"/>
      <c r="FT192" s="1"/>
      <c r="FU192" s="1"/>
      <c r="FV192" s="1"/>
      <c r="FW192" s="1"/>
      <c r="FX192" s="1"/>
      <c r="FY192" s="1"/>
      <c r="FZ192" s="1"/>
      <c r="GA192" s="1"/>
      <c r="GB192" s="1"/>
      <c r="GC192" s="1"/>
      <c r="GD192" s="1"/>
      <c r="GE192" s="1"/>
      <c r="GF192" s="1"/>
      <c r="GG192" s="1"/>
      <c r="GH192" s="1"/>
      <c r="GI192" s="1"/>
      <c r="GJ192" s="1"/>
      <c r="GK192" s="1"/>
      <c r="GL192" s="1"/>
      <c r="GM192" s="1"/>
      <c r="GN192" s="1"/>
      <c r="GO192" s="1"/>
      <c r="GP192" s="1"/>
      <c r="GQ192" s="1"/>
      <c r="GR192" s="1"/>
      <c r="GS192" s="1"/>
      <c r="GT192" s="1"/>
      <c r="GU192" s="1"/>
      <c r="GV192" s="1"/>
      <c r="GW192" s="1"/>
      <c r="GX192" s="1"/>
      <c r="GY192" s="1"/>
      <c r="GZ192" s="1"/>
      <c r="HA192" s="1"/>
      <c r="HB192" s="1"/>
      <c r="HC192" s="1"/>
      <c r="HD192" s="1"/>
      <c r="HE192" s="1"/>
      <c r="HF192" s="1"/>
      <c r="HG192" s="1"/>
      <c r="HH192" s="1"/>
      <c r="HI192" s="1"/>
      <c r="HJ192" s="1"/>
      <c r="HK192" s="1"/>
      <c r="HL192" s="1"/>
      <c r="HM192" s="1"/>
      <c r="HN192" s="1"/>
      <c r="HO192" s="1"/>
      <c r="HP192" s="1"/>
      <c r="HQ192" s="1"/>
      <c r="HR192" s="1"/>
      <c r="HS192" s="1"/>
      <c r="HT192" s="1"/>
      <c r="HU192" s="1"/>
      <c r="HV192" s="1"/>
      <c r="HW192" s="1"/>
      <c r="HX192" s="1"/>
      <c r="HY192" s="1"/>
      <c r="HZ192" s="1"/>
      <c r="IA192" s="1"/>
      <c r="IB192" s="1"/>
      <c r="IC192" s="1"/>
      <c r="ID192" s="1"/>
      <c r="IE192" s="1"/>
      <c r="IF192" s="1"/>
      <c r="IG192" s="1"/>
      <c r="IH192" s="1"/>
      <c r="II192" s="1"/>
      <c r="IJ192" s="1"/>
      <c r="IK192" s="1"/>
      <c r="IL192" s="1"/>
      <c r="IM192" s="1"/>
      <c r="IN192" s="1"/>
      <c r="IO192" s="1"/>
      <c r="IP192" s="1"/>
      <c r="IQ192" s="1"/>
      <c r="IR192" s="1"/>
      <c r="IS192" s="1"/>
      <c r="IT192" s="1"/>
      <c r="IU192" s="1"/>
      <c r="IV192" s="1"/>
      <c r="IW192" s="1"/>
      <c r="IX192" s="1"/>
      <c r="IY192" s="1"/>
      <c r="IZ192" s="1"/>
      <c r="JA192" s="1"/>
      <c r="JB192" s="1"/>
      <c r="JC192" s="1"/>
      <c r="JD192" s="1"/>
      <c r="JE192" s="1"/>
      <c r="JF192" s="1"/>
      <c r="JG192" s="1"/>
      <c r="JH192" s="1"/>
      <c r="JI192" s="1"/>
      <c r="JJ192" s="1"/>
      <c r="JK192" s="1"/>
      <c r="JL192" s="1"/>
      <c r="JM192" s="1"/>
      <c r="JN192" s="1"/>
      <c r="JO192" s="1"/>
      <c r="JP192" s="1"/>
      <c r="JQ192" s="1"/>
      <c r="JR192" s="1"/>
      <c r="JS192" s="1"/>
      <c r="JT192" s="1"/>
      <c r="JU192" s="1"/>
      <c r="JV192" s="1"/>
      <c r="JW192" s="1"/>
      <c r="JX192" s="1"/>
      <c r="JY192" s="1"/>
      <c r="JZ192" s="1"/>
      <c r="KA192" s="1"/>
      <c r="KB192" s="1"/>
      <c r="KC192" s="1"/>
      <c r="KD192" s="1"/>
      <c r="KE192" s="1"/>
      <c r="KF192" s="1"/>
      <c r="KG192" s="1"/>
      <c r="KH192" s="1"/>
      <c r="KI192" s="1"/>
      <c r="KJ192" s="1"/>
      <c r="KK192" s="1"/>
      <c r="KL192" s="1"/>
      <c r="KM192" s="1"/>
      <c r="KN192" s="1"/>
      <c r="KO192" s="1"/>
      <c r="KP192" s="1"/>
      <c r="KQ192" s="1"/>
      <c r="KR192" s="1"/>
      <c r="KS192" s="1"/>
      <c r="KT192" s="1"/>
      <c r="KU192" s="1"/>
      <c r="KV192" s="1"/>
      <c r="KW192" s="1"/>
      <c r="KX192" s="1"/>
      <c r="KY192" s="1"/>
      <c r="KZ192" s="1"/>
      <c r="LA192" s="1"/>
      <c r="LB192" s="1"/>
      <c r="LC192" s="1"/>
      <c r="LD192" s="1"/>
      <c r="LE192" s="1"/>
      <c r="LF192" s="1"/>
      <c r="LG192" s="1"/>
      <c r="LH192" s="1"/>
      <c r="LI192" s="1"/>
      <c r="LJ192" s="1"/>
      <c r="LK192" s="1"/>
      <c r="LL192" s="1"/>
      <c r="LM192" s="1"/>
      <c r="LN192" s="1"/>
      <c r="LO192" s="1"/>
      <c r="LP192" s="1"/>
      <c r="LQ192" s="1"/>
      <c r="LR192" s="1"/>
      <c r="LS192" s="1"/>
      <c r="LT192" s="1"/>
      <c r="LU192" s="1"/>
      <c r="LV192" s="1"/>
      <c r="LW192" s="1"/>
      <c r="LX192" s="1"/>
      <c r="LY192" s="1"/>
      <c r="LZ192" s="1"/>
      <c r="MA192" s="1"/>
      <c r="MB192" s="1"/>
      <c r="MC192" s="1"/>
      <c r="MD192" s="1"/>
      <c r="ME192" s="1"/>
      <c r="MF192" s="1"/>
      <c r="MG192" s="1"/>
      <c r="MH192" s="1"/>
      <c r="MI192" s="1"/>
      <c r="MJ192" s="1"/>
      <c r="MK192" s="1"/>
      <c r="ML192" s="1"/>
      <c r="MM192" s="1"/>
      <c r="MN192" s="1"/>
      <c r="MO192" s="1"/>
      <c r="MP192" s="1"/>
      <c r="MQ192" s="1"/>
      <c r="MR192" s="1"/>
      <c r="MS192" s="1"/>
      <c r="MT192" s="1"/>
      <c r="MU192" s="1"/>
      <c r="MV192" s="1"/>
      <c r="MW192" s="1"/>
      <c r="MX192" s="1"/>
      <c r="MY192" s="1"/>
      <c r="MZ192" s="1"/>
      <c r="NA192" s="1"/>
      <c r="NB192" s="1"/>
      <c r="NC192" s="1"/>
      <c r="ND192" s="1"/>
      <c r="NE192" s="1"/>
      <c r="NF192" s="1"/>
      <c r="NG192" s="1"/>
      <c r="NH192" s="1"/>
      <c r="NI192" s="1"/>
      <c r="NJ192" s="1"/>
      <c r="NK192" s="1"/>
      <c r="NL192" s="1"/>
      <c r="NM192" s="1"/>
      <c r="NN192" s="1"/>
      <c r="NO192" s="1"/>
      <c r="NP192" s="1"/>
      <c r="NQ192" s="1"/>
      <c r="NR192" s="1"/>
      <c r="NS192" s="1"/>
      <c r="NT192" s="1"/>
      <c r="NU192" s="1"/>
      <c r="NV192" s="1"/>
      <c r="NW192" s="1"/>
      <c r="NX192" s="1"/>
      <c r="NY192" s="1"/>
      <c r="NZ192" s="1"/>
      <c r="OA192" s="1"/>
      <c r="OB192" s="1"/>
      <c r="OC192" s="1"/>
      <c r="OD192" s="1"/>
      <c r="OE192" s="1"/>
      <c r="OF192" s="1"/>
      <c r="OG192" s="1"/>
      <c r="OH192" s="1"/>
      <c r="OI192" s="1"/>
      <c r="OJ192" s="1"/>
      <c r="OK192" s="1"/>
      <c r="OL192" s="1"/>
      <c r="OM192" s="1"/>
      <c r="ON192" s="1"/>
      <c r="OO192" s="1"/>
      <c r="OP192" s="1"/>
      <c r="OQ192" s="1"/>
      <c r="OR192" s="1"/>
      <c r="OS192" s="1"/>
      <c r="OT192" s="1"/>
      <c r="OU192" s="1"/>
      <c r="OV192" s="1"/>
      <c r="OW192" s="1"/>
      <c r="OX192" s="1"/>
      <c r="OY192" s="1"/>
      <c r="OZ192" s="1"/>
      <c r="PA192" s="1"/>
      <c r="PB192" s="1"/>
      <c r="PC192" s="1"/>
      <c r="PD192" s="1"/>
      <c r="PE192" s="1"/>
      <c r="PF192" s="1"/>
      <c r="PG192" s="1"/>
      <c r="PH192" s="1"/>
      <c r="PI192" s="1"/>
      <c r="PJ192" s="1"/>
      <c r="PK192" s="1"/>
      <c r="PL192" s="1"/>
      <c r="PM192" s="1"/>
      <c r="PN192" s="1"/>
      <c r="PO192" s="1"/>
      <c r="PP192" s="1"/>
      <c r="PQ192" s="1"/>
      <c r="PR192" s="1"/>
      <c r="PS192" s="1"/>
      <c r="PT192" s="1"/>
      <c r="PU192" s="1"/>
      <c r="PV192" s="1"/>
      <c r="PW192" s="1"/>
      <c r="PX192" s="1"/>
      <c r="PY192" s="1"/>
      <c r="PZ192" s="1"/>
      <c r="QA192" s="1"/>
      <c r="QB192" s="1"/>
      <c r="QC192" s="1"/>
      <c r="QD192" s="1"/>
      <c r="QE192" s="1"/>
      <c r="QF192" s="1"/>
      <c r="QG192" s="1"/>
      <c r="QH192" s="1"/>
      <c r="QI192" s="1"/>
      <c r="QJ192" s="1"/>
      <c r="QK192" s="1"/>
      <c r="QL192" s="1"/>
      <c r="QM192" s="1"/>
      <c r="QN192" s="1"/>
      <c r="QO192" s="1"/>
      <c r="QP192" s="1"/>
      <c r="QQ192" s="1"/>
      <c r="QR192" s="1"/>
      <c r="QS192" s="1"/>
      <c r="QT192" s="1"/>
      <c r="QU192" s="1"/>
      <c r="QV192" s="1"/>
      <c r="QW192" s="1"/>
      <c r="QX192" s="1"/>
      <c r="QY192" s="1"/>
      <c r="QZ192" s="1"/>
      <c r="RA192" s="1"/>
      <c r="RB192" s="1"/>
      <c r="RC192" s="1"/>
      <c r="RD192" s="1"/>
      <c r="RE192" s="1"/>
      <c r="RF192" s="1"/>
      <c r="RG192" s="1"/>
      <c r="RH192" s="1"/>
      <c r="RI192" s="1"/>
      <c r="RJ192" s="1"/>
      <c r="RK192" s="1"/>
      <c r="RL192" s="1"/>
      <c r="RM192" s="1"/>
      <c r="RN192" s="1"/>
      <c r="RO192" s="1"/>
      <c r="RP192" s="1"/>
      <c r="RQ192" s="1"/>
      <c r="RR192" s="1"/>
      <c r="RS192" s="1"/>
      <c r="RT192" s="1"/>
      <c r="RU192" s="1"/>
      <c r="RV192" s="1"/>
      <c r="RW192" s="1"/>
      <c r="RX192" s="1"/>
      <c r="RY192" s="1"/>
      <c r="RZ192" s="1"/>
      <c r="SA192" s="1"/>
      <c r="SB192" s="1"/>
      <c r="SC192" s="1"/>
      <c r="SD192" s="1"/>
      <c r="SE192" s="1"/>
      <c r="SF192" s="1"/>
      <c r="SG192" s="1"/>
      <c r="SH192" s="1"/>
      <c r="SI192" s="1"/>
      <c r="SJ192" s="1"/>
      <c r="SK192" s="1"/>
      <c r="SL192" s="1"/>
      <c r="SM192" s="1"/>
      <c r="SN192" s="1"/>
      <c r="SO192" s="1"/>
      <c r="SP192" s="1"/>
      <c r="SQ192" s="1"/>
      <c r="SR192" s="1"/>
      <c r="SS192" s="1"/>
      <c r="ST192" s="1"/>
      <c r="SU192" s="1"/>
      <c r="SV192" s="1"/>
      <c r="SW192" s="1"/>
      <c r="SX192" s="1"/>
      <c r="SY192" s="1"/>
      <c r="SZ192" s="1"/>
      <c r="TA192" s="1"/>
      <c r="TB192" s="1"/>
      <c r="TC192" s="1"/>
      <c r="TD192" s="1"/>
      <c r="TE192" s="1"/>
      <c r="TF192" s="1"/>
      <c r="TG192" s="1"/>
      <c r="TH192" s="1"/>
      <c r="TI192" s="1"/>
      <c r="TJ192" s="1"/>
      <c r="TK192" s="1"/>
      <c r="TL192" s="1"/>
      <c r="TM192" s="1"/>
      <c r="TN192" s="1"/>
      <c r="TO192" s="1"/>
      <c r="TP192" s="1"/>
      <c r="TQ192" s="1"/>
      <c r="TR192" s="1"/>
      <c r="TS192" s="1"/>
      <c r="TT192" s="1"/>
      <c r="TU192" s="1"/>
      <c r="TV192" s="1"/>
      <c r="TW192" s="1"/>
      <c r="TX192" s="1"/>
      <c r="TY192" s="1"/>
      <c r="TZ192" s="1"/>
      <c r="UA192" s="1"/>
      <c r="UB192" s="1"/>
      <c r="UC192" s="1"/>
      <c r="UD192" s="1"/>
      <c r="UE192" s="1"/>
      <c r="UF192" s="1"/>
      <c r="UG192" s="1"/>
      <c r="UH192" s="1"/>
      <c r="UI192" s="1"/>
      <c r="UJ192" s="1"/>
      <c r="UK192" s="1"/>
      <c r="UL192" s="1"/>
      <c r="UM192" s="1"/>
      <c r="UN192" s="1"/>
      <c r="UO192" s="1"/>
      <c r="UP192" s="1"/>
      <c r="UQ192" s="1"/>
      <c r="UR192" s="1"/>
      <c r="US192" s="1"/>
      <c r="UT192" s="1"/>
      <c r="UU192" s="1"/>
      <c r="UV192" s="1"/>
      <c r="UW192" s="1"/>
      <c r="UX192" s="1"/>
      <c r="UY192" s="1"/>
      <c r="UZ192" s="1"/>
      <c r="VA192" s="1"/>
      <c r="VB192" s="1"/>
      <c r="VC192" s="1"/>
      <c r="VD192" s="1"/>
      <c r="VE192" s="1"/>
      <c r="VF192" s="1"/>
      <c r="VG192" s="1"/>
      <c r="VH192" s="1"/>
      <c r="VI192" s="1"/>
      <c r="VJ192" s="1"/>
      <c r="VK192" s="1"/>
      <c r="VL192" s="1"/>
      <c r="VM192" s="1"/>
      <c r="VN192" s="1"/>
      <c r="VO192" s="1"/>
      <c r="VP192" s="1"/>
      <c r="VQ192" s="1"/>
      <c r="VR192" s="1"/>
      <c r="VS192" s="1"/>
      <c r="VT192" s="1"/>
      <c r="VU192" s="1"/>
      <c r="VV192" s="1"/>
      <c r="VW192" s="1"/>
      <c r="VX192" s="1"/>
      <c r="VY192" s="1"/>
      <c r="VZ192" s="1"/>
      <c r="WA192" s="1"/>
      <c r="WB192" s="1"/>
      <c r="WC192" s="1"/>
      <c r="WD192" s="1"/>
      <c r="WE192" s="1"/>
      <c r="WF192" s="1"/>
      <c r="WG192" s="1"/>
      <c r="WH192" s="1"/>
      <c r="WI192" s="1"/>
      <c r="WJ192" s="1"/>
      <c r="WK192" s="1"/>
      <c r="WL192" s="1"/>
      <c r="WM192" s="1"/>
      <c r="WN192" s="1"/>
      <c r="WO192" s="1"/>
      <c r="WP192" s="1"/>
      <c r="WQ192" s="1"/>
      <c r="WR192" s="1"/>
      <c r="WS192" s="1"/>
      <c r="WT192" s="1"/>
      <c r="WU192" s="1"/>
      <c r="WV192" s="1"/>
      <c r="WW192" s="1"/>
      <c r="WX192" s="1"/>
      <c r="WY192" s="1"/>
      <c r="WZ192" s="1"/>
      <c r="XA192" s="1"/>
      <c r="XB192" s="1"/>
      <c r="XC192" s="1"/>
      <c r="XD192" s="1"/>
      <c r="XE192" s="1"/>
      <c r="XF192" s="1"/>
      <c r="XG192" s="1"/>
      <c r="XH192" s="1"/>
      <c r="XI192" s="1"/>
      <c r="XJ192" s="1"/>
      <c r="XK192" s="1"/>
      <c r="XL192" s="1"/>
      <c r="XM192" s="1"/>
      <c r="XN192" s="1"/>
      <c r="XO192" s="1"/>
      <c r="XP192" s="1"/>
      <c r="XQ192" s="1"/>
      <c r="XR192" s="1"/>
      <c r="XS192" s="1"/>
      <c r="XT192" s="1"/>
      <c r="XU192" s="1"/>
      <c r="XV192" s="1"/>
      <c r="XW192" s="1"/>
      <c r="XX192" s="1"/>
      <c r="XY192" s="1"/>
      <c r="XZ192" s="1"/>
      <c r="YA192" s="1"/>
      <c r="YB192" s="1"/>
      <c r="YC192" s="1"/>
      <c r="YD192" s="1"/>
      <c r="YE192" s="1"/>
      <c r="YF192" s="1"/>
      <c r="YG192" s="1"/>
      <c r="YH192" s="1"/>
      <c r="YI192" s="1"/>
      <c r="YJ192" s="1"/>
      <c r="YK192" s="1"/>
      <c r="YL192" s="1"/>
      <c r="YM192" s="1"/>
      <c r="YN192" s="1"/>
      <c r="YO192" s="1"/>
      <c r="YP192" s="1"/>
      <c r="YQ192" s="1"/>
      <c r="YR192" s="1"/>
      <c r="YS192" s="1"/>
      <c r="YT192" s="1"/>
      <c r="YU192" s="1"/>
      <c r="YV192" s="1"/>
      <c r="YW192" s="1"/>
      <c r="YX192" s="1"/>
      <c r="YY192" s="1"/>
      <c r="YZ192" s="1"/>
      <c r="ZA192" s="1"/>
      <c r="ZB192" s="1"/>
      <c r="ZC192" s="1"/>
      <c r="ZD192" s="1"/>
      <c r="ZE192" s="1"/>
      <c r="ZF192" s="1"/>
      <c r="ZG192" s="1"/>
      <c r="ZH192" s="1"/>
      <c r="ZI192" s="1"/>
      <c r="ZJ192" s="1"/>
      <c r="ZK192" s="1"/>
      <c r="ZL192" s="1"/>
      <c r="ZM192" s="1"/>
      <c r="ZN192" s="1"/>
      <c r="ZO192" s="1"/>
      <c r="ZP192" s="1"/>
      <c r="ZQ192" s="1"/>
      <c r="ZR192" s="1"/>
      <c r="ZS192" s="1"/>
      <c r="ZT192" s="1"/>
      <c r="ZU192" s="1"/>
      <c r="ZV192" s="1"/>
      <c r="ZW192" s="1"/>
      <c r="ZX192" s="1"/>
      <c r="ZY192" s="1"/>
      <c r="ZZ192" s="1"/>
      <c r="AAA192" s="1"/>
      <c r="AAB192" s="1"/>
      <c r="AAC192" s="1"/>
      <c r="AAD192" s="1"/>
      <c r="AAE192" s="1"/>
      <c r="AAF192" s="1"/>
      <c r="AAG192" s="1"/>
      <c r="AAH192" s="1"/>
      <c r="AAI192" s="1"/>
      <c r="AAJ192" s="1"/>
      <c r="AAK192" s="1"/>
      <c r="AAL192" s="1"/>
      <c r="AAM192" s="1"/>
      <c r="AAN192" s="1"/>
      <c r="AAO192" s="1"/>
      <c r="AAP192" s="1"/>
      <c r="AAQ192" s="1"/>
      <c r="AAR192" s="1"/>
      <c r="AAS192" s="1"/>
      <c r="AAT192" s="1"/>
      <c r="AAU192" s="1"/>
      <c r="AAV192" s="1"/>
      <c r="AAW192" s="1"/>
      <c r="AAX192" s="1"/>
      <c r="AAY192" s="1"/>
      <c r="AAZ192" s="1"/>
      <c r="ABA192" s="1"/>
      <c r="ABB192" s="1"/>
      <c r="ABC192" s="1"/>
      <c r="ABD192" s="1"/>
      <c r="ABE192" s="1"/>
      <c r="ABF192" s="1"/>
      <c r="ABG192" s="1"/>
      <c r="ABH192" s="1"/>
      <c r="ABI192" s="1"/>
      <c r="ABJ192" s="1"/>
      <c r="ABK192" s="1"/>
      <c r="ABL192" s="1"/>
      <c r="ABM192" s="1"/>
      <c r="ABN192" s="1"/>
      <c r="ABO192" s="1"/>
      <c r="ABP192" s="1"/>
      <c r="ABQ192" s="1"/>
      <c r="ABR192" s="1"/>
      <c r="ABS192" s="1"/>
      <c r="ABT192" s="1"/>
      <c r="ABU192" s="1"/>
      <c r="ABV192" s="1"/>
      <c r="ABW192" s="1"/>
      <c r="ABX192" s="1"/>
      <c r="ABY192" s="1"/>
      <c r="ABZ192" s="1"/>
      <c r="ACA192" s="1"/>
      <c r="ACB192" s="1"/>
      <c r="ACC192" s="1"/>
      <c r="ACD192" s="1"/>
      <c r="ACE192" s="1"/>
      <c r="ACF192" s="1"/>
      <c r="ACG192" s="1"/>
      <c r="ACH192" s="1"/>
      <c r="ACI192" s="1"/>
      <c r="ACJ192" s="1"/>
      <c r="ACK192" s="1"/>
      <c r="ACL192" s="1"/>
      <c r="ACM192" s="1"/>
      <c r="ACN192" s="1"/>
      <c r="ACO192" s="1"/>
      <c r="ACP192" s="1"/>
      <c r="ACQ192" s="1"/>
      <c r="ACR192" s="1"/>
      <c r="ACS192" s="1"/>
      <c r="ACT192" s="1"/>
      <c r="ACU192" s="1"/>
      <c r="ACV192" s="1"/>
      <c r="ACW192" s="1"/>
      <c r="ACX192" s="1"/>
      <c r="ACY192" s="1"/>
      <c r="ACZ192" s="1"/>
      <c r="ADA192" s="1"/>
      <c r="ADB192" s="1"/>
      <c r="ADC192" s="1"/>
      <c r="ADD192" s="1"/>
      <c r="ADE192" s="1"/>
      <c r="ADF192" s="1"/>
      <c r="ADG192" s="1"/>
      <c r="ADH192" s="1"/>
      <c r="ADI192" s="1"/>
      <c r="ADJ192" s="1"/>
      <c r="ADK192" s="1"/>
      <c r="ADL192" s="1"/>
      <c r="ADM192" s="1"/>
      <c r="ADN192" s="1"/>
      <c r="ADO192" s="1"/>
      <c r="ADP192" s="1"/>
      <c r="ADQ192" s="1"/>
      <c r="ADR192" s="1"/>
      <c r="ADS192" s="1"/>
      <c r="ADT192" s="1"/>
      <c r="ADU192" s="1"/>
      <c r="ADV192" s="1"/>
      <c r="ADW192" s="1"/>
      <c r="ADX192" s="1"/>
      <c r="ADY192" s="1"/>
      <c r="ADZ192" s="1"/>
      <c r="AEA192" s="1"/>
      <c r="AEB192" s="1"/>
      <c r="AEC192" s="1"/>
      <c r="AED192" s="1"/>
      <c r="AEE192" s="1"/>
      <c r="AEF192" s="1"/>
      <c r="AEG192" s="1"/>
      <c r="AEH192" s="1"/>
      <c r="AEI192" s="1"/>
      <c r="AEJ192" s="1"/>
      <c r="AEK192" s="1"/>
      <c r="AEL192" s="1"/>
      <c r="AEM192" s="1"/>
      <c r="AEN192" s="1"/>
      <c r="AEO192" s="1"/>
      <c r="AEP192" s="1"/>
      <c r="AEQ192" s="1"/>
      <c r="AER192" s="1"/>
      <c r="AES192" s="1"/>
      <c r="AET192" s="1"/>
      <c r="AEU192" s="1"/>
      <c r="AEV192" s="1"/>
      <c r="AEW192" s="1"/>
      <c r="AEX192" s="1"/>
      <c r="AEY192" s="1"/>
      <c r="AEZ192" s="1"/>
      <c r="AFA192" s="1"/>
      <c r="AFB192" s="1"/>
      <c r="AFC192" s="1"/>
      <c r="AFD192" s="1"/>
      <c r="AFE192" s="1"/>
      <c r="AFF192" s="1"/>
      <c r="AFG192" s="1"/>
      <c r="AFH192" s="1"/>
      <c r="AFI192" s="1"/>
      <c r="AFJ192" s="1"/>
      <c r="AFK192" s="1"/>
      <c r="AFL192" s="1"/>
      <c r="AFM192" s="1"/>
      <c r="AFN192" s="1"/>
      <c r="AFO192" s="1"/>
      <c r="AFP192" s="1"/>
      <c r="AFQ192" s="1"/>
      <c r="AFR192" s="1"/>
      <c r="AFS192" s="1"/>
      <c r="AFT192" s="1"/>
      <c r="AFU192" s="1"/>
      <c r="AFV192" s="1"/>
      <c r="AFW192" s="1"/>
      <c r="AFX192" s="1"/>
      <c r="AFY192" s="1"/>
      <c r="AFZ192" s="1"/>
      <c r="AGA192" s="1"/>
      <c r="AGB192" s="1"/>
      <c r="AGC192" s="1"/>
      <c r="AGD192" s="1"/>
      <c r="AGE192" s="1"/>
      <c r="AGF192" s="1"/>
      <c r="AGG192" s="1"/>
      <c r="AGH192" s="1"/>
      <c r="AGI192" s="1"/>
      <c r="AGJ192" s="1"/>
      <c r="AGK192" s="1"/>
      <c r="AGL192" s="1"/>
      <c r="AGM192" s="1"/>
      <c r="AGN192" s="1"/>
      <c r="AGO192" s="1"/>
      <c r="AGP192" s="1"/>
      <c r="AGQ192" s="1"/>
      <c r="AGR192" s="1"/>
      <c r="AGS192" s="1"/>
      <c r="AGT192" s="1"/>
      <c r="AGU192" s="1"/>
      <c r="AGV192" s="1"/>
      <c r="AGW192" s="1"/>
      <c r="AGX192" s="1"/>
      <c r="AGY192" s="1"/>
      <c r="AGZ192" s="1"/>
      <c r="AHA192" s="1"/>
      <c r="AHB192" s="1"/>
      <c r="AHC192" s="1"/>
      <c r="AHD192" s="1"/>
      <c r="AHE192" s="1"/>
      <c r="AHF192" s="1"/>
      <c r="AHG192" s="1"/>
      <c r="AHH192" s="1"/>
      <c r="AHI192" s="1"/>
      <c r="AHJ192" s="1"/>
      <c r="AHK192" s="1"/>
      <c r="AHL192" s="1"/>
      <c r="AHM192" s="1"/>
      <c r="AHN192" s="1"/>
      <c r="AHO192" s="1"/>
      <c r="AHP192" s="1"/>
      <c r="AHQ192" s="1"/>
      <c r="AHR192" s="1"/>
      <c r="AHS192" s="1"/>
      <c r="AHT192" s="1"/>
      <c r="AHU192" s="1"/>
      <c r="AHV192" s="1"/>
      <c r="AHW192" s="1"/>
      <c r="AHX192" s="1"/>
      <c r="AHY192" s="1"/>
      <c r="AHZ192" s="1"/>
      <c r="AIA192" s="1"/>
      <c r="AIB192" s="1"/>
      <c r="AIC192" s="1"/>
      <c r="AID192" s="1"/>
      <c r="AIE192" s="1"/>
      <c r="AIF192" s="1"/>
      <c r="AIG192" s="1"/>
      <c r="AIH192" s="1"/>
      <c r="AII192" s="1"/>
      <c r="AIJ192" s="1"/>
      <c r="AIK192" s="1"/>
      <c r="AIL192" s="1"/>
      <c r="AIM192" s="1"/>
      <c r="AIN192" s="1"/>
      <c r="AIO192" s="1"/>
      <c r="AIP192" s="1"/>
      <c r="AIQ192" s="1"/>
      <c r="AIR192" s="1"/>
      <c r="AIS192" s="1"/>
      <c r="AIT192" s="1"/>
      <c r="AIU192" s="1"/>
      <c r="AIV192" s="1"/>
      <c r="AIW192" s="1"/>
      <c r="AIX192" s="1"/>
      <c r="AIY192" s="1"/>
      <c r="AIZ192" s="1"/>
      <c r="AJA192" s="1"/>
      <c r="AJB192" s="1"/>
      <c r="AJC192" s="1"/>
      <c r="AJD192" s="1"/>
      <c r="AJE192" s="1"/>
      <c r="AJF192" s="1"/>
      <c r="AJG192" s="1"/>
      <c r="AJH192" s="1"/>
      <c r="AJI192" s="1"/>
      <c r="AJJ192" s="1"/>
      <c r="AJK192" s="1"/>
      <c r="AJL192" s="1"/>
      <c r="AJM192" s="1"/>
      <c r="AJN192" s="1"/>
      <c r="AJO192" s="1"/>
      <c r="AJP192" s="1"/>
      <c r="AJQ192" s="1"/>
      <c r="AJR192" s="1"/>
      <c r="AJS192" s="1"/>
      <c r="AJT192" s="1"/>
      <c r="AJU192" s="1"/>
      <c r="AJV192" s="1"/>
      <c r="AJW192" s="1"/>
      <c r="AJX192" s="1"/>
      <c r="AJY192" s="1"/>
      <c r="AJZ192" s="1"/>
      <c r="AKA192" s="1"/>
      <c r="AKB192" s="1"/>
      <c r="AKC192" s="1"/>
      <c r="AKD192" s="1"/>
      <c r="AKE192" s="1"/>
      <c r="AKF192" s="1"/>
      <c r="AKG192" s="1"/>
      <c r="AKH192" s="1"/>
      <c r="AKI192" s="1"/>
      <c r="AKJ192" s="1"/>
      <c r="AKK192" s="1"/>
      <c r="AKL192" s="1"/>
      <c r="AKM192" s="1"/>
      <c r="AKN192" s="1"/>
      <c r="AKO192" s="1"/>
      <c r="AKP192" s="1"/>
      <c r="AKQ192" s="1"/>
      <c r="AKR192" s="1"/>
      <c r="AKS192" s="1"/>
      <c r="AKT192" s="1"/>
      <c r="AKU192" s="1"/>
      <c r="AKV192" s="1"/>
      <c r="AKW192" s="1"/>
      <c r="AKX192" s="1"/>
      <c r="AKY192" s="1"/>
      <c r="AKZ192" s="1"/>
      <c r="ALA192" s="1"/>
      <c r="ALB192" s="1"/>
      <c r="ALC192" s="1"/>
      <c r="ALD192" s="1"/>
      <c r="ALE192" s="1"/>
      <c r="ALF192" s="1"/>
      <c r="ALG192" s="1"/>
      <c r="ALH192" s="1"/>
      <c r="ALI192" s="1"/>
      <c r="ALJ192" s="1"/>
      <c r="ALK192" s="1"/>
      <c r="ALL192" s="1"/>
      <c r="ALM192" s="1"/>
      <c r="ALN192" s="1"/>
      <c r="ALO192" s="1"/>
      <c r="ALP192" s="1"/>
      <c r="ALQ192" s="1"/>
      <c r="ALR192" s="1"/>
      <c r="ALS192" s="1"/>
      <c r="ALT192" s="1"/>
      <c r="ALU192" s="1"/>
      <c r="ALV192" s="1"/>
      <c r="ALW192" s="1"/>
      <c r="ALX192" s="1"/>
      <c r="ALY192" s="1"/>
      <c r="ALZ192" s="1"/>
      <c r="AMA192" s="1"/>
      <c r="AMB192" s="1"/>
      <c r="AMC192" s="1"/>
      <c r="AMD192" s="1"/>
      <c r="AME192" s="1"/>
      <c r="AMF192" s="1"/>
      <c r="AMG192" s="1"/>
      <c r="AMH192" s="1"/>
      <c r="AMI192" s="1"/>
      <c r="AMJ192" s="1"/>
    </row>
    <row r="193" customFormat="false" ht="2.25" hidden="false" customHeight="true" outlineLevel="0" collapsed="false">
      <c r="AO193" s="238"/>
      <c r="BE193" s="1"/>
      <c r="BF193" s="1"/>
      <c r="BG193" s="1"/>
      <c r="BH193" s="1"/>
      <c r="BI193" s="1"/>
      <c r="BJ193" s="1"/>
      <c r="BK193" s="1"/>
      <c r="BL193" s="1"/>
      <c r="BM193" s="1"/>
      <c r="BN193" s="1"/>
      <c r="BO193" s="1"/>
      <c r="BP193" s="1"/>
      <c r="BQ193" s="1"/>
      <c r="BR193" s="1"/>
      <c r="BS193" s="1"/>
      <c r="BT193" s="1"/>
      <c r="BU193" s="1"/>
      <c r="BV193" s="1"/>
      <c r="BW193" s="1"/>
      <c r="BX193" s="1"/>
      <c r="BY193" s="1"/>
      <c r="BZ193" s="1"/>
      <c r="CA193" s="1"/>
      <c r="CB193" s="1"/>
      <c r="CC193" s="1"/>
      <c r="CD193" s="1"/>
      <c r="CE193" s="1"/>
      <c r="CF193" s="1"/>
      <c r="CG193" s="1"/>
      <c r="CH193" s="1"/>
      <c r="CI193" s="1"/>
      <c r="CJ193" s="1"/>
      <c r="CK193" s="1"/>
      <c r="CL193" s="1"/>
      <c r="CM193" s="1"/>
      <c r="CN193" s="1"/>
      <c r="CO193" s="1"/>
      <c r="CP193" s="1"/>
      <c r="CQ193" s="1"/>
      <c r="CR193" s="1"/>
      <c r="CS193" s="1"/>
      <c r="CT193" s="1"/>
      <c r="CU193" s="1"/>
      <c r="CV193" s="1"/>
      <c r="CW193" s="1"/>
      <c r="CX193" s="1"/>
      <c r="CY193" s="1"/>
      <c r="CZ193" s="1"/>
      <c r="DA193" s="1"/>
      <c r="DB193" s="1"/>
      <c r="DC193" s="1"/>
      <c r="DD193" s="1"/>
      <c r="DE193" s="1"/>
      <c r="DF193" s="1"/>
      <c r="DG193" s="1"/>
      <c r="DH193" s="1"/>
      <c r="DI193" s="1"/>
      <c r="DJ193" s="1"/>
      <c r="DK193" s="1"/>
      <c r="DL193" s="1"/>
      <c r="DM193" s="1"/>
      <c r="DN193" s="1"/>
      <c r="DO193" s="1"/>
      <c r="DP193" s="1"/>
      <c r="DQ193" s="1"/>
      <c r="DR193" s="1"/>
      <c r="DS193" s="1"/>
      <c r="DT193" s="1"/>
      <c r="DU193" s="1"/>
      <c r="DV193" s="1"/>
      <c r="DW193" s="1"/>
      <c r="DX193" s="1"/>
      <c r="DY193" s="1"/>
      <c r="DZ193" s="1"/>
      <c r="EA193" s="1"/>
      <c r="EB193" s="1"/>
      <c r="EC193" s="1"/>
      <c r="ED193" s="1"/>
      <c r="EE193" s="1"/>
      <c r="EF193" s="1"/>
      <c r="EG193" s="1"/>
      <c r="EH193" s="1"/>
      <c r="EI193" s="1"/>
      <c r="EJ193" s="1"/>
      <c r="EK193" s="1"/>
      <c r="EL193" s="1"/>
      <c r="EM193" s="1"/>
      <c r="EN193" s="1"/>
      <c r="EO193" s="1"/>
      <c r="EP193" s="1"/>
      <c r="EQ193" s="1"/>
      <c r="ER193" s="1"/>
      <c r="ES193" s="1"/>
      <c r="ET193" s="1"/>
      <c r="EU193" s="1"/>
      <c r="EV193" s="1"/>
      <c r="EW193" s="1"/>
      <c r="EX193" s="1"/>
      <c r="EY193" s="1"/>
      <c r="EZ193" s="1"/>
      <c r="FA193" s="1"/>
      <c r="FB193" s="1"/>
      <c r="FC193" s="1"/>
      <c r="FD193" s="1"/>
      <c r="FE193" s="1"/>
      <c r="FF193" s="1"/>
      <c r="FG193" s="1"/>
      <c r="FH193" s="1"/>
      <c r="FI193" s="1"/>
      <c r="FJ193" s="1"/>
      <c r="FK193" s="1"/>
      <c r="FL193" s="1"/>
      <c r="FM193" s="1"/>
      <c r="FN193" s="1"/>
      <c r="FO193" s="1"/>
      <c r="FP193" s="1"/>
      <c r="FQ193" s="1"/>
      <c r="FR193" s="1"/>
      <c r="FS193" s="1"/>
      <c r="FT193" s="1"/>
      <c r="FU193" s="1"/>
      <c r="FV193" s="1"/>
      <c r="FW193" s="1"/>
      <c r="FX193" s="1"/>
      <c r="FY193" s="1"/>
      <c r="FZ193" s="1"/>
      <c r="GA193" s="1"/>
      <c r="GB193" s="1"/>
      <c r="GC193" s="1"/>
      <c r="GD193" s="1"/>
      <c r="GE193" s="1"/>
      <c r="GF193" s="1"/>
      <c r="GG193" s="1"/>
      <c r="GH193" s="1"/>
      <c r="GI193" s="1"/>
      <c r="GJ193" s="1"/>
      <c r="GK193" s="1"/>
      <c r="GL193" s="1"/>
      <c r="GM193" s="1"/>
      <c r="GN193" s="1"/>
      <c r="GO193" s="1"/>
      <c r="GP193" s="1"/>
      <c r="GQ193" s="1"/>
      <c r="GR193" s="1"/>
      <c r="GS193" s="1"/>
      <c r="GT193" s="1"/>
      <c r="GU193" s="1"/>
      <c r="GV193" s="1"/>
      <c r="GW193" s="1"/>
      <c r="GX193" s="1"/>
      <c r="GY193" s="1"/>
      <c r="GZ193" s="1"/>
      <c r="HA193" s="1"/>
      <c r="HB193" s="1"/>
      <c r="HC193" s="1"/>
      <c r="HD193" s="1"/>
      <c r="HE193" s="1"/>
      <c r="HF193" s="1"/>
      <c r="HG193" s="1"/>
      <c r="HH193" s="1"/>
      <c r="HI193" s="1"/>
      <c r="HJ193" s="1"/>
      <c r="HK193" s="1"/>
      <c r="HL193" s="1"/>
      <c r="HM193" s="1"/>
      <c r="HN193" s="1"/>
      <c r="HO193" s="1"/>
      <c r="HP193" s="1"/>
      <c r="HQ193" s="1"/>
      <c r="HR193" s="1"/>
      <c r="HS193" s="1"/>
      <c r="HT193" s="1"/>
      <c r="HU193" s="1"/>
      <c r="HV193" s="1"/>
      <c r="HW193" s="1"/>
      <c r="HX193" s="1"/>
      <c r="HY193" s="1"/>
      <c r="HZ193" s="1"/>
      <c r="IA193" s="1"/>
      <c r="IB193" s="1"/>
      <c r="IC193" s="1"/>
      <c r="ID193" s="1"/>
      <c r="IE193" s="1"/>
      <c r="IF193" s="1"/>
      <c r="IG193" s="1"/>
      <c r="IH193" s="1"/>
      <c r="II193" s="1"/>
      <c r="IJ193" s="1"/>
      <c r="IK193" s="1"/>
      <c r="IL193" s="1"/>
      <c r="IM193" s="1"/>
      <c r="IN193" s="1"/>
      <c r="IO193" s="1"/>
      <c r="IP193" s="1"/>
      <c r="IQ193" s="1"/>
      <c r="IR193" s="1"/>
      <c r="IS193" s="1"/>
      <c r="IT193" s="1"/>
      <c r="IU193" s="1"/>
      <c r="IV193" s="1"/>
      <c r="IW193" s="1"/>
      <c r="IX193" s="1"/>
      <c r="IY193" s="1"/>
      <c r="IZ193" s="1"/>
      <c r="JA193" s="1"/>
      <c r="JB193" s="1"/>
      <c r="JC193" s="1"/>
      <c r="JD193" s="1"/>
      <c r="JE193" s="1"/>
      <c r="JF193" s="1"/>
      <c r="JG193" s="1"/>
      <c r="JH193" s="1"/>
      <c r="JI193" s="1"/>
      <c r="JJ193" s="1"/>
      <c r="JK193" s="1"/>
      <c r="JL193" s="1"/>
      <c r="JM193" s="1"/>
      <c r="JN193" s="1"/>
      <c r="JO193" s="1"/>
      <c r="JP193" s="1"/>
      <c r="JQ193" s="1"/>
      <c r="JR193" s="1"/>
      <c r="JS193" s="1"/>
      <c r="JT193" s="1"/>
      <c r="JU193" s="1"/>
      <c r="JV193" s="1"/>
      <c r="JW193" s="1"/>
      <c r="JX193" s="1"/>
      <c r="JY193" s="1"/>
      <c r="JZ193" s="1"/>
      <c r="KA193" s="1"/>
      <c r="KB193" s="1"/>
      <c r="KC193" s="1"/>
      <c r="KD193" s="1"/>
      <c r="KE193" s="1"/>
      <c r="KF193" s="1"/>
      <c r="KG193" s="1"/>
      <c r="KH193" s="1"/>
      <c r="KI193" s="1"/>
      <c r="KJ193" s="1"/>
      <c r="KK193" s="1"/>
      <c r="KL193" s="1"/>
      <c r="KM193" s="1"/>
      <c r="KN193" s="1"/>
      <c r="KO193" s="1"/>
      <c r="KP193" s="1"/>
      <c r="KQ193" s="1"/>
      <c r="KR193" s="1"/>
      <c r="KS193" s="1"/>
      <c r="KT193" s="1"/>
      <c r="KU193" s="1"/>
      <c r="KV193" s="1"/>
      <c r="KW193" s="1"/>
      <c r="KX193" s="1"/>
      <c r="KY193" s="1"/>
      <c r="KZ193" s="1"/>
      <c r="LA193" s="1"/>
      <c r="LB193" s="1"/>
      <c r="LC193" s="1"/>
      <c r="LD193" s="1"/>
      <c r="LE193" s="1"/>
      <c r="LF193" s="1"/>
      <c r="LG193" s="1"/>
      <c r="LH193" s="1"/>
      <c r="LI193" s="1"/>
      <c r="LJ193" s="1"/>
      <c r="LK193" s="1"/>
      <c r="LL193" s="1"/>
      <c r="LM193" s="1"/>
      <c r="LN193" s="1"/>
      <c r="LO193" s="1"/>
      <c r="LP193" s="1"/>
      <c r="LQ193" s="1"/>
      <c r="LR193" s="1"/>
      <c r="LS193" s="1"/>
      <c r="LT193" s="1"/>
      <c r="LU193" s="1"/>
      <c r="LV193" s="1"/>
      <c r="LW193" s="1"/>
      <c r="LX193" s="1"/>
      <c r="LY193" s="1"/>
      <c r="LZ193" s="1"/>
      <c r="MA193" s="1"/>
      <c r="MB193" s="1"/>
      <c r="MC193" s="1"/>
      <c r="MD193" s="1"/>
      <c r="ME193" s="1"/>
      <c r="MF193" s="1"/>
      <c r="MG193" s="1"/>
      <c r="MH193" s="1"/>
      <c r="MI193" s="1"/>
      <c r="MJ193" s="1"/>
      <c r="MK193" s="1"/>
      <c r="ML193" s="1"/>
      <c r="MM193" s="1"/>
      <c r="MN193" s="1"/>
      <c r="MO193" s="1"/>
      <c r="MP193" s="1"/>
      <c r="MQ193" s="1"/>
      <c r="MR193" s="1"/>
      <c r="MS193" s="1"/>
      <c r="MT193" s="1"/>
      <c r="MU193" s="1"/>
      <c r="MV193" s="1"/>
      <c r="MW193" s="1"/>
      <c r="MX193" s="1"/>
      <c r="MY193" s="1"/>
      <c r="MZ193" s="1"/>
      <c r="NA193" s="1"/>
      <c r="NB193" s="1"/>
      <c r="NC193" s="1"/>
      <c r="ND193" s="1"/>
      <c r="NE193" s="1"/>
      <c r="NF193" s="1"/>
      <c r="NG193" s="1"/>
      <c r="NH193" s="1"/>
      <c r="NI193" s="1"/>
      <c r="NJ193" s="1"/>
      <c r="NK193" s="1"/>
      <c r="NL193" s="1"/>
      <c r="NM193" s="1"/>
      <c r="NN193" s="1"/>
      <c r="NO193" s="1"/>
      <c r="NP193" s="1"/>
      <c r="NQ193" s="1"/>
      <c r="NR193" s="1"/>
      <c r="NS193" s="1"/>
      <c r="NT193" s="1"/>
      <c r="NU193" s="1"/>
      <c r="NV193" s="1"/>
      <c r="NW193" s="1"/>
      <c r="NX193" s="1"/>
      <c r="NY193" s="1"/>
      <c r="NZ193" s="1"/>
      <c r="OA193" s="1"/>
      <c r="OB193" s="1"/>
      <c r="OC193" s="1"/>
      <c r="OD193" s="1"/>
      <c r="OE193" s="1"/>
      <c r="OF193" s="1"/>
      <c r="OG193" s="1"/>
      <c r="OH193" s="1"/>
      <c r="OI193" s="1"/>
      <c r="OJ193" s="1"/>
      <c r="OK193" s="1"/>
      <c r="OL193" s="1"/>
      <c r="OM193" s="1"/>
      <c r="ON193" s="1"/>
      <c r="OO193" s="1"/>
      <c r="OP193" s="1"/>
      <c r="OQ193" s="1"/>
      <c r="OR193" s="1"/>
      <c r="OS193" s="1"/>
      <c r="OT193" s="1"/>
      <c r="OU193" s="1"/>
      <c r="OV193" s="1"/>
      <c r="OW193" s="1"/>
      <c r="OX193" s="1"/>
      <c r="OY193" s="1"/>
      <c r="OZ193" s="1"/>
      <c r="PA193" s="1"/>
      <c r="PB193" s="1"/>
      <c r="PC193" s="1"/>
      <c r="PD193" s="1"/>
      <c r="PE193" s="1"/>
      <c r="PF193" s="1"/>
      <c r="PG193" s="1"/>
      <c r="PH193" s="1"/>
      <c r="PI193" s="1"/>
      <c r="PJ193" s="1"/>
      <c r="PK193" s="1"/>
      <c r="PL193" s="1"/>
      <c r="PM193" s="1"/>
      <c r="PN193" s="1"/>
      <c r="PO193" s="1"/>
      <c r="PP193" s="1"/>
      <c r="PQ193" s="1"/>
      <c r="PR193" s="1"/>
      <c r="PS193" s="1"/>
      <c r="PT193" s="1"/>
      <c r="PU193" s="1"/>
      <c r="PV193" s="1"/>
      <c r="PW193" s="1"/>
      <c r="PX193" s="1"/>
      <c r="PY193" s="1"/>
      <c r="PZ193" s="1"/>
      <c r="QA193" s="1"/>
      <c r="QB193" s="1"/>
      <c r="QC193" s="1"/>
      <c r="QD193" s="1"/>
      <c r="QE193" s="1"/>
      <c r="QF193" s="1"/>
      <c r="QG193" s="1"/>
      <c r="QH193" s="1"/>
      <c r="QI193" s="1"/>
      <c r="QJ193" s="1"/>
      <c r="QK193" s="1"/>
      <c r="QL193" s="1"/>
      <c r="QM193" s="1"/>
      <c r="QN193" s="1"/>
      <c r="QO193" s="1"/>
      <c r="QP193" s="1"/>
      <c r="QQ193" s="1"/>
      <c r="QR193" s="1"/>
      <c r="QS193" s="1"/>
      <c r="QT193" s="1"/>
      <c r="QU193" s="1"/>
      <c r="QV193" s="1"/>
      <c r="QW193" s="1"/>
      <c r="QX193" s="1"/>
      <c r="QY193" s="1"/>
      <c r="QZ193" s="1"/>
      <c r="RA193" s="1"/>
      <c r="RB193" s="1"/>
      <c r="RC193" s="1"/>
      <c r="RD193" s="1"/>
      <c r="RE193" s="1"/>
      <c r="RF193" s="1"/>
      <c r="RG193" s="1"/>
      <c r="RH193" s="1"/>
      <c r="RI193" s="1"/>
      <c r="RJ193" s="1"/>
      <c r="RK193" s="1"/>
      <c r="RL193" s="1"/>
      <c r="RM193" s="1"/>
      <c r="RN193" s="1"/>
      <c r="RO193" s="1"/>
      <c r="RP193" s="1"/>
      <c r="RQ193" s="1"/>
      <c r="RR193" s="1"/>
      <c r="RS193" s="1"/>
      <c r="RT193" s="1"/>
      <c r="RU193" s="1"/>
      <c r="RV193" s="1"/>
      <c r="RW193" s="1"/>
      <c r="RX193" s="1"/>
      <c r="RY193" s="1"/>
      <c r="RZ193" s="1"/>
      <c r="SA193" s="1"/>
      <c r="SB193" s="1"/>
      <c r="SC193" s="1"/>
      <c r="SD193" s="1"/>
      <c r="SE193" s="1"/>
      <c r="SF193" s="1"/>
      <c r="SG193" s="1"/>
      <c r="SH193" s="1"/>
      <c r="SI193" s="1"/>
      <c r="SJ193" s="1"/>
      <c r="SK193" s="1"/>
      <c r="SL193" s="1"/>
      <c r="SM193" s="1"/>
      <c r="SN193" s="1"/>
      <c r="SO193" s="1"/>
      <c r="SP193" s="1"/>
      <c r="SQ193" s="1"/>
      <c r="SR193" s="1"/>
      <c r="SS193" s="1"/>
      <c r="ST193" s="1"/>
      <c r="SU193" s="1"/>
      <c r="SV193" s="1"/>
      <c r="SW193" s="1"/>
      <c r="SX193" s="1"/>
      <c r="SY193" s="1"/>
      <c r="SZ193" s="1"/>
      <c r="TA193" s="1"/>
      <c r="TB193" s="1"/>
      <c r="TC193" s="1"/>
      <c r="TD193" s="1"/>
      <c r="TE193" s="1"/>
      <c r="TF193" s="1"/>
      <c r="TG193" s="1"/>
      <c r="TH193" s="1"/>
      <c r="TI193" s="1"/>
      <c r="TJ193" s="1"/>
      <c r="TK193" s="1"/>
      <c r="TL193" s="1"/>
      <c r="TM193" s="1"/>
      <c r="TN193" s="1"/>
      <c r="TO193" s="1"/>
      <c r="TP193" s="1"/>
      <c r="TQ193" s="1"/>
      <c r="TR193" s="1"/>
      <c r="TS193" s="1"/>
      <c r="TT193" s="1"/>
      <c r="TU193" s="1"/>
      <c r="TV193" s="1"/>
      <c r="TW193" s="1"/>
      <c r="TX193" s="1"/>
      <c r="TY193" s="1"/>
      <c r="TZ193" s="1"/>
      <c r="UA193" s="1"/>
      <c r="UB193" s="1"/>
      <c r="UC193" s="1"/>
      <c r="UD193" s="1"/>
      <c r="UE193" s="1"/>
      <c r="UF193" s="1"/>
      <c r="UG193" s="1"/>
      <c r="UH193" s="1"/>
      <c r="UI193" s="1"/>
      <c r="UJ193" s="1"/>
      <c r="UK193" s="1"/>
      <c r="UL193" s="1"/>
      <c r="UM193" s="1"/>
      <c r="UN193" s="1"/>
      <c r="UO193" s="1"/>
      <c r="UP193" s="1"/>
      <c r="UQ193" s="1"/>
      <c r="UR193" s="1"/>
      <c r="US193" s="1"/>
      <c r="UT193" s="1"/>
      <c r="UU193" s="1"/>
      <c r="UV193" s="1"/>
      <c r="UW193" s="1"/>
      <c r="UX193" s="1"/>
      <c r="UY193" s="1"/>
      <c r="UZ193" s="1"/>
      <c r="VA193" s="1"/>
      <c r="VB193" s="1"/>
      <c r="VC193" s="1"/>
      <c r="VD193" s="1"/>
      <c r="VE193" s="1"/>
      <c r="VF193" s="1"/>
      <c r="VG193" s="1"/>
      <c r="VH193" s="1"/>
      <c r="VI193" s="1"/>
      <c r="VJ193" s="1"/>
      <c r="VK193" s="1"/>
      <c r="VL193" s="1"/>
      <c r="VM193" s="1"/>
      <c r="VN193" s="1"/>
      <c r="VO193" s="1"/>
      <c r="VP193" s="1"/>
      <c r="VQ193" s="1"/>
      <c r="VR193" s="1"/>
      <c r="VS193" s="1"/>
      <c r="VT193" s="1"/>
      <c r="VU193" s="1"/>
      <c r="VV193" s="1"/>
      <c r="VW193" s="1"/>
      <c r="VX193" s="1"/>
      <c r="VY193" s="1"/>
      <c r="VZ193" s="1"/>
      <c r="WA193" s="1"/>
      <c r="WB193" s="1"/>
      <c r="WC193" s="1"/>
      <c r="WD193" s="1"/>
      <c r="WE193" s="1"/>
      <c r="WF193" s="1"/>
      <c r="WG193" s="1"/>
      <c r="WH193" s="1"/>
      <c r="WI193" s="1"/>
      <c r="WJ193" s="1"/>
      <c r="WK193" s="1"/>
      <c r="WL193" s="1"/>
      <c r="WM193" s="1"/>
      <c r="WN193" s="1"/>
      <c r="WO193" s="1"/>
      <c r="WP193" s="1"/>
      <c r="WQ193" s="1"/>
      <c r="WR193" s="1"/>
      <c r="WS193" s="1"/>
      <c r="WT193" s="1"/>
      <c r="WU193" s="1"/>
      <c r="WV193" s="1"/>
      <c r="WW193" s="1"/>
      <c r="WX193" s="1"/>
      <c r="WY193" s="1"/>
      <c r="WZ193" s="1"/>
      <c r="XA193" s="1"/>
      <c r="XB193" s="1"/>
      <c r="XC193" s="1"/>
      <c r="XD193" s="1"/>
      <c r="XE193" s="1"/>
      <c r="XF193" s="1"/>
      <c r="XG193" s="1"/>
      <c r="XH193" s="1"/>
      <c r="XI193" s="1"/>
      <c r="XJ193" s="1"/>
      <c r="XK193" s="1"/>
      <c r="XL193" s="1"/>
      <c r="XM193" s="1"/>
      <c r="XN193" s="1"/>
      <c r="XO193" s="1"/>
      <c r="XP193" s="1"/>
      <c r="XQ193" s="1"/>
      <c r="XR193" s="1"/>
      <c r="XS193" s="1"/>
      <c r="XT193" s="1"/>
      <c r="XU193" s="1"/>
      <c r="XV193" s="1"/>
      <c r="XW193" s="1"/>
      <c r="XX193" s="1"/>
      <c r="XY193" s="1"/>
      <c r="XZ193" s="1"/>
      <c r="YA193" s="1"/>
      <c r="YB193" s="1"/>
      <c r="YC193" s="1"/>
      <c r="YD193" s="1"/>
      <c r="YE193" s="1"/>
      <c r="YF193" s="1"/>
      <c r="YG193" s="1"/>
      <c r="YH193" s="1"/>
      <c r="YI193" s="1"/>
      <c r="YJ193" s="1"/>
      <c r="YK193" s="1"/>
      <c r="YL193" s="1"/>
      <c r="YM193" s="1"/>
      <c r="YN193" s="1"/>
      <c r="YO193" s="1"/>
      <c r="YP193" s="1"/>
      <c r="YQ193" s="1"/>
      <c r="YR193" s="1"/>
      <c r="YS193" s="1"/>
      <c r="YT193" s="1"/>
      <c r="YU193" s="1"/>
      <c r="YV193" s="1"/>
      <c r="YW193" s="1"/>
      <c r="YX193" s="1"/>
      <c r="YY193" s="1"/>
      <c r="YZ193" s="1"/>
      <c r="ZA193" s="1"/>
      <c r="ZB193" s="1"/>
      <c r="ZC193" s="1"/>
      <c r="ZD193" s="1"/>
      <c r="ZE193" s="1"/>
      <c r="ZF193" s="1"/>
      <c r="ZG193" s="1"/>
      <c r="ZH193" s="1"/>
      <c r="ZI193" s="1"/>
      <c r="ZJ193" s="1"/>
      <c r="ZK193" s="1"/>
      <c r="ZL193" s="1"/>
      <c r="ZM193" s="1"/>
      <c r="ZN193" s="1"/>
      <c r="ZO193" s="1"/>
      <c r="ZP193" s="1"/>
      <c r="ZQ193" s="1"/>
      <c r="ZR193" s="1"/>
      <c r="ZS193" s="1"/>
      <c r="ZT193" s="1"/>
      <c r="ZU193" s="1"/>
      <c r="ZV193" s="1"/>
      <c r="ZW193" s="1"/>
      <c r="ZX193" s="1"/>
      <c r="ZY193" s="1"/>
      <c r="ZZ193" s="1"/>
      <c r="AAA193" s="1"/>
      <c r="AAB193" s="1"/>
      <c r="AAC193" s="1"/>
      <c r="AAD193" s="1"/>
      <c r="AAE193" s="1"/>
      <c r="AAF193" s="1"/>
      <c r="AAG193" s="1"/>
      <c r="AAH193" s="1"/>
      <c r="AAI193" s="1"/>
      <c r="AAJ193" s="1"/>
      <c r="AAK193" s="1"/>
      <c r="AAL193" s="1"/>
      <c r="AAM193" s="1"/>
      <c r="AAN193" s="1"/>
      <c r="AAO193" s="1"/>
      <c r="AAP193" s="1"/>
      <c r="AAQ193" s="1"/>
      <c r="AAR193" s="1"/>
      <c r="AAS193" s="1"/>
      <c r="AAT193" s="1"/>
      <c r="AAU193" s="1"/>
      <c r="AAV193" s="1"/>
      <c r="AAW193" s="1"/>
      <c r="AAX193" s="1"/>
      <c r="AAY193" s="1"/>
      <c r="AAZ193" s="1"/>
      <c r="ABA193" s="1"/>
      <c r="ABB193" s="1"/>
      <c r="ABC193" s="1"/>
      <c r="ABD193" s="1"/>
      <c r="ABE193" s="1"/>
      <c r="ABF193" s="1"/>
      <c r="ABG193" s="1"/>
      <c r="ABH193" s="1"/>
      <c r="ABI193" s="1"/>
      <c r="ABJ193" s="1"/>
      <c r="ABK193" s="1"/>
      <c r="ABL193" s="1"/>
      <c r="ABM193" s="1"/>
      <c r="ABN193" s="1"/>
      <c r="ABO193" s="1"/>
      <c r="ABP193" s="1"/>
      <c r="ABQ193" s="1"/>
      <c r="ABR193" s="1"/>
      <c r="ABS193" s="1"/>
      <c r="ABT193" s="1"/>
      <c r="ABU193" s="1"/>
      <c r="ABV193" s="1"/>
      <c r="ABW193" s="1"/>
      <c r="ABX193" s="1"/>
      <c r="ABY193" s="1"/>
      <c r="ABZ193" s="1"/>
      <c r="ACA193" s="1"/>
      <c r="ACB193" s="1"/>
      <c r="ACC193" s="1"/>
      <c r="ACD193" s="1"/>
      <c r="ACE193" s="1"/>
      <c r="ACF193" s="1"/>
      <c r="ACG193" s="1"/>
      <c r="ACH193" s="1"/>
      <c r="ACI193" s="1"/>
      <c r="ACJ193" s="1"/>
      <c r="ACK193" s="1"/>
      <c r="ACL193" s="1"/>
      <c r="ACM193" s="1"/>
      <c r="ACN193" s="1"/>
      <c r="ACO193" s="1"/>
      <c r="ACP193" s="1"/>
      <c r="ACQ193" s="1"/>
      <c r="ACR193" s="1"/>
      <c r="ACS193" s="1"/>
      <c r="ACT193" s="1"/>
      <c r="ACU193" s="1"/>
      <c r="ACV193" s="1"/>
      <c r="ACW193" s="1"/>
      <c r="ACX193" s="1"/>
      <c r="ACY193" s="1"/>
      <c r="ACZ193" s="1"/>
      <c r="ADA193" s="1"/>
      <c r="ADB193" s="1"/>
      <c r="ADC193" s="1"/>
      <c r="ADD193" s="1"/>
      <c r="ADE193" s="1"/>
      <c r="ADF193" s="1"/>
      <c r="ADG193" s="1"/>
      <c r="ADH193" s="1"/>
      <c r="ADI193" s="1"/>
      <c r="ADJ193" s="1"/>
      <c r="ADK193" s="1"/>
      <c r="ADL193" s="1"/>
      <c r="ADM193" s="1"/>
      <c r="ADN193" s="1"/>
      <c r="ADO193" s="1"/>
      <c r="ADP193" s="1"/>
      <c r="ADQ193" s="1"/>
      <c r="ADR193" s="1"/>
      <c r="ADS193" s="1"/>
      <c r="ADT193" s="1"/>
      <c r="ADU193" s="1"/>
      <c r="ADV193" s="1"/>
      <c r="ADW193" s="1"/>
      <c r="ADX193" s="1"/>
      <c r="ADY193" s="1"/>
      <c r="ADZ193" s="1"/>
      <c r="AEA193" s="1"/>
      <c r="AEB193" s="1"/>
      <c r="AEC193" s="1"/>
      <c r="AED193" s="1"/>
      <c r="AEE193" s="1"/>
      <c r="AEF193" s="1"/>
      <c r="AEG193" s="1"/>
      <c r="AEH193" s="1"/>
      <c r="AEI193" s="1"/>
      <c r="AEJ193" s="1"/>
      <c r="AEK193" s="1"/>
      <c r="AEL193" s="1"/>
      <c r="AEM193" s="1"/>
      <c r="AEN193" s="1"/>
      <c r="AEO193" s="1"/>
      <c r="AEP193" s="1"/>
      <c r="AEQ193" s="1"/>
      <c r="AER193" s="1"/>
      <c r="AES193" s="1"/>
      <c r="AET193" s="1"/>
      <c r="AEU193" s="1"/>
      <c r="AEV193" s="1"/>
      <c r="AEW193" s="1"/>
      <c r="AEX193" s="1"/>
      <c r="AEY193" s="1"/>
      <c r="AEZ193" s="1"/>
      <c r="AFA193" s="1"/>
      <c r="AFB193" s="1"/>
      <c r="AFC193" s="1"/>
      <c r="AFD193" s="1"/>
      <c r="AFE193" s="1"/>
      <c r="AFF193" s="1"/>
      <c r="AFG193" s="1"/>
      <c r="AFH193" s="1"/>
      <c r="AFI193" s="1"/>
      <c r="AFJ193" s="1"/>
      <c r="AFK193" s="1"/>
      <c r="AFL193" s="1"/>
      <c r="AFM193" s="1"/>
      <c r="AFN193" s="1"/>
      <c r="AFO193" s="1"/>
      <c r="AFP193" s="1"/>
      <c r="AFQ193" s="1"/>
      <c r="AFR193" s="1"/>
      <c r="AFS193" s="1"/>
      <c r="AFT193" s="1"/>
      <c r="AFU193" s="1"/>
      <c r="AFV193" s="1"/>
      <c r="AFW193" s="1"/>
      <c r="AFX193" s="1"/>
      <c r="AFY193" s="1"/>
      <c r="AFZ193" s="1"/>
      <c r="AGA193" s="1"/>
      <c r="AGB193" s="1"/>
      <c r="AGC193" s="1"/>
      <c r="AGD193" s="1"/>
      <c r="AGE193" s="1"/>
      <c r="AGF193" s="1"/>
      <c r="AGG193" s="1"/>
      <c r="AGH193" s="1"/>
      <c r="AGI193" s="1"/>
      <c r="AGJ193" s="1"/>
      <c r="AGK193" s="1"/>
      <c r="AGL193" s="1"/>
      <c r="AGM193" s="1"/>
      <c r="AGN193" s="1"/>
      <c r="AGO193" s="1"/>
      <c r="AGP193" s="1"/>
      <c r="AGQ193" s="1"/>
      <c r="AGR193" s="1"/>
      <c r="AGS193" s="1"/>
      <c r="AGT193" s="1"/>
      <c r="AGU193" s="1"/>
      <c r="AGV193" s="1"/>
      <c r="AGW193" s="1"/>
      <c r="AGX193" s="1"/>
      <c r="AGY193" s="1"/>
      <c r="AGZ193" s="1"/>
      <c r="AHA193" s="1"/>
      <c r="AHB193" s="1"/>
      <c r="AHC193" s="1"/>
      <c r="AHD193" s="1"/>
      <c r="AHE193" s="1"/>
      <c r="AHF193" s="1"/>
      <c r="AHG193" s="1"/>
      <c r="AHH193" s="1"/>
      <c r="AHI193" s="1"/>
      <c r="AHJ193" s="1"/>
      <c r="AHK193" s="1"/>
      <c r="AHL193" s="1"/>
      <c r="AHM193" s="1"/>
      <c r="AHN193" s="1"/>
      <c r="AHO193" s="1"/>
      <c r="AHP193" s="1"/>
      <c r="AHQ193" s="1"/>
      <c r="AHR193" s="1"/>
      <c r="AHS193" s="1"/>
      <c r="AHT193" s="1"/>
      <c r="AHU193" s="1"/>
      <c r="AHV193" s="1"/>
      <c r="AHW193" s="1"/>
      <c r="AHX193" s="1"/>
      <c r="AHY193" s="1"/>
      <c r="AHZ193" s="1"/>
      <c r="AIA193" s="1"/>
      <c r="AIB193" s="1"/>
      <c r="AIC193" s="1"/>
      <c r="AID193" s="1"/>
      <c r="AIE193" s="1"/>
      <c r="AIF193" s="1"/>
      <c r="AIG193" s="1"/>
      <c r="AIH193" s="1"/>
      <c r="AII193" s="1"/>
      <c r="AIJ193" s="1"/>
      <c r="AIK193" s="1"/>
      <c r="AIL193" s="1"/>
      <c r="AIM193" s="1"/>
      <c r="AIN193" s="1"/>
      <c r="AIO193" s="1"/>
      <c r="AIP193" s="1"/>
      <c r="AIQ193" s="1"/>
      <c r="AIR193" s="1"/>
      <c r="AIS193" s="1"/>
      <c r="AIT193" s="1"/>
      <c r="AIU193" s="1"/>
      <c r="AIV193" s="1"/>
      <c r="AIW193" s="1"/>
      <c r="AIX193" s="1"/>
      <c r="AIY193" s="1"/>
      <c r="AIZ193" s="1"/>
      <c r="AJA193" s="1"/>
      <c r="AJB193" s="1"/>
      <c r="AJC193" s="1"/>
      <c r="AJD193" s="1"/>
      <c r="AJE193" s="1"/>
      <c r="AJF193" s="1"/>
      <c r="AJG193" s="1"/>
      <c r="AJH193" s="1"/>
      <c r="AJI193" s="1"/>
      <c r="AJJ193" s="1"/>
      <c r="AJK193" s="1"/>
      <c r="AJL193" s="1"/>
      <c r="AJM193" s="1"/>
      <c r="AJN193" s="1"/>
      <c r="AJO193" s="1"/>
      <c r="AJP193" s="1"/>
      <c r="AJQ193" s="1"/>
      <c r="AJR193" s="1"/>
      <c r="AJS193" s="1"/>
      <c r="AJT193" s="1"/>
      <c r="AJU193" s="1"/>
      <c r="AJV193" s="1"/>
      <c r="AJW193" s="1"/>
      <c r="AJX193" s="1"/>
      <c r="AJY193" s="1"/>
      <c r="AJZ193" s="1"/>
      <c r="AKA193" s="1"/>
      <c r="AKB193" s="1"/>
      <c r="AKC193" s="1"/>
      <c r="AKD193" s="1"/>
      <c r="AKE193" s="1"/>
      <c r="AKF193" s="1"/>
      <c r="AKG193" s="1"/>
      <c r="AKH193" s="1"/>
      <c r="AKI193" s="1"/>
      <c r="AKJ193" s="1"/>
      <c r="AKK193" s="1"/>
      <c r="AKL193" s="1"/>
      <c r="AKM193" s="1"/>
      <c r="AKN193" s="1"/>
      <c r="AKO193" s="1"/>
      <c r="AKP193" s="1"/>
      <c r="AKQ193" s="1"/>
      <c r="AKR193" s="1"/>
      <c r="AKS193" s="1"/>
      <c r="AKT193" s="1"/>
      <c r="AKU193" s="1"/>
      <c r="AKV193" s="1"/>
      <c r="AKW193" s="1"/>
      <c r="AKX193" s="1"/>
      <c r="AKY193" s="1"/>
      <c r="AKZ193" s="1"/>
      <c r="ALA193" s="1"/>
      <c r="ALB193" s="1"/>
      <c r="ALC193" s="1"/>
      <c r="ALD193" s="1"/>
      <c r="ALE193" s="1"/>
      <c r="ALF193" s="1"/>
      <c r="ALG193" s="1"/>
      <c r="ALH193" s="1"/>
      <c r="ALI193" s="1"/>
      <c r="ALJ193" s="1"/>
      <c r="ALK193" s="1"/>
      <c r="ALL193" s="1"/>
      <c r="ALM193" s="1"/>
      <c r="ALN193" s="1"/>
      <c r="ALO193" s="1"/>
      <c r="ALP193" s="1"/>
      <c r="ALQ193" s="1"/>
      <c r="ALR193" s="1"/>
      <c r="ALS193" s="1"/>
      <c r="ALT193" s="1"/>
      <c r="ALU193" s="1"/>
      <c r="ALV193" s="1"/>
      <c r="ALW193" s="1"/>
      <c r="ALX193" s="1"/>
      <c r="ALY193" s="1"/>
      <c r="ALZ193" s="1"/>
      <c r="AMA193" s="1"/>
      <c r="AMB193" s="1"/>
      <c r="AMC193" s="1"/>
      <c r="AMD193" s="1"/>
      <c r="AME193" s="1"/>
      <c r="AMF193" s="1"/>
      <c r="AMG193" s="1"/>
      <c r="AMH193" s="1"/>
      <c r="AMI193" s="1"/>
      <c r="AMJ193" s="1"/>
    </row>
    <row r="194" s="89" customFormat="true" ht="10.5" hidden="false" customHeight="true" outlineLevel="0" collapsed="false">
      <c r="A194" s="48" t="s">
        <v>325</v>
      </c>
      <c r="B194" s="48"/>
      <c r="C194" s="48"/>
      <c r="D194" s="48"/>
      <c r="E194" s="48"/>
      <c r="F194" s="48"/>
      <c r="G194" s="48"/>
      <c r="H194" s="48"/>
      <c r="I194" s="48"/>
      <c r="J194" s="48"/>
      <c r="K194" s="48"/>
      <c r="L194" s="48"/>
      <c r="M194" s="48"/>
      <c r="N194" s="48"/>
      <c r="O194" s="48"/>
      <c r="P194" s="48"/>
      <c r="Q194" s="48"/>
      <c r="R194" s="48"/>
      <c r="S194" s="48"/>
      <c r="T194" s="48"/>
      <c r="U194" s="48"/>
      <c r="V194" s="48"/>
      <c r="W194" s="48"/>
      <c r="X194" s="48"/>
      <c r="Y194" s="48"/>
      <c r="Z194" s="48"/>
      <c r="AA194" s="48"/>
      <c r="AB194" s="48"/>
      <c r="AC194" s="48"/>
      <c r="AD194" s="48"/>
      <c r="AE194" s="48"/>
      <c r="AF194" s="48"/>
      <c r="AG194" s="48"/>
      <c r="AH194" s="48"/>
      <c r="AI194" s="48"/>
      <c r="AJ194" s="48"/>
      <c r="AK194" s="48"/>
      <c r="AL194" s="48"/>
      <c r="AM194" s="48"/>
      <c r="AN194" s="48"/>
      <c r="AO194" s="48"/>
      <c r="AP194" s="7"/>
      <c r="AQ194" s="7"/>
      <c r="AR194" s="7"/>
      <c r="AS194" s="7"/>
      <c r="AT194" s="7"/>
      <c r="AU194" s="7"/>
      <c r="AV194" s="7"/>
      <c r="AW194" s="7"/>
      <c r="AX194" s="7"/>
      <c r="AY194" s="7"/>
      <c r="AZ194" s="7"/>
      <c r="BA194" s="7"/>
      <c r="BB194" s="7"/>
      <c r="BC194" s="7"/>
    </row>
    <row r="195" s="89" customFormat="true" ht="1.5" hidden="false" customHeight="true" outlineLevel="0" collapsed="false">
      <c r="A195" s="239"/>
      <c r="B195" s="239"/>
      <c r="C195" s="239"/>
      <c r="D195" s="239"/>
      <c r="E195" s="239"/>
      <c r="F195" s="239"/>
      <c r="G195" s="239"/>
      <c r="H195" s="239"/>
      <c r="I195" s="239"/>
      <c r="J195" s="239"/>
      <c r="K195" s="239"/>
      <c r="L195" s="239"/>
      <c r="M195" s="239"/>
      <c r="N195" s="239"/>
      <c r="O195" s="239"/>
      <c r="P195" s="239"/>
      <c r="Q195" s="239"/>
      <c r="R195" s="239"/>
      <c r="S195" s="239"/>
      <c r="T195" s="239"/>
      <c r="U195" s="239"/>
      <c r="V195" s="239"/>
      <c r="W195" s="239"/>
      <c r="X195" s="239"/>
      <c r="Y195" s="239"/>
      <c r="Z195" s="239"/>
      <c r="AA195" s="239"/>
      <c r="AB195" s="239"/>
      <c r="AC195" s="239"/>
      <c r="AD195" s="239"/>
      <c r="AE195" s="239"/>
      <c r="AF195" s="239"/>
      <c r="AG195" s="239"/>
      <c r="AH195" s="239"/>
      <c r="AI195" s="239"/>
      <c r="AJ195" s="239"/>
      <c r="AK195" s="239"/>
      <c r="AL195" s="239"/>
      <c r="AM195" s="239"/>
      <c r="AN195" s="239"/>
      <c r="AO195" s="239"/>
      <c r="AP195" s="7"/>
      <c r="AQ195" s="7"/>
      <c r="AR195" s="7"/>
      <c r="AS195" s="7"/>
      <c r="AT195" s="7"/>
      <c r="AU195" s="7"/>
      <c r="AV195" s="7"/>
      <c r="AW195" s="7"/>
      <c r="AX195" s="7"/>
      <c r="AY195" s="7"/>
      <c r="AZ195" s="7"/>
      <c r="BA195" s="7"/>
      <c r="BB195" s="7"/>
      <c r="BC195" s="7"/>
    </row>
    <row r="196" s="89" customFormat="true" ht="10.5" hidden="false" customHeight="true" outlineLevel="0" collapsed="false">
      <c r="A196" s="134" t="s">
        <v>326</v>
      </c>
      <c r="B196" s="134"/>
      <c r="C196" s="134"/>
      <c r="D196" s="134"/>
      <c r="E196" s="134"/>
      <c r="F196" s="134"/>
      <c r="G196" s="134"/>
      <c r="H196" s="134"/>
      <c r="I196" s="134"/>
      <c r="J196" s="134"/>
      <c r="K196" s="134"/>
      <c r="L196" s="134"/>
      <c r="M196" s="134"/>
      <c r="N196" s="220" t="s">
        <v>327</v>
      </c>
      <c r="O196" s="220"/>
      <c r="P196" s="220"/>
      <c r="Q196" s="220"/>
      <c r="R196" s="220"/>
      <c r="S196" s="181"/>
      <c r="T196" s="181"/>
      <c r="U196" s="134" t="s">
        <v>328</v>
      </c>
      <c r="V196" s="134"/>
      <c r="W196" s="134"/>
      <c r="X196" s="134"/>
      <c r="Y196" s="134"/>
      <c r="Z196" s="134"/>
      <c r="AA196" s="134"/>
      <c r="AB196" s="134"/>
      <c r="AC196" s="134"/>
      <c r="AD196" s="134"/>
      <c r="AE196" s="134"/>
      <c r="AF196" s="134"/>
      <c r="AG196" s="134"/>
      <c r="AH196" s="220" t="s">
        <v>327</v>
      </c>
      <c r="AI196" s="220"/>
      <c r="AJ196" s="220"/>
      <c r="AK196" s="220"/>
      <c r="AL196" s="220"/>
      <c r="AM196" s="214"/>
      <c r="AN196" s="214"/>
      <c r="AO196" s="214"/>
      <c r="AP196" s="7"/>
      <c r="AQ196" s="7"/>
      <c r="AR196" s="7"/>
      <c r="AS196" s="7"/>
      <c r="AT196" s="7"/>
      <c r="AU196" s="7"/>
      <c r="AV196" s="7"/>
      <c r="AW196" s="7"/>
      <c r="AX196" s="7"/>
      <c r="AY196" s="7"/>
      <c r="AZ196" s="7"/>
      <c r="BA196" s="7"/>
      <c r="BB196" s="7"/>
      <c r="BC196" s="7"/>
    </row>
    <row r="197" s="89" customFormat="true" ht="10.5" hidden="false" customHeight="true" outlineLevel="0" collapsed="false">
      <c r="A197" s="80" t="s">
        <v>329</v>
      </c>
      <c r="B197" s="80"/>
      <c r="C197" s="80"/>
      <c r="D197" s="80"/>
      <c r="E197" s="80"/>
      <c r="F197" s="80"/>
      <c r="G197" s="80"/>
      <c r="H197" s="80"/>
      <c r="I197" s="80"/>
      <c r="J197" s="80"/>
      <c r="K197" s="80"/>
      <c r="L197" s="80"/>
      <c r="M197" s="80"/>
      <c r="N197" s="240"/>
      <c r="O197" s="240"/>
      <c r="P197" s="240"/>
      <c r="Q197" s="240"/>
      <c r="R197" s="240"/>
      <c r="S197" s="181"/>
      <c r="T197" s="181"/>
      <c r="U197" s="80" t="s">
        <v>330</v>
      </c>
      <c r="V197" s="80"/>
      <c r="W197" s="80"/>
      <c r="X197" s="80"/>
      <c r="Y197" s="80"/>
      <c r="Z197" s="80"/>
      <c r="AA197" s="80"/>
      <c r="AB197" s="80"/>
      <c r="AC197" s="80"/>
      <c r="AD197" s="80"/>
      <c r="AE197" s="80"/>
      <c r="AF197" s="80"/>
      <c r="AG197" s="80"/>
      <c r="AH197" s="240"/>
      <c r="AI197" s="240"/>
      <c r="AJ197" s="240"/>
      <c r="AK197" s="240"/>
      <c r="AL197" s="240"/>
      <c r="AM197" s="214"/>
      <c r="AN197" s="214"/>
      <c r="AO197" s="214"/>
      <c r="AP197" s="7"/>
      <c r="AQ197" s="7"/>
      <c r="AR197" s="7"/>
      <c r="AS197" s="7"/>
      <c r="AT197" s="7"/>
      <c r="AU197" s="7"/>
      <c r="AV197" s="7"/>
      <c r="AW197" s="7"/>
      <c r="AX197" s="7"/>
      <c r="AY197" s="7"/>
      <c r="AZ197" s="7"/>
      <c r="BA197" s="7"/>
      <c r="BB197" s="7"/>
      <c r="BC197" s="7"/>
    </row>
    <row r="198" s="89" customFormat="true" ht="10.5" hidden="false" customHeight="true" outlineLevel="0" collapsed="false">
      <c r="A198" s="80" t="s">
        <v>331</v>
      </c>
      <c r="B198" s="80"/>
      <c r="C198" s="80"/>
      <c r="D198" s="80"/>
      <c r="E198" s="80"/>
      <c r="F198" s="80"/>
      <c r="G198" s="80"/>
      <c r="H198" s="80"/>
      <c r="I198" s="80"/>
      <c r="J198" s="80"/>
      <c r="K198" s="80"/>
      <c r="L198" s="80"/>
      <c r="M198" s="80"/>
      <c r="N198" s="240" t="n">
        <v>41</v>
      </c>
      <c r="O198" s="240"/>
      <c r="P198" s="240"/>
      <c r="Q198" s="240"/>
      <c r="R198" s="240"/>
      <c r="S198" s="181"/>
      <c r="T198" s="181"/>
      <c r="U198" s="80" t="s">
        <v>332</v>
      </c>
      <c r="V198" s="80"/>
      <c r="W198" s="80"/>
      <c r="X198" s="80"/>
      <c r="Y198" s="80"/>
      <c r="Z198" s="80"/>
      <c r="AA198" s="80"/>
      <c r="AB198" s="80"/>
      <c r="AC198" s="80"/>
      <c r="AD198" s="80"/>
      <c r="AE198" s="80"/>
      <c r="AF198" s="80"/>
      <c r="AG198" s="80"/>
      <c r="AH198" s="240"/>
      <c r="AI198" s="240"/>
      <c r="AJ198" s="240"/>
      <c r="AK198" s="240"/>
      <c r="AL198" s="240"/>
      <c r="AM198" s="214"/>
      <c r="AN198" s="214"/>
      <c r="AO198" s="214"/>
      <c r="AP198" s="7"/>
      <c r="AQ198" s="7"/>
      <c r="AR198" s="7"/>
      <c r="AS198" s="7"/>
      <c r="AT198" s="7"/>
      <c r="AU198" s="7"/>
      <c r="AV198" s="7"/>
      <c r="AW198" s="7"/>
      <c r="AX198" s="7"/>
      <c r="AY198" s="7"/>
      <c r="AZ198" s="7"/>
      <c r="BA198" s="7"/>
      <c r="BB198" s="7"/>
      <c r="BC198" s="7"/>
    </row>
    <row r="199" s="89" customFormat="true" ht="10.5" hidden="false" customHeight="true" outlineLevel="0" collapsed="false">
      <c r="A199" s="80" t="s">
        <v>333</v>
      </c>
      <c r="B199" s="80"/>
      <c r="C199" s="80"/>
      <c r="D199" s="80"/>
      <c r="E199" s="80"/>
      <c r="F199" s="80"/>
      <c r="G199" s="80"/>
      <c r="H199" s="80"/>
      <c r="I199" s="80"/>
      <c r="J199" s="80"/>
      <c r="K199" s="80"/>
      <c r="L199" s="80"/>
      <c r="M199" s="80"/>
      <c r="N199" s="240"/>
      <c r="O199" s="240"/>
      <c r="P199" s="240"/>
      <c r="Q199" s="240"/>
      <c r="R199" s="240"/>
      <c r="S199" s="181"/>
      <c r="T199" s="181"/>
      <c r="U199" s="80" t="s">
        <v>334</v>
      </c>
      <c r="V199" s="80"/>
      <c r="W199" s="80"/>
      <c r="X199" s="80"/>
      <c r="Y199" s="80"/>
      <c r="Z199" s="80"/>
      <c r="AA199" s="80"/>
      <c r="AB199" s="80"/>
      <c r="AC199" s="80"/>
      <c r="AD199" s="80"/>
      <c r="AE199" s="80"/>
      <c r="AF199" s="80"/>
      <c r="AG199" s="80"/>
      <c r="AH199" s="240"/>
      <c r="AI199" s="240"/>
      <c r="AJ199" s="240"/>
      <c r="AK199" s="240"/>
      <c r="AL199" s="240"/>
      <c r="AM199" s="214"/>
      <c r="AN199" s="214"/>
      <c r="AO199" s="214"/>
      <c r="AP199" s="7"/>
      <c r="AQ199" s="7"/>
      <c r="AR199" s="7"/>
      <c r="AS199" s="7"/>
      <c r="AT199" s="7"/>
      <c r="AU199" s="7"/>
      <c r="AV199" s="7"/>
      <c r="AW199" s="7"/>
      <c r="AX199" s="7"/>
      <c r="AY199" s="7"/>
      <c r="AZ199" s="7"/>
      <c r="BA199" s="7"/>
      <c r="BB199" s="7"/>
      <c r="BC199" s="7"/>
    </row>
    <row r="200" s="89" customFormat="true" ht="10.5" hidden="false" customHeight="true" outlineLevel="0" collapsed="false">
      <c r="A200" s="80" t="s">
        <v>335</v>
      </c>
      <c r="B200" s="80"/>
      <c r="C200" s="80"/>
      <c r="D200" s="80"/>
      <c r="E200" s="80"/>
      <c r="F200" s="80"/>
      <c r="G200" s="80"/>
      <c r="H200" s="80"/>
      <c r="I200" s="80"/>
      <c r="J200" s="80"/>
      <c r="K200" s="80"/>
      <c r="L200" s="80"/>
      <c r="M200" s="80"/>
      <c r="N200" s="240"/>
      <c r="O200" s="240"/>
      <c r="P200" s="240"/>
      <c r="Q200" s="240"/>
      <c r="R200" s="240"/>
      <c r="S200" s="181"/>
      <c r="T200" s="181"/>
      <c r="U200" s="80" t="s">
        <v>336</v>
      </c>
      <c r="V200" s="80"/>
      <c r="W200" s="80"/>
      <c r="X200" s="80"/>
      <c r="Y200" s="80"/>
      <c r="Z200" s="80"/>
      <c r="AA200" s="80"/>
      <c r="AB200" s="80"/>
      <c r="AC200" s="80"/>
      <c r="AD200" s="80"/>
      <c r="AE200" s="80"/>
      <c r="AF200" s="80"/>
      <c r="AG200" s="80"/>
      <c r="AH200" s="240"/>
      <c r="AI200" s="240"/>
      <c r="AJ200" s="240"/>
      <c r="AK200" s="240"/>
      <c r="AL200" s="240"/>
      <c r="AM200" s="214"/>
      <c r="AN200" s="214"/>
      <c r="AO200" s="214"/>
      <c r="AP200" s="7"/>
      <c r="AQ200" s="7"/>
      <c r="AR200" s="7"/>
      <c r="AS200" s="7"/>
      <c r="AT200" s="7"/>
      <c r="AU200" s="7"/>
      <c r="AV200" s="7"/>
      <c r="AW200" s="7"/>
      <c r="AX200" s="7"/>
      <c r="AY200" s="7"/>
      <c r="AZ200" s="7"/>
      <c r="BA200" s="7"/>
      <c r="BB200" s="7"/>
      <c r="BC200" s="7"/>
    </row>
    <row r="201" s="89" customFormat="true" ht="10.5" hidden="false" customHeight="true" outlineLevel="0" collapsed="false">
      <c r="A201" s="80" t="s">
        <v>337</v>
      </c>
      <c r="B201" s="80"/>
      <c r="C201" s="80"/>
      <c r="D201" s="80"/>
      <c r="E201" s="80"/>
      <c r="F201" s="80"/>
      <c r="G201" s="80"/>
      <c r="H201" s="80"/>
      <c r="I201" s="80"/>
      <c r="J201" s="80"/>
      <c r="K201" s="80"/>
      <c r="L201" s="80"/>
      <c r="M201" s="80"/>
      <c r="N201" s="240" t="n">
        <f aca="false">+AE114</f>
        <v>0</v>
      </c>
      <c r="O201" s="240"/>
      <c r="P201" s="240"/>
      <c r="Q201" s="240"/>
      <c r="R201" s="240"/>
      <c r="S201" s="181"/>
      <c r="T201" s="181"/>
      <c r="U201" s="241" t="s">
        <v>338</v>
      </c>
      <c r="V201" s="241"/>
      <c r="W201" s="241"/>
      <c r="X201" s="241"/>
      <c r="Y201" s="241"/>
      <c r="Z201" s="241"/>
      <c r="AA201" s="241"/>
      <c r="AB201" s="241"/>
      <c r="AC201" s="241"/>
      <c r="AD201" s="241"/>
      <c r="AE201" s="241"/>
      <c r="AF201" s="241"/>
      <c r="AG201" s="241"/>
      <c r="AH201" s="226" t="n">
        <f aca="false">SUM(AH197:AO200)</f>
        <v>0</v>
      </c>
      <c r="AI201" s="226"/>
      <c r="AJ201" s="226"/>
      <c r="AK201" s="226"/>
      <c r="AL201" s="226"/>
      <c r="AM201" s="214"/>
      <c r="AN201" s="214"/>
      <c r="AO201" s="214"/>
      <c r="AP201" s="7"/>
      <c r="AQ201" s="7"/>
      <c r="AR201" s="7"/>
      <c r="AS201" s="7"/>
      <c r="AT201" s="7"/>
      <c r="AU201" s="7"/>
      <c r="AV201" s="7"/>
      <c r="AW201" s="7"/>
      <c r="AX201" s="7"/>
      <c r="AY201" s="7"/>
      <c r="AZ201" s="7"/>
      <c r="BA201" s="7"/>
      <c r="BB201" s="7"/>
      <c r="BC201" s="7"/>
    </row>
    <row r="202" s="89" customFormat="true" ht="10.5" hidden="false" customHeight="true" outlineLevel="0" collapsed="false">
      <c r="A202" s="241" t="s">
        <v>339</v>
      </c>
      <c r="B202" s="241"/>
      <c r="C202" s="241"/>
      <c r="D202" s="241"/>
      <c r="E202" s="241"/>
      <c r="F202" s="241"/>
      <c r="G202" s="241"/>
      <c r="H202" s="241"/>
      <c r="I202" s="241"/>
      <c r="J202" s="241"/>
      <c r="K202" s="241"/>
      <c r="L202" s="241"/>
      <c r="M202" s="241"/>
      <c r="N202" s="242" t="n">
        <f aca="false">SUM(N197:R201)</f>
        <v>41</v>
      </c>
      <c r="O202" s="242"/>
      <c r="P202" s="242"/>
      <c r="Q202" s="242"/>
      <c r="R202" s="242"/>
      <c r="S202" s="181"/>
      <c r="T202" s="181"/>
      <c r="U202" s="243" t="s">
        <v>340</v>
      </c>
      <c r="V202" s="243"/>
      <c r="W202" s="243"/>
      <c r="X202" s="243"/>
      <c r="Y202" s="243"/>
      <c r="Z202" s="243"/>
      <c r="AA202" s="243"/>
      <c r="AB202" s="243"/>
      <c r="AC202" s="243"/>
      <c r="AD202" s="243"/>
      <c r="AE202" s="243"/>
      <c r="AF202" s="243"/>
      <c r="AG202" s="243"/>
      <c r="AH202" s="244" t="n">
        <v>50104.5</v>
      </c>
      <c r="AI202" s="244"/>
      <c r="AJ202" s="244"/>
      <c r="AK202" s="244"/>
      <c r="AL202" s="244"/>
      <c r="AM202" s="214"/>
      <c r="AN202" s="214"/>
      <c r="AO202" s="214"/>
      <c r="AP202" s="7"/>
      <c r="AQ202" s="7"/>
      <c r="AR202" s="7"/>
      <c r="AS202" s="7"/>
      <c r="AT202" s="7"/>
      <c r="AU202" s="7"/>
      <c r="AV202" s="7"/>
      <c r="AW202" s="7"/>
      <c r="AX202" s="7"/>
      <c r="AY202" s="7"/>
      <c r="AZ202" s="7"/>
      <c r="BA202" s="7"/>
      <c r="BB202" s="7"/>
      <c r="BC202" s="7"/>
    </row>
    <row r="203" s="89" customFormat="true" ht="10.5" hidden="false" customHeight="true" outlineLevel="0" collapsed="false">
      <c r="A203" s="243" t="s">
        <v>341</v>
      </c>
      <c r="B203" s="243"/>
      <c r="C203" s="243"/>
      <c r="D203" s="243"/>
      <c r="E203" s="243"/>
      <c r="F203" s="243"/>
      <c r="G203" s="243"/>
      <c r="H203" s="243"/>
      <c r="I203" s="243"/>
      <c r="J203" s="243"/>
      <c r="K203" s="243"/>
      <c r="L203" s="243"/>
      <c r="M203" s="243"/>
      <c r="N203" s="244"/>
      <c r="O203" s="244"/>
      <c r="P203" s="244"/>
      <c r="Q203" s="244"/>
      <c r="R203" s="244"/>
      <c r="S203" s="181"/>
      <c r="T203" s="181"/>
      <c r="U203" s="80" t="s">
        <v>342</v>
      </c>
      <c r="V203" s="80"/>
      <c r="W203" s="80"/>
      <c r="X203" s="80"/>
      <c r="Y203" s="80"/>
      <c r="Z203" s="80"/>
      <c r="AA203" s="80"/>
      <c r="AB203" s="80"/>
      <c r="AC203" s="80"/>
      <c r="AD203" s="80"/>
      <c r="AE203" s="80"/>
      <c r="AF203" s="80"/>
      <c r="AG203" s="80"/>
      <c r="AH203" s="240" t="n">
        <v>10751.81</v>
      </c>
      <c r="AI203" s="240"/>
      <c r="AJ203" s="240"/>
      <c r="AK203" s="240"/>
      <c r="AL203" s="240"/>
      <c r="AM203" s="214"/>
      <c r="AN203" s="214"/>
      <c r="AO203" s="214"/>
      <c r="AP203" s="7"/>
      <c r="AQ203" s="7"/>
      <c r="AR203" s="7"/>
      <c r="AS203" s="7"/>
      <c r="AT203" s="7"/>
      <c r="AU203" s="7"/>
      <c r="AV203" s="7"/>
      <c r="AW203" s="7"/>
      <c r="AX203" s="7"/>
      <c r="AY203" s="7"/>
      <c r="AZ203" s="7"/>
      <c r="BA203" s="7"/>
      <c r="BB203" s="7"/>
      <c r="BC203" s="7"/>
    </row>
    <row r="204" s="89" customFormat="true" ht="10.5" hidden="false" customHeight="true" outlineLevel="0" collapsed="false">
      <c r="A204" s="80" t="s">
        <v>343</v>
      </c>
      <c r="B204" s="80"/>
      <c r="C204" s="80"/>
      <c r="D204" s="80"/>
      <c r="E204" s="80"/>
      <c r="F204" s="80"/>
      <c r="G204" s="80"/>
      <c r="H204" s="80"/>
      <c r="I204" s="80"/>
      <c r="J204" s="80"/>
      <c r="K204" s="80"/>
      <c r="L204" s="80"/>
      <c r="M204" s="80"/>
      <c r="N204" s="240"/>
      <c r="O204" s="240"/>
      <c r="P204" s="240"/>
      <c r="Q204" s="240"/>
      <c r="R204" s="240"/>
      <c r="S204" s="181"/>
      <c r="T204" s="181"/>
      <c r="U204" s="80" t="s">
        <v>344</v>
      </c>
      <c r="V204" s="80"/>
      <c r="W204" s="80"/>
      <c r="X204" s="80"/>
      <c r="Y204" s="80"/>
      <c r="Z204" s="80"/>
      <c r="AA204" s="80"/>
      <c r="AB204" s="80"/>
      <c r="AC204" s="80"/>
      <c r="AD204" s="80"/>
      <c r="AE204" s="80"/>
      <c r="AF204" s="80"/>
      <c r="AG204" s="80"/>
      <c r="AH204" s="240"/>
      <c r="AI204" s="240"/>
      <c r="AJ204" s="240"/>
      <c r="AK204" s="240"/>
      <c r="AL204" s="240"/>
      <c r="AM204" s="214"/>
      <c r="AN204" s="214"/>
      <c r="AO204" s="214"/>
      <c r="AP204" s="7"/>
      <c r="AQ204" s="7"/>
      <c r="AR204" s="7"/>
      <c r="AS204" s="7"/>
      <c r="AT204" s="7"/>
      <c r="AU204" s="7"/>
      <c r="AV204" s="7"/>
      <c r="AW204" s="7"/>
      <c r="AX204" s="7"/>
      <c r="AY204" s="7"/>
      <c r="AZ204" s="7"/>
      <c r="BA204" s="7"/>
      <c r="BB204" s="7"/>
      <c r="BC204" s="7"/>
    </row>
    <row r="205" s="89" customFormat="true" ht="10.5" hidden="false" customHeight="true" outlineLevel="0" collapsed="false">
      <c r="A205" s="80" t="s">
        <v>345</v>
      </c>
      <c r="B205" s="80"/>
      <c r="C205" s="80"/>
      <c r="D205" s="80"/>
      <c r="E205" s="80"/>
      <c r="F205" s="80"/>
      <c r="G205" s="80"/>
      <c r="H205" s="80"/>
      <c r="I205" s="80"/>
      <c r="J205" s="80"/>
      <c r="K205" s="80"/>
      <c r="L205" s="80"/>
      <c r="M205" s="80"/>
      <c r="N205" s="240" t="n">
        <v>5000</v>
      </c>
      <c r="O205" s="240"/>
      <c r="P205" s="240"/>
      <c r="Q205" s="240"/>
      <c r="R205" s="240"/>
      <c r="S205" s="181"/>
      <c r="T205" s="181"/>
      <c r="U205" s="241" t="s">
        <v>346</v>
      </c>
      <c r="V205" s="241"/>
      <c r="W205" s="241"/>
      <c r="X205" s="241"/>
      <c r="Y205" s="241"/>
      <c r="Z205" s="241"/>
      <c r="AA205" s="241"/>
      <c r="AB205" s="241"/>
      <c r="AC205" s="241"/>
      <c r="AD205" s="241"/>
      <c r="AE205" s="241"/>
      <c r="AF205" s="241"/>
      <c r="AG205" s="241"/>
      <c r="AH205" s="226" t="n">
        <f aca="false">SUM(AH202:AO204)</f>
        <v>60856.31</v>
      </c>
      <c r="AI205" s="226"/>
      <c r="AJ205" s="226"/>
      <c r="AK205" s="226"/>
      <c r="AL205" s="226"/>
      <c r="AM205" s="214"/>
      <c r="AN205" s="214"/>
      <c r="AO205" s="214"/>
      <c r="AP205" s="7"/>
      <c r="AQ205" s="7"/>
      <c r="AR205" s="7"/>
      <c r="AS205" s="7"/>
      <c r="AT205" s="7"/>
      <c r="AU205" s="7"/>
      <c r="AV205" s="7"/>
      <c r="AW205" s="7"/>
      <c r="AX205" s="7"/>
      <c r="AY205" s="7"/>
      <c r="AZ205" s="7"/>
      <c r="BA205" s="7"/>
      <c r="BB205" s="7"/>
      <c r="BC205" s="7"/>
    </row>
    <row r="206" s="89" customFormat="true" ht="10.5" hidden="false" customHeight="true" outlineLevel="0" collapsed="false">
      <c r="A206" s="245" t="s">
        <v>347</v>
      </c>
      <c r="B206" s="245"/>
      <c r="C206" s="245"/>
      <c r="D206" s="245"/>
      <c r="E206" s="245"/>
      <c r="F206" s="245"/>
      <c r="G206" s="245"/>
      <c r="H206" s="245"/>
      <c r="I206" s="245"/>
      <c r="J206" s="245"/>
      <c r="K206" s="245"/>
      <c r="L206" s="245"/>
      <c r="M206" s="245"/>
      <c r="N206" s="246" t="n">
        <f aca="false">SUM(N203:R205)</f>
        <v>5000</v>
      </c>
      <c r="O206" s="246"/>
      <c r="P206" s="246"/>
      <c r="Q206" s="246"/>
      <c r="R206" s="246"/>
      <c r="S206" s="181"/>
      <c r="T206" s="181"/>
      <c r="U206" s="247"/>
      <c r="V206" s="247"/>
      <c r="W206" s="247"/>
      <c r="X206" s="247"/>
      <c r="Y206" s="247"/>
      <c r="Z206" s="247"/>
      <c r="AA206" s="247"/>
      <c r="AB206" s="247"/>
      <c r="AC206" s="247"/>
      <c r="AD206" s="247"/>
      <c r="AE206" s="247"/>
      <c r="AF206" s="247"/>
      <c r="AG206" s="247"/>
      <c r="AH206" s="247"/>
      <c r="AI206" s="247"/>
      <c r="AJ206" s="247"/>
      <c r="AK206" s="247"/>
      <c r="AL206" s="247"/>
      <c r="AM206" s="247"/>
      <c r="AN206" s="247"/>
      <c r="AO206" s="247"/>
      <c r="AP206" s="7"/>
      <c r="AQ206" s="7"/>
      <c r="AR206" s="7"/>
      <c r="AS206" s="7"/>
      <c r="AT206" s="7"/>
      <c r="AU206" s="7"/>
      <c r="AV206" s="7"/>
      <c r="AW206" s="7"/>
      <c r="AX206" s="7"/>
      <c r="AY206" s="7"/>
      <c r="AZ206" s="7"/>
      <c r="BA206" s="7"/>
      <c r="BB206" s="7"/>
      <c r="BC206" s="7"/>
    </row>
    <row r="207" s="89" customFormat="true" ht="10.5" hidden="false" customHeight="true" outlineLevel="0" collapsed="false">
      <c r="A207" s="243" t="s">
        <v>348</v>
      </c>
      <c r="B207" s="243"/>
      <c r="C207" s="243"/>
      <c r="D207" s="243"/>
      <c r="E207" s="243"/>
      <c r="F207" s="243"/>
      <c r="G207" s="243"/>
      <c r="H207" s="243"/>
      <c r="I207" s="243"/>
      <c r="J207" s="243"/>
      <c r="K207" s="243"/>
      <c r="L207" s="243"/>
      <c r="M207" s="243"/>
      <c r="N207" s="244"/>
      <c r="O207" s="244"/>
      <c r="P207" s="244"/>
      <c r="Q207" s="244"/>
      <c r="R207" s="244"/>
      <c r="S207" s="181"/>
      <c r="T207" s="181"/>
      <c r="U207" s="150" t="s">
        <v>349</v>
      </c>
      <c r="V207" s="150"/>
      <c r="W207" s="150"/>
      <c r="X207" s="150"/>
      <c r="Y207" s="150"/>
      <c r="Z207" s="150"/>
      <c r="AA207" s="150"/>
      <c r="AB207" s="150"/>
      <c r="AC207" s="150"/>
      <c r="AD207" s="150"/>
      <c r="AE207" s="150"/>
      <c r="AF207" s="150"/>
      <c r="AG207" s="150"/>
      <c r="AH207" s="248" t="n">
        <f aca="false">AH201+AH205</f>
        <v>60856.31</v>
      </c>
      <c r="AI207" s="248"/>
      <c r="AJ207" s="248"/>
      <c r="AK207" s="248"/>
      <c r="AL207" s="248"/>
      <c r="AM207" s="249"/>
      <c r="AN207" s="249"/>
      <c r="AO207" s="249"/>
      <c r="AP207" s="7"/>
      <c r="AQ207" s="7"/>
      <c r="AR207" s="7"/>
      <c r="AS207" s="7"/>
      <c r="AT207" s="7"/>
      <c r="AU207" s="7"/>
      <c r="AV207" s="7"/>
      <c r="AW207" s="7"/>
      <c r="AX207" s="7"/>
      <c r="AY207" s="7"/>
      <c r="AZ207" s="7"/>
      <c r="BA207" s="7"/>
      <c r="BB207" s="7"/>
      <c r="BC207" s="7"/>
    </row>
    <row r="208" s="89" customFormat="true" ht="10.5" hidden="false" customHeight="true" outlineLevel="0" collapsed="false">
      <c r="A208" s="80" t="s">
        <v>350</v>
      </c>
      <c r="B208" s="80"/>
      <c r="C208" s="80"/>
      <c r="D208" s="80"/>
      <c r="E208" s="80"/>
      <c r="F208" s="80"/>
      <c r="G208" s="80"/>
      <c r="H208" s="80"/>
      <c r="I208" s="80"/>
      <c r="J208" s="80"/>
      <c r="K208" s="80"/>
      <c r="L208" s="80"/>
      <c r="M208" s="80"/>
      <c r="N208" s="240" t="n">
        <v>180000</v>
      </c>
      <c r="O208" s="240"/>
      <c r="P208" s="240"/>
      <c r="Q208" s="240"/>
      <c r="R208" s="240"/>
      <c r="S208" s="181"/>
      <c r="T208" s="181"/>
      <c r="AO208" s="90"/>
      <c r="AP208" s="7"/>
      <c r="AQ208" s="7"/>
      <c r="AR208" s="7"/>
      <c r="AS208" s="7"/>
      <c r="AT208" s="7"/>
      <c r="AU208" s="7"/>
      <c r="AV208" s="7"/>
      <c r="AW208" s="7"/>
      <c r="AX208" s="7"/>
      <c r="AY208" s="7"/>
      <c r="AZ208" s="7"/>
      <c r="BA208" s="7"/>
      <c r="BB208" s="7"/>
      <c r="BC208" s="7"/>
    </row>
    <row r="209" s="89" customFormat="true" ht="10.5" hidden="false" customHeight="true" outlineLevel="0" collapsed="false">
      <c r="A209" s="80" t="s">
        <v>351</v>
      </c>
      <c r="B209" s="80"/>
      <c r="C209" s="80"/>
      <c r="D209" s="80"/>
      <c r="E209" s="80"/>
      <c r="F209" s="80"/>
      <c r="G209" s="80"/>
      <c r="H209" s="80"/>
      <c r="I209" s="80"/>
      <c r="J209" s="80"/>
      <c r="K209" s="80"/>
      <c r="L209" s="80"/>
      <c r="M209" s="80"/>
      <c r="N209" s="240" t="n">
        <v>150000</v>
      </c>
      <c r="O209" s="240"/>
      <c r="P209" s="240"/>
      <c r="Q209" s="240"/>
      <c r="R209" s="240"/>
      <c r="S209" s="181"/>
      <c r="T209" s="181"/>
      <c r="AO209" s="90"/>
      <c r="AP209" s="7"/>
      <c r="AQ209" s="7"/>
      <c r="AR209" s="7"/>
      <c r="AS209" s="7"/>
      <c r="AT209" s="7"/>
      <c r="AU209" s="7"/>
      <c r="AV209" s="7"/>
      <c r="AW209" s="7"/>
      <c r="AX209" s="7"/>
      <c r="AY209" s="7"/>
      <c r="AZ209" s="7"/>
      <c r="BA209" s="7"/>
      <c r="BB209" s="7"/>
      <c r="BC209" s="7"/>
    </row>
    <row r="210" s="89" customFormat="true" ht="10.5" hidden="false" customHeight="true" outlineLevel="0" collapsed="false">
      <c r="A210" s="80" t="s">
        <v>352</v>
      </c>
      <c r="B210" s="80"/>
      <c r="C210" s="80"/>
      <c r="D210" s="80"/>
      <c r="E210" s="80"/>
      <c r="F210" s="80"/>
      <c r="G210" s="80"/>
      <c r="H210" s="80"/>
      <c r="I210" s="80"/>
      <c r="J210" s="80"/>
      <c r="K210" s="80"/>
      <c r="L210" s="80"/>
      <c r="M210" s="80"/>
      <c r="N210" s="240" t="n">
        <f aca="false">+Z178</f>
        <v>0</v>
      </c>
      <c r="O210" s="240"/>
      <c r="P210" s="240"/>
      <c r="Q210" s="240"/>
      <c r="R210" s="240"/>
      <c r="S210" s="181"/>
      <c r="T210" s="181"/>
      <c r="U210" s="73" t="s">
        <v>353</v>
      </c>
      <c r="V210" s="73"/>
      <c r="W210" s="73"/>
      <c r="X210" s="73"/>
      <c r="Y210" s="73"/>
      <c r="Z210" s="73"/>
      <c r="AA210" s="73"/>
      <c r="AB210" s="73"/>
      <c r="AC210" s="73"/>
      <c r="AD210" s="73"/>
      <c r="AE210" s="73"/>
      <c r="AF210" s="73"/>
      <c r="AG210" s="73"/>
      <c r="AH210" s="145" t="n">
        <f aca="false">N214-AH207</f>
        <v>274184.69</v>
      </c>
      <c r="AI210" s="145"/>
      <c r="AJ210" s="145"/>
      <c r="AK210" s="145"/>
      <c r="AL210" s="145"/>
      <c r="AM210" s="249"/>
      <c r="AN210" s="249"/>
      <c r="AO210" s="249"/>
      <c r="AP210" s="7"/>
      <c r="AQ210" s="7"/>
      <c r="AR210" s="7"/>
      <c r="AS210" s="7"/>
      <c r="AT210" s="7"/>
      <c r="AU210" s="7"/>
      <c r="AV210" s="7"/>
      <c r="AW210" s="7"/>
      <c r="AX210" s="7"/>
      <c r="AY210" s="7"/>
      <c r="AZ210" s="7"/>
      <c r="BA210" s="7"/>
      <c r="BB210" s="7"/>
      <c r="BC210" s="7"/>
    </row>
    <row r="211" s="89" customFormat="true" ht="10.5" hidden="false" customHeight="true" outlineLevel="0" collapsed="false">
      <c r="A211" s="80" t="s">
        <v>354</v>
      </c>
      <c r="B211" s="80"/>
      <c r="C211" s="80"/>
      <c r="D211" s="80"/>
      <c r="E211" s="80"/>
      <c r="F211" s="80"/>
      <c r="G211" s="80"/>
      <c r="H211" s="80"/>
      <c r="I211" s="80"/>
      <c r="J211" s="80"/>
      <c r="K211" s="80"/>
      <c r="L211" s="80"/>
      <c r="M211" s="80"/>
      <c r="N211" s="240" t="n">
        <f aca="false">+Z180</f>
        <v>0</v>
      </c>
      <c r="O211" s="240"/>
      <c r="P211" s="240"/>
      <c r="Q211" s="240"/>
      <c r="R211" s="240"/>
      <c r="S211" s="181"/>
      <c r="T211" s="181"/>
      <c r="AO211" s="90"/>
      <c r="AP211" s="7"/>
      <c r="AQ211" s="7"/>
      <c r="AR211" s="7"/>
      <c r="AS211" s="7"/>
      <c r="AT211" s="7"/>
      <c r="AU211" s="7"/>
      <c r="AV211" s="7"/>
      <c r="AW211" s="7"/>
      <c r="AX211" s="7"/>
      <c r="AY211" s="7"/>
      <c r="AZ211" s="7"/>
      <c r="BA211" s="7"/>
      <c r="BB211" s="7"/>
      <c r="BC211" s="7"/>
    </row>
    <row r="212" s="89" customFormat="true" ht="10.5" hidden="false" customHeight="true" outlineLevel="0" collapsed="false">
      <c r="A212" s="241" t="s">
        <v>355</v>
      </c>
      <c r="B212" s="241"/>
      <c r="C212" s="241"/>
      <c r="D212" s="241"/>
      <c r="E212" s="241"/>
      <c r="F212" s="241"/>
      <c r="G212" s="241"/>
      <c r="H212" s="241"/>
      <c r="I212" s="241"/>
      <c r="J212" s="241"/>
      <c r="K212" s="241"/>
      <c r="L212" s="241"/>
      <c r="M212" s="241"/>
      <c r="N212" s="242" t="n">
        <f aca="false">SUM(N207:R211)</f>
        <v>330000</v>
      </c>
      <c r="O212" s="242"/>
      <c r="P212" s="242"/>
      <c r="Q212" s="242"/>
      <c r="R212" s="242"/>
      <c r="S212" s="181"/>
      <c r="T212" s="181"/>
      <c r="AO212" s="90"/>
      <c r="AP212" s="7"/>
      <c r="AQ212" s="7"/>
      <c r="AR212" s="7"/>
      <c r="AS212" s="7"/>
      <c r="AT212" s="7"/>
      <c r="AU212" s="7"/>
      <c r="AV212" s="7"/>
      <c r="AW212" s="7"/>
      <c r="AX212" s="7"/>
      <c r="AY212" s="7"/>
      <c r="AZ212" s="7"/>
      <c r="BA212" s="7"/>
      <c r="BB212" s="7"/>
      <c r="BC212" s="7"/>
    </row>
    <row r="213" s="89" customFormat="true" ht="3" hidden="false" customHeight="true" outlineLevel="0" collapsed="false">
      <c r="A213" s="250"/>
      <c r="B213" s="250"/>
      <c r="C213" s="250"/>
      <c r="D213" s="250"/>
      <c r="E213" s="250"/>
      <c r="F213" s="250"/>
      <c r="G213" s="250"/>
      <c r="H213" s="250"/>
      <c r="I213" s="250"/>
      <c r="J213" s="250"/>
      <c r="K213" s="250"/>
      <c r="L213" s="250"/>
      <c r="M213" s="250"/>
      <c r="N213" s="250"/>
      <c r="O213" s="250"/>
      <c r="P213" s="250"/>
      <c r="Q213" s="250"/>
      <c r="R213" s="250"/>
      <c r="S213" s="181"/>
      <c r="T213" s="181"/>
      <c r="AO213" s="90"/>
      <c r="AP213" s="7"/>
      <c r="AQ213" s="7"/>
      <c r="AR213" s="7"/>
      <c r="AS213" s="7"/>
      <c r="AT213" s="7"/>
      <c r="AU213" s="7"/>
      <c r="AV213" s="7"/>
      <c r="AW213" s="7"/>
      <c r="AX213" s="7"/>
      <c r="AY213" s="7"/>
      <c r="AZ213" s="7"/>
      <c r="BA213" s="7"/>
      <c r="BB213" s="7"/>
      <c r="BC213" s="7"/>
    </row>
    <row r="214" s="89" customFormat="true" ht="10.5" hidden="false" customHeight="true" outlineLevel="0" collapsed="false">
      <c r="A214" s="73" t="s">
        <v>356</v>
      </c>
      <c r="B214" s="73"/>
      <c r="C214" s="73"/>
      <c r="D214" s="73"/>
      <c r="E214" s="73"/>
      <c r="F214" s="73"/>
      <c r="G214" s="73"/>
      <c r="H214" s="73"/>
      <c r="I214" s="73"/>
      <c r="J214" s="73"/>
      <c r="K214" s="73"/>
      <c r="L214" s="73"/>
      <c r="M214" s="73"/>
      <c r="N214" s="145" t="n">
        <f aca="false">N202+N206+N212</f>
        <v>335041</v>
      </c>
      <c r="O214" s="145"/>
      <c r="P214" s="145"/>
      <c r="Q214" s="145"/>
      <c r="R214" s="145"/>
      <c r="S214" s="181"/>
      <c r="T214" s="181"/>
      <c r="U214" s="150" t="s">
        <v>357</v>
      </c>
      <c r="V214" s="150"/>
      <c r="W214" s="150"/>
      <c r="X214" s="150"/>
      <c r="Y214" s="150"/>
      <c r="Z214" s="150"/>
      <c r="AA214" s="150"/>
      <c r="AB214" s="150"/>
      <c r="AC214" s="150"/>
      <c r="AD214" s="150"/>
      <c r="AE214" s="150"/>
      <c r="AF214" s="150"/>
      <c r="AG214" s="150"/>
      <c r="AH214" s="248" t="n">
        <f aca="false">AH207+AH210</f>
        <v>335041</v>
      </c>
      <c r="AI214" s="248"/>
      <c r="AJ214" s="248"/>
      <c r="AK214" s="248"/>
      <c r="AL214" s="248"/>
      <c r="AM214" s="251"/>
      <c r="AN214" s="128"/>
      <c r="AO214" s="128"/>
      <c r="AP214" s="38"/>
      <c r="AQ214" s="7"/>
      <c r="AR214" s="7"/>
      <c r="AS214" s="7"/>
      <c r="AT214" s="7"/>
      <c r="AU214" s="7"/>
      <c r="AV214" s="7"/>
      <c r="AW214" s="7"/>
      <c r="AX214" s="7"/>
      <c r="AY214" s="7"/>
      <c r="AZ214" s="7"/>
      <c r="BA214" s="7"/>
      <c r="BB214" s="7"/>
      <c r="BC214" s="7"/>
    </row>
    <row r="215" s="89" customFormat="true" ht="3" hidden="false" customHeight="true" outlineLevel="0" collapsed="false">
      <c r="A215" s="252"/>
      <c r="B215" s="252"/>
      <c r="C215" s="252"/>
      <c r="D215" s="252"/>
      <c r="E215" s="252"/>
      <c r="F215" s="252"/>
      <c r="G215" s="252"/>
      <c r="H215" s="252"/>
      <c r="I215" s="252"/>
      <c r="J215" s="252"/>
      <c r="K215" s="252"/>
      <c r="L215" s="252"/>
      <c r="M215" s="252"/>
      <c r="N215" s="252"/>
      <c r="O215" s="252"/>
      <c r="P215" s="252"/>
      <c r="Q215" s="252"/>
      <c r="R215" s="252"/>
      <c r="S215" s="252"/>
      <c r="T215" s="252"/>
      <c r="U215" s="252"/>
      <c r="V215" s="252"/>
      <c r="W215" s="252"/>
      <c r="X215" s="252"/>
      <c r="Y215" s="252"/>
      <c r="Z215" s="252"/>
      <c r="AA215" s="252"/>
      <c r="AB215" s="252"/>
      <c r="AC215" s="252"/>
      <c r="AD215" s="252"/>
      <c r="AE215" s="252"/>
      <c r="AF215" s="252"/>
      <c r="AG215" s="252"/>
      <c r="AH215" s="252"/>
      <c r="AI215" s="252"/>
      <c r="AJ215" s="252"/>
      <c r="AK215" s="252"/>
      <c r="AL215" s="252"/>
      <c r="AM215" s="252"/>
      <c r="AN215" s="252"/>
      <c r="AO215" s="252"/>
      <c r="AP215" s="38"/>
      <c r="AQ215" s="7"/>
      <c r="AR215" s="7"/>
      <c r="AS215" s="7"/>
      <c r="AT215" s="7"/>
      <c r="AU215" s="7"/>
      <c r="AV215" s="7"/>
      <c r="AW215" s="7"/>
      <c r="AX215" s="7"/>
      <c r="AY215" s="7"/>
      <c r="AZ215" s="7"/>
      <c r="BA215" s="7"/>
      <c r="BB215" s="7"/>
      <c r="BC215" s="7"/>
    </row>
    <row r="216" s="89" customFormat="true" ht="3" hidden="false" customHeight="true" outlineLevel="0" collapsed="false">
      <c r="A216" s="252"/>
      <c r="B216" s="252"/>
      <c r="C216" s="252"/>
      <c r="D216" s="252"/>
      <c r="E216" s="252"/>
      <c r="F216" s="252"/>
      <c r="G216" s="252"/>
      <c r="H216" s="252"/>
      <c r="I216" s="252"/>
      <c r="J216" s="252"/>
      <c r="K216" s="252"/>
      <c r="L216" s="252"/>
      <c r="M216" s="252"/>
      <c r="N216" s="252"/>
      <c r="O216" s="252"/>
      <c r="P216" s="252"/>
      <c r="Q216" s="252"/>
      <c r="R216" s="252"/>
      <c r="S216" s="252"/>
      <c r="T216" s="252"/>
      <c r="U216" s="252"/>
      <c r="V216" s="252"/>
      <c r="W216" s="252"/>
      <c r="X216" s="252"/>
      <c r="Y216" s="252"/>
      <c r="Z216" s="252"/>
      <c r="AA216" s="252"/>
      <c r="AB216" s="252"/>
      <c r="AC216" s="252"/>
      <c r="AD216" s="252"/>
      <c r="AE216" s="252"/>
      <c r="AF216" s="252"/>
      <c r="AG216" s="252"/>
      <c r="AH216" s="252"/>
      <c r="AI216" s="252"/>
      <c r="AJ216" s="252"/>
      <c r="AK216" s="252"/>
      <c r="AL216" s="252"/>
      <c r="AM216" s="252"/>
      <c r="AN216" s="252"/>
      <c r="AO216" s="252"/>
      <c r="AP216" s="38"/>
      <c r="AQ216" s="7"/>
      <c r="AR216" s="7"/>
      <c r="AS216" s="7"/>
      <c r="AT216" s="7"/>
      <c r="AU216" s="7"/>
      <c r="AV216" s="7"/>
      <c r="AW216" s="7"/>
      <c r="AX216" s="7"/>
      <c r="AY216" s="7"/>
      <c r="AZ216" s="7"/>
      <c r="BA216" s="7"/>
      <c r="BB216" s="7"/>
      <c r="BC216" s="7"/>
    </row>
    <row r="217" s="89" customFormat="true" ht="10.5" hidden="false" customHeight="true" outlineLevel="0" collapsed="false">
      <c r="A217" s="134" t="s">
        <v>358</v>
      </c>
      <c r="B217" s="134"/>
      <c r="C217" s="134"/>
      <c r="D217" s="134"/>
      <c r="E217" s="134"/>
      <c r="F217" s="134"/>
      <c r="G217" s="134"/>
      <c r="H217" s="134"/>
      <c r="I217" s="134"/>
      <c r="J217" s="220" t="s">
        <v>327</v>
      </c>
      <c r="K217" s="220"/>
      <c r="L217" s="220"/>
      <c r="M217" s="220"/>
      <c r="N217" s="134" t="s">
        <v>359</v>
      </c>
      <c r="O217" s="134"/>
      <c r="P217" s="134"/>
      <c r="Q217" s="134"/>
      <c r="R217" s="134"/>
      <c r="S217" s="134"/>
      <c r="T217" s="134"/>
      <c r="U217" s="134"/>
      <c r="V217" s="134"/>
      <c r="W217" s="134"/>
      <c r="X217" s="134"/>
      <c r="Y217" s="220" t="s">
        <v>327</v>
      </c>
      <c r="Z217" s="220"/>
      <c r="AA217" s="220"/>
      <c r="AB217" s="220"/>
      <c r="AC217" s="253" t="s">
        <v>360</v>
      </c>
      <c r="AD217" s="253"/>
      <c r="AE217" s="253"/>
      <c r="AF217" s="253"/>
      <c r="AG217" s="253"/>
      <c r="AH217" s="253"/>
      <c r="AI217" s="253"/>
      <c r="AJ217" s="253"/>
      <c r="AK217" s="253"/>
      <c r="AL217" s="253"/>
      <c r="AM217" s="253"/>
      <c r="AN217" s="253"/>
      <c r="AO217" s="253"/>
      <c r="AP217" s="38"/>
      <c r="AQ217" s="7"/>
      <c r="AR217" s="7"/>
      <c r="AS217" s="7"/>
      <c r="AT217" s="7"/>
      <c r="AU217" s="7"/>
      <c r="AV217" s="7"/>
      <c r="AW217" s="7"/>
      <c r="AX217" s="7"/>
      <c r="AY217" s="7"/>
      <c r="AZ217" s="7"/>
      <c r="BA217" s="7"/>
      <c r="BB217" s="7"/>
      <c r="BC217" s="7"/>
    </row>
    <row r="218" s="89" customFormat="true" ht="10.5" hidden="false" customHeight="true" outlineLevel="0" collapsed="false">
      <c r="A218" s="254" t="s">
        <v>361</v>
      </c>
      <c r="B218" s="254"/>
      <c r="C218" s="254"/>
      <c r="D218" s="254"/>
      <c r="E218" s="254"/>
      <c r="F218" s="254"/>
      <c r="G218" s="254"/>
      <c r="H218" s="254"/>
      <c r="I218" s="254"/>
      <c r="J218" s="255"/>
      <c r="K218" s="255"/>
      <c r="L218" s="255"/>
      <c r="M218" s="255"/>
      <c r="N218" s="254" t="s">
        <v>362</v>
      </c>
      <c r="O218" s="254"/>
      <c r="P218" s="254"/>
      <c r="Q218" s="254"/>
      <c r="R218" s="254"/>
      <c r="S218" s="254"/>
      <c r="T218" s="254"/>
      <c r="U218" s="254"/>
      <c r="V218" s="254"/>
      <c r="W218" s="254"/>
      <c r="X218" s="254"/>
      <c r="Y218" s="256" t="n">
        <v>200</v>
      </c>
      <c r="Z218" s="256"/>
      <c r="AA218" s="256"/>
      <c r="AB218" s="256"/>
      <c r="AC218" s="80" t="s">
        <v>363</v>
      </c>
      <c r="AD218" s="80"/>
      <c r="AE218" s="80"/>
      <c r="AF218" s="80"/>
      <c r="AG218" s="80"/>
      <c r="AH218" s="80"/>
      <c r="AI218" s="80"/>
      <c r="AJ218" s="255" t="n">
        <f aca="false">+F168+O127</f>
        <v>8906</v>
      </c>
      <c r="AK218" s="255"/>
      <c r="AL218" s="255"/>
      <c r="AM218" s="255"/>
      <c r="AN218" s="255"/>
      <c r="AO218" s="255"/>
      <c r="AP218" s="7"/>
      <c r="AQ218" s="7"/>
      <c r="AR218" s="7"/>
      <c r="AS218" s="7"/>
      <c r="AT218" s="7"/>
      <c r="AU218" s="7"/>
      <c r="AV218" s="7"/>
      <c r="AW218" s="7"/>
      <c r="AX218" s="7"/>
      <c r="AY218" s="7"/>
      <c r="AZ218" s="7"/>
      <c r="BA218" s="7"/>
      <c r="BB218" s="7"/>
      <c r="BC218" s="7"/>
    </row>
    <row r="219" s="89" customFormat="true" ht="10.5" hidden="false" customHeight="true" outlineLevel="0" collapsed="false">
      <c r="A219" s="254" t="s">
        <v>364</v>
      </c>
      <c r="B219" s="254"/>
      <c r="C219" s="254"/>
      <c r="D219" s="254"/>
      <c r="E219" s="254"/>
      <c r="F219" s="254"/>
      <c r="G219" s="254"/>
      <c r="H219" s="254"/>
      <c r="I219" s="254"/>
      <c r="J219" s="257" t="n">
        <v>4550</v>
      </c>
      <c r="K219" s="257"/>
      <c r="L219" s="257"/>
      <c r="M219" s="257"/>
      <c r="N219" s="254" t="s">
        <v>365</v>
      </c>
      <c r="O219" s="254"/>
      <c r="P219" s="254"/>
      <c r="Q219" s="254"/>
      <c r="R219" s="254"/>
      <c r="S219" s="254"/>
      <c r="T219" s="254"/>
      <c r="U219" s="254"/>
      <c r="V219" s="254"/>
      <c r="W219" s="254"/>
      <c r="X219" s="254"/>
      <c r="Y219" s="256"/>
      <c r="Z219" s="256"/>
      <c r="AA219" s="256"/>
      <c r="AB219" s="256"/>
      <c r="AC219" s="80" t="s">
        <v>366</v>
      </c>
      <c r="AD219" s="80"/>
      <c r="AE219" s="80"/>
      <c r="AF219" s="80"/>
      <c r="AG219" s="80"/>
      <c r="AH219" s="80"/>
      <c r="AI219" s="80"/>
      <c r="AJ219" s="255" t="n">
        <f aca="false">+T168+AK127</f>
        <v>4550</v>
      </c>
      <c r="AK219" s="255"/>
      <c r="AL219" s="255"/>
      <c r="AM219" s="255"/>
      <c r="AN219" s="255"/>
      <c r="AO219" s="255"/>
      <c r="AP219" s="7"/>
      <c r="AQ219" s="7"/>
      <c r="AR219" s="7"/>
      <c r="AS219" s="7"/>
      <c r="AT219" s="7"/>
      <c r="AU219" s="7"/>
      <c r="AV219" s="7"/>
      <c r="AW219" s="7"/>
      <c r="AX219" s="7"/>
      <c r="AY219" s="7"/>
      <c r="AZ219" s="7"/>
      <c r="BA219" s="7"/>
      <c r="BB219" s="7"/>
      <c r="BC219" s="7"/>
    </row>
    <row r="220" s="89" customFormat="true" ht="10.5" hidden="false" customHeight="true" outlineLevel="0" collapsed="false">
      <c r="A220" s="254" t="s">
        <v>367</v>
      </c>
      <c r="B220" s="254"/>
      <c r="C220" s="254"/>
      <c r="D220" s="254"/>
      <c r="E220" s="254"/>
      <c r="F220" s="254"/>
      <c r="G220" s="254"/>
      <c r="H220" s="254"/>
      <c r="I220" s="254"/>
      <c r="J220" s="240"/>
      <c r="K220" s="240"/>
      <c r="L220" s="240"/>
      <c r="M220" s="240"/>
      <c r="N220" s="254" t="s">
        <v>368</v>
      </c>
      <c r="O220" s="254"/>
      <c r="P220" s="254"/>
      <c r="Q220" s="254"/>
      <c r="R220" s="254"/>
      <c r="S220" s="254"/>
      <c r="T220" s="254"/>
      <c r="U220" s="254"/>
      <c r="V220" s="254"/>
      <c r="W220" s="254"/>
      <c r="X220" s="254"/>
      <c r="Y220" s="256" t="n">
        <v>50</v>
      </c>
      <c r="Z220" s="256"/>
      <c r="AA220" s="256"/>
      <c r="AB220" s="256"/>
      <c r="AC220" s="80" t="s">
        <v>369</v>
      </c>
      <c r="AD220" s="80"/>
      <c r="AE220" s="80"/>
      <c r="AF220" s="80"/>
      <c r="AG220" s="80"/>
      <c r="AH220" s="80"/>
      <c r="AI220" s="80"/>
      <c r="AJ220" s="258" t="n">
        <f aca="false">AJ218-AJ219</f>
        <v>4356</v>
      </c>
      <c r="AK220" s="258"/>
      <c r="AL220" s="258"/>
      <c r="AM220" s="258"/>
      <c r="AN220" s="258"/>
      <c r="AO220" s="258"/>
      <c r="AP220" s="7"/>
      <c r="AQ220" s="7"/>
      <c r="AR220" s="7"/>
      <c r="AS220" s="7"/>
      <c r="AT220" s="7"/>
      <c r="AU220" s="7"/>
      <c r="AV220" s="7"/>
      <c r="AW220" s="7"/>
      <c r="AX220" s="7"/>
      <c r="AY220" s="7"/>
      <c r="AZ220" s="7"/>
      <c r="BA220" s="7"/>
      <c r="BB220" s="7"/>
      <c r="BC220" s="7"/>
    </row>
    <row r="221" s="89" customFormat="true" ht="10.5" hidden="false" customHeight="true" outlineLevel="0" collapsed="false">
      <c r="A221" s="254" t="s">
        <v>370</v>
      </c>
      <c r="B221" s="254"/>
      <c r="C221" s="254"/>
      <c r="D221" s="254"/>
      <c r="E221" s="254"/>
      <c r="F221" s="254"/>
      <c r="G221" s="254"/>
      <c r="H221" s="254"/>
      <c r="I221" s="254"/>
      <c r="J221" s="240"/>
      <c r="K221" s="240"/>
      <c r="L221" s="240"/>
      <c r="M221" s="240"/>
      <c r="N221" s="254" t="s">
        <v>371</v>
      </c>
      <c r="O221" s="254"/>
      <c r="P221" s="254"/>
      <c r="Q221" s="254"/>
      <c r="R221" s="254"/>
      <c r="S221" s="254"/>
      <c r="T221" s="254"/>
      <c r="U221" s="254"/>
      <c r="V221" s="254"/>
      <c r="W221" s="254"/>
      <c r="X221" s="254"/>
      <c r="Y221" s="256" t="n">
        <v>50</v>
      </c>
      <c r="Z221" s="256"/>
      <c r="AA221" s="256"/>
      <c r="AB221" s="256"/>
      <c r="AC221" s="80" t="s">
        <v>372</v>
      </c>
      <c r="AD221" s="80"/>
      <c r="AE221" s="80"/>
      <c r="AF221" s="80"/>
      <c r="AG221" s="80"/>
      <c r="AH221" s="80"/>
      <c r="AI221" s="80"/>
      <c r="AJ221" s="140" t="n">
        <f aca="false">R223</f>
        <v>1970.43</v>
      </c>
      <c r="AK221" s="140"/>
      <c r="AL221" s="140"/>
      <c r="AM221" s="140"/>
      <c r="AN221" s="140"/>
      <c r="AO221" s="140"/>
      <c r="AP221" s="7"/>
      <c r="AQ221" s="7"/>
      <c r="AR221" s="7"/>
      <c r="AS221" s="7"/>
      <c r="AT221" s="7"/>
      <c r="AU221" s="7"/>
      <c r="AV221" s="7"/>
      <c r="AW221" s="7"/>
      <c r="AX221" s="7"/>
      <c r="AY221" s="7"/>
      <c r="AZ221" s="7"/>
      <c r="BA221" s="7"/>
      <c r="BB221" s="7"/>
      <c r="BC221" s="7"/>
    </row>
    <row r="222" s="89" customFormat="true" ht="10.5" hidden="false" customHeight="true" outlineLevel="0" collapsed="false">
      <c r="A222" s="254" t="s">
        <v>373</v>
      </c>
      <c r="B222" s="254"/>
      <c r="C222" s="254"/>
      <c r="D222" s="254"/>
      <c r="E222" s="254"/>
      <c r="F222" s="254"/>
      <c r="G222" s="254"/>
      <c r="H222" s="254"/>
      <c r="I222" s="254"/>
      <c r="J222" s="240"/>
      <c r="K222" s="240"/>
      <c r="L222" s="240"/>
      <c r="M222" s="240"/>
      <c r="N222" s="254" t="s">
        <v>374</v>
      </c>
      <c r="O222" s="254"/>
      <c r="P222" s="254"/>
      <c r="Q222" s="254"/>
      <c r="R222" s="254"/>
      <c r="S222" s="254"/>
      <c r="T222" s="254"/>
      <c r="U222" s="254"/>
      <c r="V222" s="254"/>
      <c r="W222" s="254"/>
      <c r="X222" s="254"/>
      <c r="Y222" s="256" t="n">
        <v>50</v>
      </c>
      <c r="Z222" s="256"/>
      <c r="AA222" s="256"/>
      <c r="AB222" s="256"/>
      <c r="AC222" s="80" t="s">
        <v>375</v>
      </c>
      <c r="AD222" s="80"/>
      <c r="AE222" s="80"/>
      <c r="AF222" s="80"/>
      <c r="AG222" s="80"/>
      <c r="AH222" s="80"/>
      <c r="AI222" s="80"/>
      <c r="AJ222" s="140" t="n">
        <f aca="false">AJ220-AJ221</f>
        <v>2385.57</v>
      </c>
      <c r="AK222" s="140"/>
      <c r="AL222" s="140"/>
      <c r="AM222" s="140"/>
      <c r="AN222" s="140"/>
      <c r="AO222" s="140"/>
      <c r="AP222" s="7"/>
      <c r="AQ222" s="7"/>
      <c r="AR222" s="7"/>
      <c r="AS222" s="7"/>
      <c r="AT222" s="7"/>
      <c r="AU222" s="7"/>
      <c r="AV222" s="7"/>
      <c r="AW222" s="7"/>
      <c r="AX222" s="7"/>
      <c r="AY222" s="7"/>
      <c r="AZ222" s="7"/>
      <c r="BA222" s="7"/>
      <c r="BB222" s="7"/>
      <c r="BC222" s="7"/>
    </row>
    <row r="223" s="89" customFormat="true" ht="10.5" hidden="false" customHeight="true" outlineLevel="0" collapsed="false">
      <c r="A223" s="254" t="s">
        <v>376</v>
      </c>
      <c r="B223" s="254"/>
      <c r="C223" s="254"/>
      <c r="D223" s="254"/>
      <c r="E223" s="254"/>
      <c r="F223" s="254"/>
      <c r="G223" s="254"/>
      <c r="H223" s="254"/>
      <c r="I223" s="254"/>
      <c r="J223" s="240"/>
      <c r="K223" s="240"/>
      <c r="L223" s="240"/>
      <c r="M223" s="240"/>
      <c r="N223" s="259" t="s">
        <v>377</v>
      </c>
      <c r="O223" s="259"/>
      <c r="P223" s="259"/>
      <c r="Q223" s="259"/>
      <c r="R223" s="260" t="n">
        <v>1970.43</v>
      </c>
      <c r="S223" s="260"/>
      <c r="T223" s="260"/>
      <c r="U223" s="35" t="s">
        <v>96</v>
      </c>
      <c r="V223" s="35"/>
      <c r="W223" s="35"/>
      <c r="X223" s="35"/>
      <c r="Y223" s="256" t="n">
        <v>2366.42</v>
      </c>
      <c r="Z223" s="256"/>
      <c r="AA223" s="256"/>
      <c r="AB223" s="256"/>
      <c r="AC223" s="80" t="s">
        <v>378</v>
      </c>
      <c r="AD223" s="80"/>
      <c r="AE223" s="80"/>
      <c r="AF223" s="80"/>
      <c r="AG223" s="80"/>
      <c r="AH223" s="80"/>
      <c r="AI223" s="80"/>
      <c r="AJ223" s="140" t="n">
        <f aca="false">Y228</f>
        <v>2906.42</v>
      </c>
      <c r="AK223" s="140"/>
      <c r="AL223" s="140"/>
      <c r="AM223" s="140"/>
      <c r="AN223" s="140"/>
      <c r="AO223" s="140"/>
      <c r="AP223" s="7"/>
      <c r="AQ223" s="7"/>
      <c r="AR223" s="7"/>
      <c r="AS223" s="7"/>
      <c r="AT223" s="7"/>
      <c r="AU223" s="7"/>
      <c r="AV223" s="7"/>
      <c r="AW223" s="7"/>
      <c r="AX223" s="7"/>
      <c r="AY223" s="7"/>
      <c r="AZ223" s="7"/>
      <c r="BA223" s="7"/>
      <c r="BB223" s="7"/>
      <c r="BC223" s="7"/>
    </row>
    <row r="224" s="89" customFormat="true" ht="10.5" hidden="false" customHeight="true" outlineLevel="0" collapsed="false">
      <c r="A224" s="254" t="s">
        <v>379</v>
      </c>
      <c r="B224" s="254"/>
      <c r="C224" s="254"/>
      <c r="D224" s="254"/>
      <c r="E224" s="254"/>
      <c r="F224" s="254"/>
      <c r="G224" s="254"/>
      <c r="H224" s="254"/>
      <c r="I224" s="254"/>
      <c r="J224" s="240" t="n">
        <v>4250</v>
      </c>
      <c r="K224" s="240"/>
      <c r="L224" s="240"/>
      <c r="M224" s="240"/>
      <c r="N224" s="254" t="s">
        <v>380</v>
      </c>
      <c r="O224" s="254"/>
      <c r="P224" s="254"/>
      <c r="Q224" s="254"/>
      <c r="R224" s="254"/>
      <c r="S224" s="254"/>
      <c r="T224" s="254"/>
      <c r="U224" s="254"/>
      <c r="V224" s="254"/>
      <c r="W224" s="254"/>
      <c r="X224" s="254"/>
      <c r="Y224" s="256" t="n">
        <v>50</v>
      </c>
      <c r="Z224" s="256"/>
      <c r="AA224" s="256"/>
      <c r="AB224" s="256"/>
      <c r="AC224" s="80" t="s">
        <v>381</v>
      </c>
      <c r="AD224" s="80"/>
      <c r="AE224" s="80"/>
      <c r="AF224" s="80"/>
      <c r="AG224" s="80"/>
      <c r="AH224" s="80"/>
      <c r="AI224" s="80"/>
      <c r="AJ224" s="140" t="n">
        <f aca="false">J218+J219</f>
        <v>4550</v>
      </c>
      <c r="AK224" s="140"/>
      <c r="AL224" s="140"/>
      <c r="AM224" s="140"/>
      <c r="AN224" s="140"/>
      <c r="AO224" s="140"/>
      <c r="AP224" s="7"/>
      <c r="AQ224" s="7"/>
      <c r="AR224" s="7"/>
      <c r="AS224" s="7"/>
      <c r="AT224" s="7"/>
      <c r="AU224" s="7"/>
      <c r="AV224" s="7"/>
      <c r="AW224" s="7"/>
      <c r="AX224" s="7"/>
      <c r="AY224" s="7"/>
      <c r="AZ224" s="7"/>
      <c r="BA224" s="7"/>
      <c r="BB224" s="7"/>
      <c r="BC224" s="7"/>
    </row>
    <row r="225" s="89" customFormat="true" ht="10.5" hidden="false" customHeight="true" outlineLevel="0" collapsed="false">
      <c r="A225" s="254" t="s">
        <v>382</v>
      </c>
      <c r="B225" s="254"/>
      <c r="C225" s="254"/>
      <c r="D225" s="254"/>
      <c r="E225" s="254"/>
      <c r="F225" s="254"/>
      <c r="G225" s="254"/>
      <c r="H225" s="254"/>
      <c r="I225" s="254"/>
      <c r="J225" s="240"/>
      <c r="K225" s="240"/>
      <c r="L225" s="240"/>
      <c r="M225" s="240"/>
      <c r="N225" s="254" t="s">
        <v>383</v>
      </c>
      <c r="O225" s="254"/>
      <c r="P225" s="254"/>
      <c r="Q225" s="254"/>
      <c r="R225" s="254"/>
      <c r="S225" s="254"/>
      <c r="T225" s="254"/>
      <c r="U225" s="254"/>
      <c r="V225" s="254"/>
      <c r="W225" s="254"/>
      <c r="X225" s="254"/>
      <c r="Y225" s="256" t="n">
        <v>60</v>
      </c>
      <c r="Z225" s="256"/>
      <c r="AA225" s="256"/>
      <c r="AB225" s="256"/>
      <c r="AC225" s="80" t="s">
        <v>384</v>
      </c>
      <c r="AD225" s="80"/>
      <c r="AE225" s="80"/>
      <c r="AF225" s="80"/>
      <c r="AG225" s="80"/>
      <c r="AH225" s="80"/>
      <c r="AI225" s="80"/>
      <c r="AJ225" s="258" t="n">
        <f aca="false">AJ222-AJ223+AJ224</f>
        <v>4029.15</v>
      </c>
      <c r="AK225" s="258"/>
      <c r="AL225" s="258"/>
      <c r="AM225" s="258"/>
      <c r="AN225" s="258"/>
      <c r="AO225" s="258"/>
      <c r="AP225" s="7"/>
      <c r="AQ225" s="7"/>
      <c r="AR225" s="7"/>
      <c r="AS225" s="7"/>
      <c r="AT225" s="7"/>
      <c r="AU225" s="7"/>
      <c r="AV225" s="7"/>
      <c r="AW225" s="7"/>
      <c r="AX225" s="7"/>
      <c r="AY225" s="7"/>
      <c r="AZ225" s="7"/>
      <c r="BA225" s="7"/>
      <c r="BB225" s="7"/>
      <c r="BC225" s="7"/>
    </row>
    <row r="226" s="89" customFormat="true" ht="10.5" hidden="false" customHeight="true" outlineLevel="0" collapsed="false">
      <c r="A226" s="254" t="s">
        <v>385</v>
      </c>
      <c r="B226" s="254"/>
      <c r="C226" s="254"/>
      <c r="D226" s="254"/>
      <c r="E226" s="254"/>
      <c r="F226" s="254"/>
      <c r="G226" s="254"/>
      <c r="H226" s="254"/>
      <c r="I226" s="254"/>
      <c r="J226" s="240"/>
      <c r="K226" s="240"/>
      <c r="L226" s="240"/>
      <c r="M226" s="240"/>
      <c r="N226" s="254" t="s">
        <v>386</v>
      </c>
      <c r="O226" s="254"/>
      <c r="P226" s="254"/>
      <c r="Q226" s="254"/>
      <c r="R226" s="254"/>
      <c r="S226" s="254"/>
      <c r="T226" s="254"/>
      <c r="U226" s="254"/>
      <c r="V226" s="254"/>
      <c r="W226" s="254"/>
      <c r="X226" s="254"/>
      <c r="Y226" s="256" t="n">
        <v>80</v>
      </c>
      <c r="Z226" s="256"/>
      <c r="AA226" s="256"/>
      <c r="AB226" s="256"/>
      <c r="AC226" s="199"/>
      <c r="AD226" s="199"/>
      <c r="AE226" s="199"/>
      <c r="AF226" s="199"/>
      <c r="AG226" s="199"/>
      <c r="AH226" s="199"/>
      <c r="AI226" s="199"/>
      <c r="AJ226" s="199"/>
      <c r="AK226" s="199"/>
      <c r="AL226" s="199"/>
      <c r="AM226" s="199"/>
      <c r="AN226" s="199"/>
      <c r="AO226" s="199"/>
      <c r="AP226" s="7"/>
      <c r="AQ226" s="7"/>
      <c r="AR226" s="7"/>
      <c r="AS226" s="7"/>
      <c r="AT226" s="7"/>
      <c r="AU226" s="7"/>
      <c r="AV226" s="7"/>
      <c r="AW226" s="7"/>
      <c r="AX226" s="7"/>
      <c r="AY226" s="7"/>
      <c r="AZ226" s="7"/>
      <c r="BA226" s="7"/>
      <c r="BB226" s="7"/>
      <c r="BC226" s="7"/>
    </row>
    <row r="227" s="89" customFormat="true" ht="10.5" hidden="false" customHeight="true" outlineLevel="0" collapsed="false">
      <c r="A227" s="261"/>
      <c r="B227" s="261"/>
      <c r="C227" s="261"/>
      <c r="D227" s="261"/>
      <c r="E227" s="261"/>
      <c r="F227" s="261"/>
      <c r="G227" s="261"/>
      <c r="H227" s="261"/>
      <c r="I227" s="261"/>
      <c r="J227" s="262"/>
      <c r="K227" s="262"/>
      <c r="L227" s="262"/>
      <c r="M227" s="262"/>
      <c r="N227" s="254" t="s">
        <v>387</v>
      </c>
      <c r="O227" s="254"/>
      <c r="P227" s="254"/>
      <c r="Q227" s="254"/>
      <c r="R227" s="254"/>
      <c r="S227" s="254"/>
      <c r="T227" s="254"/>
      <c r="U227" s="254"/>
      <c r="V227" s="254"/>
      <c r="W227" s="254"/>
      <c r="X227" s="254"/>
      <c r="Y227" s="256"/>
      <c r="Z227" s="256"/>
      <c r="AA227" s="256"/>
      <c r="AB227" s="256"/>
      <c r="AC227" s="254" t="s">
        <v>388</v>
      </c>
      <c r="AD227" s="254"/>
      <c r="AE227" s="254"/>
      <c r="AF227" s="254"/>
      <c r="AG227" s="254"/>
      <c r="AH227" s="254"/>
      <c r="AI227" s="254"/>
      <c r="AJ227" s="258" t="n">
        <f aca="false">AJ225*0.7</f>
        <v>2820.405</v>
      </c>
      <c r="AK227" s="258"/>
      <c r="AL227" s="258"/>
      <c r="AM227" s="258"/>
      <c r="AN227" s="258"/>
      <c r="AO227" s="258"/>
      <c r="AP227" s="7"/>
      <c r="AQ227" s="7"/>
      <c r="AR227" s="7"/>
      <c r="AS227" s="7"/>
      <c r="AT227" s="7"/>
      <c r="AU227" s="7"/>
      <c r="AV227" s="7"/>
      <c r="AW227" s="7"/>
      <c r="AX227" s="7"/>
      <c r="AY227" s="7"/>
      <c r="AZ227" s="7"/>
      <c r="BA227" s="7"/>
      <c r="BB227" s="7"/>
      <c r="BC227" s="7"/>
    </row>
    <row r="228" s="89" customFormat="true" ht="10.5" hidden="false" customHeight="true" outlineLevel="0" collapsed="false">
      <c r="A228" s="263" t="s">
        <v>389</v>
      </c>
      <c r="B228" s="263"/>
      <c r="C228" s="263"/>
      <c r="D228" s="263"/>
      <c r="E228" s="263"/>
      <c r="F228" s="263"/>
      <c r="G228" s="263"/>
      <c r="H228" s="263"/>
      <c r="I228" s="263"/>
      <c r="J228" s="226" t="n">
        <f aca="false">SUM(J218:L226)</f>
        <v>8800</v>
      </c>
      <c r="K228" s="226"/>
      <c r="L228" s="226"/>
      <c r="M228" s="226"/>
      <c r="N228" s="263" t="s">
        <v>390</v>
      </c>
      <c r="O228" s="263"/>
      <c r="P228" s="263"/>
      <c r="Q228" s="263"/>
      <c r="R228" s="263"/>
      <c r="S228" s="263"/>
      <c r="T228" s="263"/>
      <c r="U228" s="263"/>
      <c r="V228" s="263"/>
      <c r="W228" s="263"/>
      <c r="X228" s="263"/>
      <c r="Y228" s="226" t="n">
        <f aca="false">SUM(Y218:AA227)</f>
        <v>2906.42</v>
      </c>
      <c r="Z228" s="226"/>
      <c r="AA228" s="226"/>
      <c r="AB228" s="226"/>
      <c r="AC228" s="264" t="s">
        <v>391</v>
      </c>
      <c r="AD228" s="264"/>
      <c r="AE228" s="264"/>
      <c r="AF228" s="264"/>
      <c r="AG228" s="264"/>
      <c r="AH228" s="264"/>
      <c r="AI228" s="264"/>
      <c r="AJ228" s="226" t="n">
        <f aca="false">AJ225*0.5</f>
        <v>2014.575</v>
      </c>
      <c r="AK228" s="226"/>
      <c r="AL228" s="226"/>
      <c r="AM228" s="226"/>
      <c r="AN228" s="226"/>
      <c r="AO228" s="226"/>
      <c r="AP228" s="7"/>
      <c r="AQ228" s="7"/>
      <c r="AR228" s="7"/>
      <c r="AS228" s="7"/>
      <c r="AT228" s="7"/>
      <c r="AU228" s="7"/>
      <c r="AV228" s="7"/>
      <c r="AW228" s="7"/>
      <c r="AX228" s="7"/>
      <c r="AY228" s="7"/>
      <c r="AZ228" s="7"/>
      <c r="BA228" s="7"/>
      <c r="BB228" s="7"/>
      <c r="BC228" s="7"/>
    </row>
    <row r="229" s="89" customFormat="true" ht="10.5" hidden="false" customHeight="true" outlineLevel="0" collapsed="false">
      <c r="A229" s="227"/>
      <c r="B229" s="227"/>
      <c r="C229" s="227"/>
      <c r="D229" s="227"/>
      <c r="E229" s="227"/>
      <c r="F229" s="227"/>
      <c r="G229" s="227"/>
      <c r="H229" s="227"/>
      <c r="I229" s="227"/>
      <c r="J229" s="227"/>
      <c r="K229" s="227"/>
      <c r="L229" s="227"/>
      <c r="M229" s="227"/>
      <c r="N229" s="227"/>
      <c r="O229" s="227"/>
      <c r="P229" s="227"/>
      <c r="Q229" s="227"/>
      <c r="R229" s="227"/>
      <c r="S229" s="227"/>
      <c r="T229" s="227"/>
      <c r="U229" s="227"/>
      <c r="V229" s="227"/>
      <c r="W229" s="227"/>
      <c r="X229" s="227"/>
      <c r="Y229" s="227"/>
      <c r="Z229" s="227"/>
      <c r="AA229" s="227"/>
      <c r="AB229" s="227"/>
      <c r="AC229" s="227"/>
      <c r="AD229" s="227"/>
      <c r="AE229" s="227"/>
      <c r="AF229" s="227"/>
      <c r="AG229" s="227"/>
      <c r="AH229" s="227"/>
      <c r="AI229" s="227"/>
      <c r="AJ229" s="227"/>
      <c r="AK229" s="227"/>
      <c r="AL229" s="227"/>
      <c r="AM229" s="227"/>
      <c r="AN229" s="227"/>
      <c r="AO229" s="227"/>
      <c r="AP229" s="7"/>
      <c r="AQ229" s="7"/>
      <c r="AR229" s="7"/>
      <c r="AS229" s="7"/>
      <c r="AT229" s="7"/>
      <c r="AU229" s="7"/>
      <c r="AV229" s="7"/>
      <c r="AW229" s="7"/>
      <c r="AX229" s="7"/>
      <c r="AY229" s="7"/>
      <c r="AZ229" s="7"/>
      <c r="BA229" s="7"/>
      <c r="BB229" s="7"/>
      <c r="BC229" s="7"/>
    </row>
    <row r="230" s="89" customFormat="true" ht="10.5" hidden="false" customHeight="true" outlineLevel="0" collapsed="false">
      <c r="A230" s="227"/>
      <c r="B230" s="227"/>
      <c r="C230" s="227"/>
      <c r="D230" s="227"/>
      <c r="E230" s="227"/>
      <c r="F230" s="227"/>
      <c r="G230" s="227"/>
      <c r="H230" s="227"/>
      <c r="I230" s="227"/>
      <c r="J230" s="227"/>
      <c r="K230" s="227"/>
      <c r="L230" s="227"/>
      <c r="M230" s="227"/>
      <c r="N230" s="227"/>
      <c r="O230" s="227"/>
      <c r="P230" s="227"/>
      <c r="Q230" s="227"/>
      <c r="R230" s="227"/>
      <c r="S230" s="227"/>
      <c r="T230" s="227"/>
      <c r="U230" s="227"/>
      <c r="V230" s="227"/>
      <c r="W230" s="227"/>
      <c r="X230" s="227"/>
      <c r="Y230" s="227"/>
      <c r="Z230" s="227"/>
      <c r="AA230" s="227"/>
      <c r="AB230" s="227"/>
      <c r="AC230" s="227"/>
      <c r="AD230" s="227"/>
      <c r="AE230" s="227"/>
      <c r="AF230" s="227"/>
      <c r="AG230" s="227"/>
      <c r="AH230" s="227"/>
      <c r="AI230" s="227"/>
      <c r="AJ230" s="227"/>
      <c r="AK230" s="227"/>
      <c r="AL230" s="227"/>
      <c r="AM230" s="227"/>
      <c r="AN230" s="227"/>
      <c r="AO230" s="227"/>
      <c r="AP230" s="7"/>
      <c r="AQ230" s="7"/>
      <c r="AR230" s="7"/>
      <c r="AS230" s="7"/>
      <c r="AT230" s="7"/>
      <c r="AU230" s="7"/>
      <c r="AV230" s="7"/>
      <c r="AW230" s="7"/>
      <c r="AX230" s="7"/>
      <c r="AY230" s="7"/>
      <c r="AZ230" s="7"/>
      <c r="BA230" s="7"/>
      <c r="BB230" s="7"/>
      <c r="BC230" s="7"/>
    </row>
    <row r="231" s="89" customFormat="true" ht="10.5" hidden="false" customHeight="true" outlineLevel="0" collapsed="false">
      <c r="A231" s="73" t="s">
        <v>392</v>
      </c>
      <c r="B231" s="73"/>
      <c r="C231" s="73"/>
      <c r="D231" s="73"/>
      <c r="E231" s="73"/>
      <c r="F231" s="73"/>
      <c r="G231" s="73"/>
      <c r="H231" s="73"/>
      <c r="I231" s="73"/>
      <c r="J231" s="73"/>
      <c r="K231" s="73"/>
      <c r="L231" s="73"/>
      <c r="M231" s="73"/>
      <c r="N231" s="73"/>
      <c r="O231" s="73"/>
      <c r="P231" s="73"/>
      <c r="Q231" s="73"/>
      <c r="R231" s="73"/>
      <c r="S231" s="73"/>
      <c r="T231" s="73"/>
      <c r="U231" s="73"/>
      <c r="V231" s="73"/>
      <c r="W231" s="73"/>
      <c r="X231" s="73"/>
      <c r="Y231" s="73"/>
      <c r="Z231" s="73"/>
      <c r="AA231" s="73"/>
      <c r="AB231" s="73"/>
      <c r="AC231" s="73"/>
      <c r="AD231" s="73"/>
      <c r="AE231" s="73"/>
      <c r="AF231" s="73"/>
      <c r="AG231" s="73"/>
      <c r="AH231" s="73"/>
      <c r="AI231" s="73"/>
      <c r="AJ231" s="73"/>
      <c r="AK231" s="73"/>
      <c r="AL231" s="73"/>
      <c r="AM231" s="73"/>
      <c r="AN231" s="73"/>
      <c r="AO231" s="73"/>
      <c r="AP231" s="7"/>
      <c r="AQ231" s="7"/>
      <c r="AR231" s="7"/>
      <c r="AS231" s="7"/>
      <c r="AT231" s="7"/>
      <c r="AU231" s="7"/>
      <c r="AV231" s="7"/>
      <c r="AW231" s="7"/>
      <c r="AX231" s="7"/>
      <c r="AY231" s="7"/>
      <c r="AZ231" s="7"/>
      <c r="BA231" s="7"/>
      <c r="BB231" s="7"/>
      <c r="BC231" s="7"/>
    </row>
    <row r="232" s="89" customFormat="true" ht="10.5" hidden="false" customHeight="true" outlineLevel="0" collapsed="false">
      <c r="A232" s="214"/>
      <c r="B232" s="214"/>
      <c r="C232" s="214"/>
      <c r="D232" s="214"/>
      <c r="E232" s="214"/>
      <c r="F232" s="214"/>
      <c r="G232" s="214"/>
      <c r="H232" s="214"/>
      <c r="I232" s="214"/>
      <c r="J232" s="214"/>
      <c r="K232" s="214"/>
      <c r="L232" s="214"/>
      <c r="M232" s="214"/>
      <c r="N232" s="214"/>
      <c r="O232" s="214"/>
      <c r="P232" s="214"/>
      <c r="Q232" s="214"/>
      <c r="R232" s="214"/>
      <c r="S232" s="214"/>
      <c r="T232" s="214"/>
      <c r="U232" s="214"/>
      <c r="V232" s="214"/>
      <c r="W232" s="214"/>
      <c r="X232" s="214"/>
      <c r="Y232" s="214"/>
      <c r="Z232" s="214"/>
      <c r="AA232" s="214"/>
      <c r="AB232" s="214"/>
      <c r="AC232" s="214"/>
      <c r="AD232" s="214"/>
      <c r="AE232" s="214"/>
      <c r="AF232" s="214"/>
      <c r="AG232" s="214"/>
      <c r="AH232" s="214"/>
      <c r="AI232" s="214"/>
      <c r="AJ232" s="214"/>
      <c r="AK232" s="214"/>
      <c r="AL232" s="214"/>
      <c r="AM232" s="214"/>
      <c r="AN232" s="214"/>
      <c r="AO232" s="214"/>
      <c r="AP232" s="7"/>
      <c r="AQ232" s="7"/>
      <c r="AR232" s="7"/>
      <c r="AS232" s="7"/>
      <c r="AT232" s="7"/>
      <c r="AU232" s="7"/>
      <c r="AV232" s="7"/>
      <c r="AW232" s="7"/>
      <c r="AX232" s="7"/>
      <c r="AY232" s="7"/>
      <c r="AZ232" s="7"/>
      <c r="BA232" s="7"/>
      <c r="BB232" s="7"/>
      <c r="BC232" s="7"/>
    </row>
    <row r="233" s="89" customFormat="true" ht="10.5" hidden="false" customHeight="true" outlineLevel="0" collapsed="false">
      <c r="A233" s="97" t="s">
        <v>393</v>
      </c>
      <c r="B233" s="97"/>
      <c r="C233" s="97"/>
      <c r="D233" s="97"/>
      <c r="E233" s="97"/>
      <c r="F233" s="97"/>
      <c r="G233" s="97"/>
      <c r="H233" s="97"/>
      <c r="I233" s="97"/>
      <c r="J233" s="97"/>
      <c r="K233" s="97"/>
      <c r="L233" s="7"/>
      <c r="M233" s="7"/>
      <c r="N233" s="7"/>
      <c r="O233" s="7"/>
      <c r="P233" s="7"/>
      <c r="Q233" s="7"/>
      <c r="R233" s="7"/>
      <c r="S233" s="7"/>
      <c r="T233" s="7"/>
      <c r="U233" s="78" t="s">
        <v>394</v>
      </c>
      <c r="V233" s="78"/>
      <c r="W233" s="78"/>
      <c r="X233" s="78"/>
      <c r="Y233" s="78"/>
      <c r="Z233" s="78"/>
      <c r="AA233" s="78"/>
      <c r="AB233" s="78"/>
      <c r="AC233" s="78"/>
      <c r="AD233" s="78"/>
      <c r="AE233" s="78"/>
      <c r="AF233" s="78"/>
      <c r="AG233" s="7"/>
      <c r="AH233" s="7"/>
      <c r="AI233" s="7"/>
      <c r="AJ233" s="7"/>
      <c r="AK233" s="7"/>
      <c r="AL233" s="7"/>
      <c r="AM233" s="7"/>
      <c r="AN233" s="7"/>
      <c r="AO233" s="40"/>
      <c r="AP233" s="7"/>
      <c r="AQ233" s="7"/>
      <c r="AR233" s="7"/>
      <c r="AS233" s="7"/>
      <c r="AT233" s="7"/>
      <c r="AU233" s="7"/>
      <c r="AV233" s="7"/>
      <c r="AW233" s="7"/>
      <c r="AX233" s="7"/>
      <c r="AY233" s="7"/>
      <c r="AZ233" s="7"/>
      <c r="BA233" s="7"/>
      <c r="BB233" s="7"/>
      <c r="BC233" s="7"/>
    </row>
    <row r="234" s="89" customFormat="true" ht="3.75" hidden="false" customHeight="true" outlineLevel="0" collapsed="false">
      <c r="A234" s="38"/>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7"/>
      <c r="AH234" s="7"/>
      <c r="AI234" s="7"/>
      <c r="AJ234" s="7"/>
      <c r="AK234" s="7"/>
      <c r="AL234" s="7"/>
      <c r="AM234" s="7"/>
      <c r="AN234" s="7"/>
      <c r="AO234" s="40"/>
      <c r="AP234" s="7"/>
      <c r="AQ234" s="7"/>
      <c r="AR234" s="7"/>
      <c r="AS234" s="7"/>
      <c r="AT234" s="7"/>
      <c r="AU234" s="7"/>
      <c r="AV234" s="7"/>
      <c r="AW234" s="7"/>
      <c r="AX234" s="7"/>
      <c r="AY234" s="7"/>
      <c r="AZ234" s="7"/>
      <c r="BA234" s="7"/>
      <c r="BB234" s="7"/>
      <c r="BC234" s="7"/>
    </row>
    <row r="235" s="89" customFormat="true" ht="10.5" hidden="false" customHeight="true" outlineLevel="0" collapsed="false">
      <c r="A235" s="254" t="s">
        <v>395</v>
      </c>
      <c r="B235" s="254"/>
      <c r="C235" s="254"/>
      <c r="D235" s="254"/>
      <c r="E235" s="254"/>
      <c r="F235" s="254"/>
      <c r="G235" s="254"/>
      <c r="H235" s="265" t="str">
        <f aca="false">IFERROR(N202/AH201,"-")</f>
        <v>-</v>
      </c>
      <c r="I235" s="265"/>
      <c r="J235" s="265"/>
      <c r="K235" s="265"/>
      <c r="L235" s="7"/>
      <c r="M235" s="7"/>
      <c r="N235" s="7"/>
      <c r="O235" s="7"/>
      <c r="P235" s="7"/>
      <c r="Q235" s="7"/>
      <c r="R235" s="7"/>
      <c r="S235" s="7"/>
      <c r="T235" s="7"/>
      <c r="U235" s="266" t="s">
        <v>396</v>
      </c>
      <c r="V235" s="266"/>
      <c r="W235" s="266"/>
      <c r="X235" s="266"/>
      <c r="Y235" s="266"/>
      <c r="Z235" s="266"/>
      <c r="AA235" s="266"/>
      <c r="AB235" s="266"/>
      <c r="AC235" s="267" t="n">
        <f aca="false">IFERROR(N200/((AJ218*12)/360),"-")</f>
        <v>0</v>
      </c>
      <c r="AD235" s="267"/>
      <c r="AE235" s="267"/>
      <c r="AF235" s="267"/>
      <c r="AG235" s="7"/>
      <c r="AH235" s="7"/>
      <c r="AI235" s="7"/>
      <c r="AJ235" s="7"/>
      <c r="AK235" s="7"/>
      <c r="AL235" s="7"/>
      <c r="AM235" s="7"/>
      <c r="AN235" s="7"/>
      <c r="AO235" s="40"/>
      <c r="AP235" s="7"/>
      <c r="AQ235" s="7"/>
      <c r="AR235" s="7"/>
      <c r="AS235" s="7"/>
      <c r="AT235" s="7"/>
      <c r="AU235" s="7"/>
      <c r="AV235" s="7"/>
      <c r="AW235" s="7"/>
      <c r="AX235" s="7"/>
      <c r="AY235" s="7"/>
      <c r="AZ235" s="7"/>
      <c r="BA235" s="7"/>
      <c r="BB235" s="7"/>
      <c r="BC235" s="7"/>
    </row>
    <row r="236" s="89" customFormat="true" ht="2.25" hidden="false" customHeight="true" outlineLevel="0" collapsed="false">
      <c r="A236" s="38"/>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7"/>
      <c r="AH236" s="7"/>
      <c r="AI236" s="7"/>
      <c r="AJ236" s="7"/>
      <c r="AK236" s="7"/>
      <c r="AL236" s="7"/>
      <c r="AM236" s="7"/>
      <c r="AN236" s="7"/>
      <c r="AO236" s="40"/>
      <c r="AP236" s="7"/>
      <c r="AQ236" s="7"/>
      <c r="AR236" s="7"/>
      <c r="AS236" s="7"/>
      <c r="AT236" s="7"/>
      <c r="AU236" s="7"/>
      <c r="AV236" s="7"/>
      <c r="AW236" s="7"/>
      <c r="AX236" s="7"/>
      <c r="AY236" s="7"/>
      <c r="AZ236" s="7"/>
      <c r="BA236" s="7"/>
      <c r="BB236" s="7"/>
      <c r="BC236" s="7"/>
    </row>
    <row r="237" s="89" customFormat="true" ht="10.5" hidden="false" customHeight="true" outlineLevel="0" collapsed="false">
      <c r="A237" s="254" t="s">
        <v>397</v>
      </c>
      <c r="B237" s="254"/>
      <c r="C237" s="254"/>
      <c r="D237" s="254"/>
      <c r="E237" s="254"/>
      <c r="F237" s="254"/>
      <c r="G237" s="254"/>
      <c r="H237" s="267" t="str">
        <f aca="false">IFERROR((N202-N201)/AH201,"-")</f>
        <v>-</v>
      </c>
      <c r="I237" s="267"/>
      <c r="J237" s="267"/>
      <c r="K237" s="267"/>
      <c r="L237" s="7"/>
      <c r="M237" s="7"/>
      <c r="N237" s="7"/>
      <c r="O237" s="7"/>
      <c r="P237" s="7"/>
      <c r="Q237" s="7"/>
      <c r="R237" s="7"/>
      <c r="S237" s="7"/>
      <c r="T237" s="7"/>
      <c r="U237" s="266" t="s">
        <v>398</v>
      </c>
      <c r="V237" s="266"/>
      <c r="W237" s="266"/>
      <c r="X237" s="266"/>
      <c r="Y237" s="266"/>
      <c r="Z237" s="266"/>
      <c r="AA237" s="266"/>
      <c r="AB237" s="266"/>
      <c r="AC237" s="267" t="n">
        <f aca="false">IFERROR((AH197+AH204)/((AJ219*12)/360),"-")</f>
        <v>0</v>
      </c>
      <c r="AD237" s="267"/>
      <c r="AE237" s="267"/>
      <c r="AF237" s="267"/>
      <c r="AG237" s="7"/>
      <c r="AH237" s="7"/>
      <c r="AI237" s="7"/>
      <c r="AJ237" s="7"/>
      <c r="AK237" s="7"/>
      <c r="AL237" s="7"/>
      <c r="AM237" s="7"/>
      <c r="AN237" s="7"/>
      <c r="AO237" s="40"/>
      <c r="AP237" s="7"/>
      <c r="AQ237" s="7"/>
      <c r="AR237" s="7"/>
      <c r="AS237" s="7"/>
      <c r="AT237" s="7"/>
      <c r="AU237" s="7"/>
      <c r="AV237" s="7"/>
      <c r="AW237" s="7"/>
      <c r="AX237" s="7"/>
      <c r="AY237" s="7"/>
      <c r="AZ237" s="7"/>
      <c r="BA237" s="7"/>
      <c r="BB237" s="7"/>
      <c r="BC237" s="7"/>
    </row>
    <row r="238" s="89" customFormat="true" ht="2.25" hidden="false" customHeight="true" outlineLevel="0" collapsed="false">
      <c r="A238" s="38"/>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7"/>
      <c r="AH238" s="7"/>
      <c r="AI238" s="7"/>
      <c r="AJ238" s="7"/>
      <c r="AK238" s="7"/>
      <c r="AL238" s="7"/>
      <c r="AM238" s="7"/>
      <c r="AN238" s="7"/>
      <c r="AO238" s="40"/>
      <c r="AP238" s="7"/>
      <c r="AQ238" s="7"/>
      <c r="AR238" s="7"/>
      <c r="AS238" s="7"/>
      <c r="AT238" s="7"/>
      <c r="AU238" s="7"/>
      <c r="AV238" s="7"/>
      <c r="AW238" s="7"/>
      <c r="AX238" s="7"/>
      <c r="AY238" s="7"/>
      <c r="AZ238" s="7"/>
      <c r="BA238" s="7"/>
      <c r="BB238" s="7"/>
      <c r="BC238" s="7"/>
    </row>
    <row r="239" s="89" customFormat="true" ht="10.5" hidden="false" customHeight="true" outlineLevel="0" collapsed="false">
      <c r="A239" s="254" t="s">
        <v>399</v>
      </c>
      <c r="B239" s="254"/>
      <c r="C239" s="254"/>
      <c r="D239" s="254"/>
      <c r="E239" s="254"/>
      <c r="F239" s="254"/>
      <c r="G239" s="254"/>
      <c r="H239" s="35" t="n">
        <f aca="false">IFERROR(N202-AH201,"-")</f>
        <v>41</v>
      </c>
      <c r="I239" s="35"/>
      <c r="J239" s="35"/>
      <c r="K239" s="35"/>
      <c r="L239" s="7"/>
      <c r="M239" s="7"/>
      <c r="N239" s="7"/>
      <c r="O239" s="7"/>
      <c r="P239" s="7"/>
      <c r="Q239" s="7"/>
      <c r="R239" s="7"/>
      <c r="S239" s="7"/>
      <c r="T239" s="7"/>
      <c r="U239" s="266" t="s">
        <v>400</v>
      </c>
      <c r="V239" s="266"/>
      <c r="W239" s="266"/>
      <c r="X239" s="266"/>
      <c r="Y239" s="266"/>
      <c r="Z239" s="266"/>
      <c r="AA239" s="266"/>
      <c r="AB239" s="266"/>
      <c r="AC239" s="267" t="n">
        <f aca="false">IFERROR(N201/((AJ219*12)/360),"-")</f>
        <v>0</v>
      </c>
      <c r="AD239" s="267"/>
      <c r="AE239" s="267"/>
      <c r="AF239" s="267"/>
      <c r="AG239" s="7"/>
      <c r="AH239" s="7"/>
      <c r="AI239" s="7"/>
      <c r="AJ239" s="7"/>
      <c r="AK239" s="7"/>
      <c r="AL239" s="7"/>
      <c r="AM239" s="7"/>
      <c r="AN239" s="7"/>
      <c r="AO239" s="40"/>
      <c r="AP239" s="7"/>
      <c r="AQ239" s="7"/>
      <c r="AR239" s="7"/>
      <c r="AS239" s="7"/>
      <c r="AT239" s="7"/>
      <c r="AU239" s="7"/>
      <c r="AV239" s="7"/>
      <c r="AW239" s="7"/>
      <c r="AX239" s="7"/>
      <c r="AY239" s="7"/>
      <c r="AZ239" s="7"/>
      <c r="BA239" s="7"/>
      <c r="BB239" s="7"/>
      <c r="BC239" s="7"/>
    </row>
    <row r="240" s="89" customFormat="true" ht="2.25" hidden="false" customHeight="true" outlineLevel="0" collapsed="false">
      <c r="A240" s="38"/>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7"/>
      <c r="AH240" s="7"/>
      <c r="AI240" s="7"/>
      <c r="AJ240" s="7"/>
      <c r="AK240" s="7"/>
      <c r="AL240" s="7"/>
      <c r="AM240" s="7"/>
      <c r="AN240" s="7"/>
      <c r="AO240" s="40"/>
      <c r="AP240" s="7"/>
      <c r="AQ240" s="7"/>
      <c r="AR240" s="7"/>
      <c r="AS240" s="7"/>
      <c r="AT240" s="7"/>
      <c r="AU240" s="7"/>
      <c r="AV240" s="7"/>
      <c r="AW240" s="7"/>
      <c r="AX240" s="7"/>
      <c r="AY240" s="7"/>
      <c r="AZ240" s="7"/>
      <c r="BA240" s="7"/>
      <c r="BB240" s="7"/>
      <c r="BC240" s="7"/>
    </row>
    <row r="241" s="89" customFormat="true" ht="10.5" hidden="false" customHeight="true" outlineLevel="0" collapsed="false">
      <c r="A241" s="254" t="s">
        <v>401</v>
      </c>
      <c r="B241" s="254"/>
      <c r="C241" s="254"/>
      <c r="D241" s="254"/>
      <c r="E241" s="254"/>
      <c r="F241" s="254"/>
      <c r="G241" s="254"/>
      <c r="H241" s="265" t="n">
        <f aca="false">IFERROR(P12/AJ225,"-")</f>
        <v>0.625549026524893</v>
      </c>
      <c r="I241" s="265"/>
      <c r="J241" s="265"/>
      <c r="K241" s="265"/>
      <c r="L241" s="7"/>
      <c r="M241" s="7"/>
      <c r="N241" s="7"/>
      <c r="O241" s="7"/>
      <c r="P241" s="7"/>
      <c r="Q241" s="7"/>
      <c r="R241" s="7"/>
      <c r="S241" s="7"/>
      <c r="T241" s="7"/>
      <c r="U241" s="266" t="s">
        <v>402</v>
      </c>
      <c r="V241" s="266"/>
      <c r="W241" s="266"/>
      <c r="X241" s="266"/>
      <c r="Y241" s="266"/>
      <c r="Z241" s="266"/>
      <c r="AA241" s="266"/>
      <c r="AB241" s="266"/>
      <c r="AC241" s="267" t="n">
        <f aca="false">IFERROR(AJ218/N214,"-")</f>
        <v>0.0265818213293298</v>
      </c>
      <c r="AD241" s="267"/>
      <c r="AE241" s="267"/>
      <c r="AF241" s="267"/>
      <c r="AG241" s="7"/>
      <c r="AH241" s="7"/>
      <c r="AI241" s="7"/>
      <c r="AJ241" s="7"/>
      <c r="AK241" s="7"/>
      <c r="AL241" s="7"/>
      <c r="AM241" s="7"/>
      <c r="AN241" s="7"/>
      <c r="AO241" s="40"/>
      <c r="AP241" s="7"/>
      <c r="AQ241" s="7"/>
      <c r="AR241" s="7"/>
      <c r="AS241" s="7"/>
      <c r="AT241" s="7"/>
      <c r="AU241" s="7"/>
      <c r="AV241" s="7"/>
      <c r="AW241" s="7"/>
      <c r="AX241" s="7"/>
      <c r="AY241" s="7"/>
      <c r="AZ241" s="7"/>
      <c r="BA241" s="7"/>
      <c r="BB241" s="7"/>
      <c r="BC241" s="7"/>
    </row>
    <row r="242" s="89" customFormat="true" ht="10.5" hidden="false" customHeight="true" outlineLevel="0" collapsed="false">
      <c r="A242" s="38"/>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7"/>
      <c r="AH242" s="7"/>
      <c r="AI242" s="7"/>
      <c r="AJ242" s="7"/>
      <c r="AK242" s="7"/>
      <c r="AL242" s="7"/>
      <c r="AM242" s="7"/>
      <c r="AN242" s="7"/>
      <c r="AO242" s="40"/>
      <c r="AP242" s="7"/>
      <c r="AQ242" s="7"/>
      <c r="AR242" s="7"/>
      <c r="AS242" s="7"/>
      <c r="AT242" s="7"/>
      <c r="AU242" s="7"/>
      <c r="AV242" s="7"/>
      <c r="AW242" s="7"/>
      <c r="AX242" s="7"/>
      <c r="AY242" s="7"/>
      <c r="AZ242" s="7"/>
      <c r="BA242" s="7"/>
      <c r="BB242" s="7"/>
      <c r="BC242" s="7"/>
    </row>
    <row r="243" s="89" customFormat="true" ht="10.5" hidden="false" customHeight="true" outlineLevel="0" collapsed="false">
      <c r="A243" s="97" t="s">
        <v>403</v>
      </c>
      <c r="B243" s="97"/>
      <c r="C243" s="97"/>
      <c r="D243" s="97"/>
      <c r="E243" s="97"/>
      <c r="F243" s="97"/>
      <c r="G243" s="97"/>
      <c r="H243" s="97"/>
      <c r="I243" s="97"/>
      <c r="J243" s="97"/>
      <c r="K243" s="97"/>
      <c r="L243" s="97"/>
      <c r="M243" s="7"/>
      <c r="N243" s="7"/>
      <c r="O243" s="7"/>
      <c r="P243" s="7"/>
      <c r="Q243" s="7"/>
      <c r="R243" s="7"/>
      <c r="S243" s="7"/>
      <c r="T243" s="7"/>
      <c r="U243" s="78" t="s">
        <v>404</v>
      </c>
      <c r="V243" s="78"/>
      <c r="W243" s="78"/>
      <c r="X243" s="78"/>
      <c r="Y243" s="78"/>
      <c r="Z243" s="78"/>
      <c r="AA243" s="78"/>
      <c r="AB243" s="78"/>
      <c r="AC243" s="78"/>
      <c r="AD243" s="78"/>
      <c r="AE243" s="78"/>
      <c r="AF243" s="78"/>
      <c r="AG243" s="7"/>
      <c r="AH243" s="7"/>
      <c r="AI243" s="7"/>
      <c r="AJ243" s="7"/>
      <c r="AK243" s="7"/>
      <c r="AL243" s="7"/>
      <c r="AM243" s="7"/>
      <c r="AN243" s="7"/>
      <c r="AO243" s="40"/>
      <c r="AP243" s="7"/>
      <c r="AQ243" s="7"/>
      <c r="AR243" s="7"/>
      <c r="AS243" s="7"/>
      <c r="AT243" s="7"/>
      <c r="AU243" s="7"/>
      <c r="AV243" s="7"/>
      <c r="AW243" s="7"/>
      <c r="AX243" s="7"/>
      <c r="AY243" s="7"/>
      <c r="AZ243" s="7"/>
      <c r="BA243" s="7"/>
      <c r="BB243" s="7"/>
      <c r="BC243" s="7"/>
    </row>
    <row r="244" s="89" customFormat="true" ht="3" hidden="false" customHeight="true" outlineLevel="0" collapsed="false">
      <c r="A244" s="38"/>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7"/>
      <c r="AH244" s="7"/>
      <c r="AI244" s="7"/>
      <c r="AJ244" s="7"/>
      <c r="AK244" s="7"/>
      <c r="AL244" s="7"/>
      <c r="AM244" s="7"/>
      <c r="AN244" s="7"/>
      <c r="AO244" s="40"/>
      <c r="AP244" s="7"/>
      <c r="AQ244" s="7"/>
      <c r="AR244" s="7"/>
      <c r="AS244" s="7"/>
      <c r="AT244" s="7"/>
      <c r="AU244" s="7"/>
      <c r="AV244" s="7"/>
      <c r="AW244" s="7"/>
      <c r="AX244" s="7"/>
      <c r="AY244" s="7"/>
      <c r="AZ244" s="7"/>
      <c r="BA244" s="7"/>
      <c r="BB244" s="7"/>
      <c r="BC244" s="7"/>
    </row>
    <row r="245" s="89" customFormat="true" ht="10.5" hidden="false" customHeight="true" outlineLevel="0" collapsed="false">
      <c r="A245" s="254" t="s">
        <v>405</v>
      </c>
      <c r="B245" s="254"/>
      <c r="C245" s="254"/>
      <c r="D245" s="254"/>
      <c r="E245" s="254"/>
      <c r="F245" s="254"/>
      <c r="G245" s="254"/>
      <c r="H245" s="254"/>
      <c r="I245" s="265" t="n">
        <f aca="false">IFERROR(AJ222/AJ218,"-")</f>
        <v>0.267860992589266</v>
      </c>
      <c r="J245" s="265"/>
      <c r="K245" s="265"/>
      <c r="L245" s="265"/>
      <c r="M245" s="7"/>
      <c r="N245" s="7"/>
      <c r="O245" s="7"/>
      <c r="P245" s="7"/>
      <c r="Q245" s="7"/>
      <c r="R245" s="7"/>
      <c r="S245" s="7"/>
      <c r="T245" s="7"/>
      <c r="U245" s="266" t="s">
        <v>406</v>
      </c>
      <c r="V245" s="266"/>
      <c r="W245" s="266"/>
      <c r="X245" s="266"/>
      <c r="Y245" s="266"/>
      <c r="Z245" s="266"/>
      <c r="AA245" s="266"/>
      <c r="AB245" s="266"/>
      <c r="AC245" s="265" t="n">
        <f aca="false">IFERROR(AH201/AH207,"-")</f>
        <v>0</v>
      </c>
      <c r="AD245" s="265"/>
      <c r="AE245" s="265"/>
      <c r="AF245" s="265"/>
      <c r="AG245" s="7"/>
      <c r="AH245" s="7"/>
      <c r="AI245" s="7"/>
      <c r="AJ245" s="7"/>
      <c r="AK245" s="7"/>
      <c r="AL245" s="7"/>
      <c r="AM245" s="7"/>
      <c r="AN245" s="7"/>
      <c r="AO245" s="40"/>
      <c r="AP245" s="7"/>
      <c r="AQ245" s="7"/>
      <c r="AR245" s="7"/>
      <c r="AS245" s="7"/>
      <c r="AT245" s="7"/>
      <c r="AU245" s="7"/>
      <c r="AV245" s="7"/>
      <c r="AW245" s="7"/>
      <c r="AX245" s="7"/>
      <c r="AY245" s="7"/>
      <c r="AZ245" s="7"/>
      <c r="BA245" s="7"/>
      <c r="BB245" s="7"/>
      <c r="BC245" s="7"/>
    </row>
    <row r="246" s="89" customFormat="true" ht="3" hidden="false" customHeight="true" outlineLevel="0" collapsed="false">
      <c r="A246" s="38"/>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7"/>
      <c r="AH246" s="7"/>
      <c r="AI246" s="7"/>
      <c r="AJ246" s="7"/>
      <c r="AK246" s="7"/>
      <c r="AL246" s="7"/>
      <c r="AM246" s="7"/>
      <c r="AN246" s="7"/>
      <c r="AO246" s="40"/>
      <c r="AP246" s="7"/>
      <c r="AQ246" s="7"/>
      <c r="AR246" s="7"/>
      <c r="AS246" s="7"/>
      <c r="AT246" s="7"/>
      <c r="AU246" s="7"/>
      <c r="AV246" s="7"/>
      <c r="AW246" s="7"/>
      <c r="AX246" s="7"/>
      <c r="AY246" s="7"/>
      <c r="AZ246" s="7"/>
      <c r="BA246" s="7"/>
      <c r="BB246" s="7"/>
      <c r="BC246" s="7"/>
    </row>
    <row r="247" s="89" customFormat="true" ht="10.5" hidden="false" customHeight="true" outlineLevel="0" collapsed="false">
      <c r="A247" s="254" t="s">
        <v>407</v>
      </c>
      <c r="B247" s="254"/>
      <c r="C247" s="254"/>
      <c r="D247" s="254"/>
      <c r="E247" s="254"/>
      <c r="F247" s="254"/>
      <c r="G247" s="254"/>
      <c r="H247" s="254"/>
      <c r="I247" s="265" t="n">
        <f aca="false">IFERROR(AJ222/AH210,"-")</f>
        <v>0.00870059520828825</v>
      </c>
      <c r="J247" s="265"/>
      <c r="K247" s="265"/>
      <c r="L247" s="265"/>
      <c r="M247" s="7"/>
      <c r="N247" s="7"/>
      <c r="O247" s="7"/>
      <c r="P247" s="7"/>
      <c r="Q247" s="7"/>
      <c r="R247" s="7"/>
      <c r="S247" s="7"/>
      <c r="T247" s="7"/>
      <c r="U247" s="266" t="s">
        <v>408</v>
      </c>
      <c r="V247" s="266"/>
      <c r="W247" s="266"/>
      <c r="X247" s="266"/>
      <c r="Y247" s="266"/>
      <c r="Z247" s="266"/>
      <c r="AA247" s="266"/>
      <c r="AB247" s="266"/>
      <c r="AC247" s="265" t="n">
        <f aca="false">IFERROR(AH207/N214,"-")</f>
        <v>0.181638396494757</v>
      </c>
      <c r="AD247" s="265"/>
      <c r="AE247" s="265"/>
      <c r="AF247" s="265"/>
      <c r="AG247" s="7"/>
      <c r="AH247" s="7"/>
      <c r="AI247" s="7"/>
      <c r="AJ247" s="7"/>
      <c r="AK247" s="7"/>
      <c r="AL247" s="7"/>
      <c r="AM247" s="7"/>
      <c r="AN247" s="7"/>
      <c r="AO247" s="40"/>
      <c r="AP247" s="7"/>
      <c r="AQ247" s="7"/>
      <c r="AR247" s="7"/>
      <c r="AS247" s="7"/>
      <c r="AT247" s="7"/>
      <c r="AU247" s="7"/>
      <c r="AV247" s="7"/>
      <c r="AW247" s="7"/>
      <c r="AX247" s="7"/>
      <c r="AY247" s="7"/>
      <c r="AZ247" s="7"/>
      <c r="BA247" s="7"/>
      <c r="BB247" s="7"/>
      <c r="BC247" s="7"/>
    </row>
    <row r="248" s="89" customFormat="true" ht="3" hidden="false" customHeight="true" outlineLevel="0" collapsed="false">
      <c r="A248" s="38"/>
      <c r="B248" s="7"/>
      <c r="C248" s="7"/>
      <c r="D248" s="27"/>
      <c r="E248" s="7"/>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7"/>
      <c r="AH248" s="7"/>
      <c r="AI248" s="7"/>
      <c r="AJ248" s="7"/>
      <c r="AK248" s="7"/>
      <c r="AL248" s="7"/>
      <c r="AM248" s="7"/>
      <c r="AN248" s="7"/>
      <c r="AO248" s="40"/>
      <c r="AP248" s="7"/>
      <c r="AQ248" s="7"/>
      <c r="AR248" s="7"/>
      <c r="AS248" s="7"/>
      <c r="AT248" s="7"/>
      <c r="AU248" s="7"/>
      <c r="AV248" s="7"/>
      <c r="AW248" s="7"/>
      <c r="AX248" s="7"/>
      <c r="AY248" s="7"/>
      <c r="AZ248" s="7"/>
      <c r="BA248" s="7"/>
      <c r="BB248" s="7"/>
      <c r="BC248" s="7"/>
    </row>
    <row r="249" s="89" customFormat="true" ht="10.5" hidden="false" customHeight="true" outlineLevel="0" collapsed="false">
      <c r="A249" s="254" t="s">
        <v>409</v>
      </c>
      <c r="B249" s="254"/>
      <c r="C249" s="254"/>
      <c r="D249" s="254"/>
      <c r="E249" s="254"/>
      <c r="F249" s="254"/>
      <c r="G249" s="254"/>
      <c r="H249" s="254"/>
      <c r="I249" s="265" t="n">
        <f aca="false">IFERROR(AJ222/N214,"-")</f>
        <v>0.0071202330461048</v>
      </c>
      <c r="J249" s="265"/>
      <c r="K249" s="265"/>
      <c r="L249" s="265"/>
      <c r="M249" s="7"/>
      <c r="N249" s="7"/>
      <c r="O249" s="7"/>
      <c r="P249" s="7"/>
      <c r="Q249" s="7"/>
      <c r="R249" s="7"/>
      <c r="S249" s="7"/>
      <c r="T249" s="7"/>
      <c r="U249" s="266" t="s">
        <v>410</v>
      </c>
      <c r="V249" s="266"/>
      <c r="W249" s="266"/>
      <c r="X249" s="266"/>
      <c r="Y249" s="266"/>
      <c r="Z249" s="266"/>
      <c r="AA249" s="266"/>
      <c r="AB249" s="266"/>
      <c r="AC249" s="265" t="n">
        <f aca="false">IFERROR(AH207/AH210,"-")</f>
        <v>0.221953713024604</v>
      </c>
      <c r="AD249" s="265"/>
      <c r="AE249" s="265"/>
      <c r="AF249" s="265"/>
      <c r="AG249" s="7"/>
      <c r="AH249" s="7"/>
      <c r="AI249" s="7"/>
      <c r="AJ249" s="7"/>
      <c r="AK249" s="7"/>
      <c r="AL249" s="7"/>
      <c r="AM249" s="7"/>
      <c r="AN249" s="7"/>
      <c r="AO249" s="40"/>
      <c r="AP249" s="7"/>
      <c r="AQ249" s="7"/>
      <c r="AR249" s="7"/>
      <c r="AS249" s="7"/>
      <c r="AT249" s="7"/>
      <c r="AU249" s="7"/>
      <c r="AV249" s="7"/>
      <c r="AW249" s="7"/>
      <c r="AX249" s="7"/>
      <c r="AY249" s="7"/>
      <c r="AZ249" s="7"/>
      <c r="BA249" s="7"/>
      <c r="BB249" s="7"/>
      <c r="BC249" s="7"/>
    </row>
    <row r="250" s="89" customFormat="true" ht="10.5" hidden="false" customHeight="true" outlineLevel="0" collapsed="false">
      <c r="A250" s="45"/>
      <c r="B250" s="46"/>
      <c r="C250" s="46"/>
      <c r="D250" s="46"/>
      <c r="E250" s="46"/>
      <c r="F250" s="46"/>
      <c r="G250" s="46"/>
      <c r="H250" s="46"/>
      <c r="I250" s="46"/>
      <c r="J250" s="46"/>
      <c r="K250" s="46"/>
      <c r="L250" s="46"/>
      <c r="M250" s="46"/>
      <c r="N250" s="46"/>
      <c r="O250" s="46"/>
      <c r="P250" s="46"/>
      <c r="Q250" s="46"/>
      <c r="R250" s="46"/>
      <c r="S250" s="46"/>
      <c r="T250" s="46"/>
      <c r="U250" s="46"/>
      <c r="V250" s="46"/>
      <c r="W250" s="46"/>
      <c r="X250" s="46"/>
      <c r="Y250" s="46"/>
      <c r="Z250" s="46"/>
      <c r="AA250" s="46"/>
      <c r="AB250" s="46"/>
      <c r="AC250" s="46"/>
      <c r="AD250" s="46"/>
      <c r="AE250" s="46"/>
      <c r="AF250" s="46"/>
      <c r="AG250" s="46"/>
      <c r="AH250" s="46"/>
      <c r="AI250" s="46"/>
      <c r="AJ250" s="46"/>
      <c r="AK250" s="46"/>
      <c r="AL250" s="46"/>
      <c r="AM250" s="46"/>
      <c r="AN250" s="46"/>
      <c r="AO250" s="47"/>
      <c r="AP250" s="7"/>
      <c r="AQ250" s="7"/>
      <c r="AR250" s="7"/>
      <c r="AS250" s="7"/>
      <c r="AT250" s="7"/>
      <c r="AU250" s="7"/>
      <c r="AV250" s="7"/>
      <c r="AW250" s="7"/>
      <c r="AX250" s="7"/>
      <c r="AY250" s="7"/>
      <c r="AZ250" s="7"/>
      <c r="BA250" s="7"/>
      <c r="BB250" s="7"/>
      <c r="BC250" s="7"/>
    </row>
    <row r="251" s="89" customFormat="true" ht="2.25" hidden="false" customHeight="true" outlineLevel="0" collapsed="false">
      <c r="A251" s="6"/>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7"/>
      <c r="AH251" s="7"/>
      <c r="AI251" s="7"/>
      <c r="AJ251" s="7"/>
      <c r="AK251" s="7"/>
      <c r="AL251" s="7"/>
      <c r="AM251" s="7"/>
      <c r="AN251" s="7"/>
      <c r="AO251" s="7"/>
      <c r="AP251" s="7"/>
      <c r="AQ251" s="7"/>
      <c r="AR251" s="7"/>
      <c r="AS251" s="7"/>
      <c r="AT251" s="7"/>
      <c r="AU251" s="7"/>
      <c r="AV251" s="7"/>
      <c r="AW251" s="7"/>
      <c r="AX251" s="7"/>
      <c r="AY251" s="7"/>
      <c r="AZ251" s="7"/>
      <c r="BA251" s="7"/>
      <c r="BB251" s="7"/>
      <c r="BC251" s="7"/>
    </row>
    <row r="252" s="89" customFormat="true" ht="10.5" hidden="false" customHeight="true" outlineLevel="0" collapsed="false">
      <c r="A252" s="268" t="s">
        <v>411</v>
      </c>
      <c r="B252" s="268"/>
      <c r="C252" s="268"/>
      <c r="D252" s="268"/>
      <c r="E252" s="268"/>
      <c r="F252" s="268"/>
      <c r="G252" s="268"/>
      <c r="H252" s="268"/>
      <c r="I252" s="268"/>
      <c r="J252" s="268"/>
      <c r="K252" s="7"/>
      <c r="L252" s="7"/>
      <c r="M252" s="7"/>
      <c r="N252" s="7"/>
      <c r="O252" s="7"/>
      <c r="P252" s="7"/>
      <c r="Q252" s="7"/>
      <c r="R252" s="7"/>
      <c r="S252" s="7"/>
      <c r="T252" s="7"/>
      <c r="U252" s="7"/>
      <c r="V252" s="7"/>
      <c r="W252" s="7"/>
      <c r="X252" s="7"/>
      <c r="Y252" s="7"/>
      <c r="Z252" s="7"/>
      <c r="AA252" s="7"/>
      <c r="AB252" s="7"/>
      <c r="AC252" s="7"/>
      <c r="AD252" s="7"/>
      <c r="AE252" s="7"/>
      <c r="AF252" s="7"/>
      <c r="AG252" s="7"/>
      <c r="AH252" s="7"/>
      <c r="AI252" s="7"/>
      <c r="AJ252" s="7"/>
      <c r="AK252" s="7"/>
      <c r="AL252" s="7"/>
      <c r="AM252" s="7"/>
      <c r="AN252" s="7"/>
      <c r="AO252" s="7"/>
      <c r="AP252" s="7"/>
      <c r="AQ252" s="7"/>
      <c r="AR252" s="7"/>
      <c r="AS252" s="7"/>
      <c r="AT252" s="7"/>
      <c r="AU252" s="7"/>
      <c r="AV252" s="7"/>
      <c r="AW252" s="7"/>
      <c r="AX252" s="7"/>
      <c r="AY252" s="7"/>
      <c r="AZ252" s="7"/>
      <c r="BA252" s="7"/>
      <c r="BB252" s="7"/>
      <c r="BC252" s="7"/>
    </row>
    <row r="253" s="89" customFormat="true" ht="10.5" hidden="false" customHeight="true" outlineLevel="0" collapsed="false">
      <c r="A253" s="269"/>
      <c r="B253" s="270"/>
      <c r="C253" s="270"/>
      <c r="D253" s="270"/>
      <c r="E253" s="270"/>
      <c r="F253" s="270"/>
      <c r="G253" s="270"/>
      <c r="H253" s="270"/>
      <c r="I253" s="270"/>
      <c r="J253" s="270"/>
      <c r="K253" s="270"/>
      <c r="L253" s="270"/>
      <c r="M253" s="270"/>
      <c r="N253" s="270"/>
      <c r="O253" s="270"/>
      <c r="P253" s="270"/>
      <c r="Q253" s="270"/>
      <c r="R253" s="270"/>
      <c r="S253" s="270"/>
      <c r="T253" s="270"/>
      <c r="U253" s="270"/>
      <c r="V253" s="270"/>
      <c r="W253" s="270"/>
      <c r="X253" s="270"/>
      <c r="Y253" s="270"/>
      <c r="Z253" s="270"/>
      <c r="AA253" s="270"/>
      <c r="AB253" s="270"/>
      <c r="AC253" s="270"/>
      <c r="AD253" s="270"/>
      <c r="AE253" s="270"/>
      <c r="AF253" s="270"/>
      <c r="AG253" s="270"/>
      <c r="AH253" s="270"/>
      <c r="AI253" s="270"/>
      <c r="AJ253" s="270"/>
      <c r="AK253" s="270"/>
      <c r="AL253" s="270"/>
      <c r="AM253" s="270"/>
      <c r="AN253" s="270"/>
      <c r="AO253" s="270"/>
      <c r="AP253" s="7"/>
      <c r="AQ253" s="7"/>
      <c r="AR253" s="7"/>
      <c r="AS253" s="7"/>
      <c r="AT253" s="7"/>
      <c r="AU253" s="7"/>
      <c r="AV253" s="7"/>
      <c r="AW253" s="7"/>
      <c r="AX253" s="7"/>
      <c r="AY253" s="7"/>
      <c r="AZ253" s="7"/>
      <c r="BA253" s="7"/>
      <c r="BB253" s="7"/>
      <c r="BC253" s="7"/>
    </row>
    <row r="254" s="89" customFormat="true" ht="9.75" hidden="false" customHeight="true" outlineLevel="0" collapsed="false">
      <c r="A254" s="271"/>
      <c r="B254" s="271"/>
      <c r="C254" s="271"/>
      <c r="D254" s="271"/>
      <c r="E254" s="271"/>
      <c r="F254" s="271"/>
      <c r="G254" s="271"/>
      <c r="H254" s="271"/>
      <c r="I254" s="271"/>
      <c r="J254" s="271"/>
      <c r="K254" s="271"/>
      <c r="L254" s="271"/>
      <c r="M254" s="271"/>
      <c r="N254" s="271"/>
      <c r="O254" s="271"/>
      <c r="P254" s="271"/>
      <c r="Q254" s="271"/>
      <c r="R254" s="271"/>
      <c r="S254" s="271"/>
      <c r="T254" s="271"/>
      <c r="U254" s="271"/>
      <c r="V254" s="271"/>
      <c r="W254" s="271"/>
      <c r="X254" s="271"/>
      <c r="Y254" s="271"/>
      <c r="Z254" s="271"/>
      <c r="AA254" s="271"/>
      <c r="AB254" s="271"/>
      <c r="AC254" s="271"/>
      <c r="AD254" s="271"/>
      <c r="AE254" s="271"/>
      <c r="AF254" s="271"/>
      <c r="AG254" s="271"/>
      <c r="AH254" s="271"/>
      <c r="AI254" s="271"/>
      <c r="AJ254" s="271"/>
      <c r="AK254" s="271"/>
      <c r="AL254" s="271"/>
      <c r="AM254" s="271"/>
      <c r="AN254" s="271"/>
      <c r="AO254" s="271"/>
      <c r="AP254" s="7"/>
      <c r="AQ254" s="7"/>
      <c r="AR254" s="7"/>
      <c r="AS254" s="7"/>
      <c r="AT254" s="7"/>
      <c r="AU254" s="7"/>
      <c r="AV254" s="7"/>
      <c r="AW254" s="7"/>
      <c r="AX254" s="7"/>
      <c r="AY254" s="7"/>
      <c r="AZ254" s="7"/>
      <c r="BA254" s="7"/>
      <c r="BB254" s="7"/>
      <c r="BC254" s="7"/>
    </row>
    <row r="255" s="89" customFormat="true" ht="9.75" hidden="false" customHeight="true" outlineLevel="0" collapsed="false">
      <c r="A255" s="272" t="s">
        <v>412</v>
      </c>
      <c r="B255" s="270"/>
      <c r="C255" s="270"/>
      <c r="D255" s="270"/>
      <c r="E255" s="270"/>
      <c r="F255" s="270"/>
      <c r="G255" s="270"/>
      <c r="H255" s="270"/>
      <c r="I255" s="270"/>
      <c r="J255" s="270"/>
      <c r="K255" s="270"/>
      <c r="L255" s="270"/>
      <c r="M255" s="270"/>
      <c r="N255" s="270"/>
      <c r="O255" s="270"/>
      <c r="P255" s="270"/>
      <c r="Q255" s="270"/>
      <c r="R255" s="270"/>
      <c r="S255" s="270"/>
      <c r="T255" s="270"/>
      <c r="U255" s="270"/>
      <c r="V255" s="270"/>
      <c r="W255" s="270"/>
      <c r="X255" s="270"/>
      <c r="Y255" s="270"/>
      <c r="Z255" s="270"/>
      <c r="AA255" s="270"/>
      <c r="AB255" s="270"/>
      <c r="AC255" s="270"/>
      <c r="AD255" s="270"/>
      <c r="AE255" s="270"/>
      <c r="AF255" s="270"/>
      <c r="AG255" s="270"/>
      <c r="AH255" s="270"/>
      <c r="AI255" s="270"/>
      <c r="AJ255" s="270"/>
      <c r="AK255" s="270"/>
      <c r="AL255" s="270"/>
      <c r="AM255" s="270"/>
      <c r="AN255" s="270"/>
      <c r="AO255" s="270"/>
      <c r="AP255" s="7"/>
      <c r="AQ255" s="7"/>
      <c r="AR255" s="7"/>
      <c r="AS255" s="7"/>
      <c r="AT255" s="7"/>
      <c r="AU255" s="7"/>
      <c r="AV255" s="7"/>
      <c r="AW255" s="7"/>
      <c r="AX255" s="7"/>
      <c r="AY255" s="7"/>
      <c r="AZ255" s="7"/>
      <c r="BA255" s="7"/>
      <c r="BB255" s="7"/>
      <c r="BC255" s="7"/>
    </row>
    <row r="256" s="89" customFormat="true" ht="9.75" hidden="false" customHeight="true" outlineLevel="0" collapsed="false">
      <c r="A256" s="271"/>
      <c r="B256" s="271"/>
      <c r="C256" s="271"/>
      <c r="D256" s="271"/>
      <c r="E256" s="271"/>
      <c r="F256" s="271"/>
      <c r="G256" s="271"/>
      <c r="H256" s="271"/>
      <c r="I256" s="271"/>
      <c r="J256" s="271"/>
      <c r="K256" s="271"/>
      <c r="L256" s="271"/>
      <c r="M256" s="271"/>
      <c r="N256" s="271"/>
      <c r="O256" s="271"/>
      <c r="P256" s="271"/>
      <c r="Q256" s="271"/>
      <c r="R256" s="271"/>
      <c r="S256" s="271"/>
      <c r="T256" s="271"/>
      <c r="U256" s="271"/>
      <c r="V256" s="271"/>
      <c r="W256" s="271"/>
      <c r="X256" s="271"/>
      <c r="Y256" s="271"/>
      <c r="Z256" s="271"/>
      <c r="AA256" s="271"/>
      <c r="AB256" s="271"/>
      <c r="AC256" s="271"/>
      <c r="AD256" s="271"/>
      <c r="AE256" s="271"/>
      <c r="AF256" s="271"/>
      <c r="AG256" s="271"/>
      <c r="AH256" s="271"/>
      <c r="AI256" s="271"/>
      <c r="AJ256" s="271"/>
      <c r="AK256" s="271"/>
      <c r="AL256" s="271"/>
      <c r="AM256" s="271"/>
      <c r="AN256" s="271"/>
      <c r="AO256" s="271"/>
      <c r="AP256" s="7"/>
      <c r="AQ256" s="7"/>
      <c r="AR256" s="7"/>
      <c r="AS256" s="7"/>
      <c r="AT256" s="7"/>
      <c r="AU256" s="7"/>
      <c r="AV256" s="7"/>
      <c r="AW256" s="7"/>
      <c r="AX256" s="7"/>
      <c r="AY256" s="7"/>
      <c r="AZ256" s="7"/>
      <c r="BA256" s="7"/>
      <c r="BB256" s="7"/>
      <c r="BC256" s="7"/>
    </row>
    <row r="257" s="89" customFormat="true" ht="9.75" hidden="false" customHeight="true" outlineLevel="0" collapsed="false">
      <c r="A257" s="272" t="s">
        <v>413</v>
      </c>
      <c r="B257" s="270"/>
      <c r="C257" s="270"/>
      <c r="D257" s="270"/>
      <c r="E257" s="270"/>
      <c r="F257" s="270"/>
      <c r="G257" s="270"/>
      <c r="H257" s="270"/>
      <c r="I257" s="270"/>
      <c r="J257" s="270"/>
      <c r="K257" s="270"/>
      <c r="L257" s="270"/>
      <c r="M257" s="270"/>
      <c r="N257" s="270"/>
      <c r="O257" s="270"/>
      <c r="P257" s="270"/>
      <c r="Q257" s="270"/>
      <c r="R257" s="270"/>
      <c r="S257" s="270"/>
      <c r="T257" s="270"/>
      <c r="U257" s="270"/>
      <c r="V257" s="270"/>
      <c r="W257" s="270"/>
      <c r="X257" s="270"/>
      <c r="Y257" s="270"/>
      <c r="Z257" s="270"/>
      <c r="AA257" s="270"/>
      <c r="AB257" s="270"/>
      <c r="AC257" s="270"/>
      <c r="AD257" s="270"/>
      <c r="AE257" s="270"/>
      <c r="AF257" s="270"/>
      <c r="AG257" s="270"/>
      <c r="AH257" s="270"/>
      <c r="AI257" s="270"/>
      <c r="AJ257" s="270"/>
      <c r="AK257" s="270"/>
      <c r="AL257" s="270"/>
      <c r="AM257" s="270"/>
      <c r="AN257" s="270"/>
      <c r="AO257" s="270"/>
      <c r="AP257" s="7"/>
      <c r="AQ257" s="7"/>
      <c r="AR257" s="7"/>
      <c r="AS257" s="7"/>
      <c r="AT257" s="7"/>
      <c r="AU257" s="7"/>
      <c r="AV257" s="7"/>
      <c r="AW257" s="7"/>
      <c r="AX257" s="7"/>
      <c r="AY257" s="7"/>
      <c r="AZ257" s="7"/>
      <c r="BA257" s="7"/>
      <c r="BB257" s="7"/>
      <c r="BC257" s="7"/>
    </row>
    <row r="258" s="89" customFormat="true" ht="9.75" hidden="false" customHeight="true" outlineLevel="0" collapsed="false">
      <c r="A258" s="271"/>
      <c r="B258" s="271"/>
      <c r="C258" s="271"/>
      <c r="D258" s="271"/>
      <c r="E258" s="271"/>
      <c r="F258" s="271"/>
      <c r="G258" s="271"/>
      <c r="H258" s="271"/>
      <c r="I258" s="271"/>
      <c r="J258" s="271"/>
      <c r="K258" s="271"/>
      <c r="L258" s="271"/>
      <c r="M258" s="271"/>
      <c r="N258" s="271"/>
      <c r="O258" s="271"/>
      <c r="P258" s="271"/>
      <c r="Q258" s="271"/>
      <c r="R258" s="271"/>
      <c r="S258" s="271"/>
      <c r="T258" s="271"/>
      <c r="U258" s="271"/>
      <c r="V258" s="271"/>
      <c r="W258" s="271"/>
      <c r="X258" s="271"/>
      <c r="Y258" s="271"/>
      <c r="Z258" s="271"/>
      <c r="AA258" s="271"/>
      <c r="AB258" s="271"/>
      <c r="AC258" s="271"/>
      <c r="AD258" s="271"/>
      <c r="AE258" s="271"/>
      <c r="AF258" s="271"/>
      <c r="AG258" s="271"/>
      <c r="AH258" s="271"/>
      <c r="AI258" s="271"/>
      <c r="AJ258" s="271"/>
      <c r="AK258" s="271"/>
      <c r="AL258" s="271"/>
      <c r="AM258" s="271"/>
      <c r="AN258" s="271"/>
      <c r="AO258" s="271"/>
      <c r="AP258" s="7"/>
      <c r="AQ258" s="7"/>
      <c r="AR258" s="7"/>
      <c r="AS258" s="7"/>
      <c r="AT258" s="7"/>
      <c r="AU258" s="7"/>
      <c r="AV258" s="7"/>
      <c r="AW258" s="7"/>
      <c r="AX258" s="7"/>
      <c r="AY258" s="7"/>
      <c r="AZ258" s="7"/>
      <c r="BA258" s="7"/>
      <c r="BB258" s="7"/>
      <c r="BC258" s="7"/>
    </row>
    <row r="259" s="89" customFormat="true" ht="9.75" hidden="false" customHeight="true" outlineLevel="0" collapsed="false">
      <c r="A259" s="269"/>
      <c r="B259" s="270"/>
      <c r="C259" s="270"/>
      <c r="D259" s="270"/>
      <c r="E259" s="270"/>
      <c r="F259" s="270"/>
      <c r="G259" s="270"/>
      <c r="H259" s="270"/>
      <c r="I259" s="270"/>
      <c r="J259" s="270"/>
      <c r="K259" s="270"/>
      <c r="L259" s="270"/>
      <c r="M259" s="270"/>
      <c r="N259" s="270"/>
      <c r="O259" s="270"/>
      <c r="P259" s="270"/>
      <c r="Q259" s="270"/>
      <c r="R259" s="270"/>
      <c r="S259" s="270"/>
      <c r="T259" s="270"/>
      <c r="U259" s="270"/>
      <c r="V259" s="270"/>
      <c r="W259" s="270"/>
      <c r="X259" s="270"/>
      <c r="Y259" s="270"/>
      <c r="Z259" s="270"/>
      <c r="AA259" s="270"/>
      <c r="AB259" s="270"/>
      <c r="AC259" s="270"/>
      <c r="AD259" s="270"/>
      <c r="AE259" s="270"/>
      <c r="AF259" s="270"/>
      <c r="AG259" s="270"/>
      <c r="AH259" s="270"/>
      <c r="AI259" s="270"/>
      <c r="AJ259" s="270"/>
      <c r="AK259" s="270"/>
      <c r="AL259" s="270"/>
      <c r="AM259" s="270"/>
      <c r="AN259" s="270"/>
      <c r="AO259" s="270"/>
      <c r="AP259" s="7"/>
      <c r="AQ259" s="7"/>
      <c r="AR259" s="7"/>
      <c r="AS259" s="7"/>
      <c r="AT259" s="7"/>
      <c r="AU259" s="7"/>
      <c r="AV259" s="7"/>
      <c r="AW259" s="7"/>
      <c r="AX259" s="7"/>
      <c r="AY259" s="7"/>
      <c r="AZ259" s="7"/>
      <c r="BA259" s="7"/>
      <c r="BB259" s="7"/>
      <c r="BC259" s="7"/>
    </row>
    <row r="260" s="89" customFormat="true" ht="9.75" hidden="false" customHeight="true" outlineLevel="0" collapsed="false">
      <c r="A260" s="271"/>
      <c r="B260" s="271"/>
      <c r="C260" s="271"/>
      <c r="D260" s="271"/>
      <c r="E260" s="271"/>
      <c r="F260" s="271"/>
      <c r="G260" s="271"/>
      <c r="H260" s="271"/>
      <c r="I260" s="271"/>
      <c r="J260" s="271"/>
      <c r="K260" s="271"/>
      <c r="L260" s="271"/>
      <c r="M260" s="271"/>
      <c r="N260" s="271"/>
      <c r="O260" s="271"/>
      <c r="P260" s="271"/>
      <c r="Q260" s="271"/>
      <c r="R260" s="271"/>
      <c r="S260" s="271"/>
      <c r="T260" s="271"/>
      <c r="U260" s="271"/>
      <c r="V260" s="271"/>
      <c r="W260" s="271"/>
      <c r="X260" s="271"/>
      <c r="Y260" s="271"/>
      <c r="Z260" s="271"/>
      <c r="AA260" s="271"/>
      <c r="AB260" s="271"/>
      <c r="AC260" s="271"/>
      <c r="AD260" s="271"/>
      <c r="AE260" s="271"/>
      <c r="AF260" s="271"/>
      <c r="AG260" s="271"/>
      <c r="AH260" s="271"/>
      <c r="AI260" s="271"/>
      <c r="AJ260" s="271"/>
      <c r="AK260" s="271"/>
      <c r="AL260" s="271"/>
      <c r="AM260" s="271"/>
      <c r="AN260" s="271"/>
      <c r="AO260" s="271"/>
      <c r="AP260" s="7"/>
      <c r="AQ260" s="7"/>
      <c r="AR260" s="7"/>
      <c r="AS260" s="7"/>
      <c r="AT260" s="7"/>
      <c r="AU260" s="7"/>
      <c r="AV260" s="7"/>
      <c r="AW260" s="7"/>
      <c r="AX260" s="7"/>
      <c r="AY260" s="7"/>
      <c r="AZ260" s="7"/>
      <c r="BA260" s="7"/>
      <c r="BB260" s="7"/>
      <c r="BC260" s="7"/>
    </row>
    <row r="261" s="89" customFormat="true" ht="9.75" hidden="false" customHeight="true" outlineLevel="0" collapsed="false">
      <c r="A261" s="270"/>
      <c r="B261" s="270"/>
      <c r="C261" s="270"/>
      <c r="D261" s="270"/>
      <c r="E261" s="270"/>
      <c r="F261" s="270"/>
      <c r="G261" s="270"/>
      <c r="H261" s="270"/>
      <c r="I261" s="270"/>
      <c r="J261" s="270"/>
      <c r="K261" s="270"/>
      <c r="L261" s="270"/>
      <c r="M261" s="270"/>
      <c r="N261" s="270"/>
      <c r="O261" s="270"/>
      <c r="P261" s="270"/>
      <c r="Q261" s="270"/>
      <c r="R261" s="270"/>
      <c r="S261" s="270"/>
      <c r="T261" s="270"/>
      <c r="U261" s="270"/>
      <c r="V261" s="270"/>
      <c r="W261" s="270"/>
      <c r="X261" s="270"/>
      <c r="Y261" s="270"/>
      <c r="Z261" s="270"/>
      <c r="AA261" s="270"/>
      <c r="AB261" s="270"/>
      <c r="AC261" s="270"/>
      <c r="AD261" s="270"/>
      <c r="AE261" s="270"/>
      <c r="AF261" s="270"/>
      <c r="AG261" s="270"/>
      <c r="AH261" s="270"/>
      <c r="AI261" s="270"/>
      <c r="AJ261" s="270"/>
      <c r="AK261" s="270"/>
      <c r="AL261" s="270"/>
      <c r="AM261" s="270"/>
      <c r="AN261" s="270"/>
      <c r="AO261" s="270"/>
      <c r="AP261" s="7"/>
      <c r="AQ261" s="7"/>
      <c r="AR261" s="7"/>
      <c r="AS261" s="7"/>
      <c r="AT261" s="7"/>
      <c r="AU261" s="7"/>
      <c r="AV261" s="7"/>
      <c r="AW261" s="7"/>
      <c r="AX261" s="7"/>
      <c r="AY261" s="7"/>
      <c r="AZ261" s="7"/>
      <c r="BA261" s="7"/>
      <c r="BB261" s="7"/>
      <c r="BC261" s="7"/>
    </row>
    <row r="262" s="89" customFormat="true" ht="9.75" hidden="false" customHeight="true" outlineLevel="0" collapsed="false">
      <c r="A262" s="271"/>
      <c r="B262" s="271"/>
      <c r="C262" s="271"/>
      <c r="D262" s="271"/>
      <c r="E262" s="271"/>
      <c r="F262" s="271"/>
      <c r="G262" s="271"/>
      <c r="H262" s="271"/>
      <c r="I262" s="271"/>
      <c r="J262" s="271"/>
      <c r="K262" s="271"/>
      <c r="L262" s="271"/>
      <c r="M262" s="271"/>
      <c r="N262" s="271"/>
      <c r="O262" s="271"/>
      <c r="P262" s="271"/>
      <c r="Q262" s="271"/>
      <c r="R262" s="271"/>
      <c r="S262" s="271"/>
      <c r="T262" s="271"/>
      <c r="U262" s="271"/>
      <c r="V262" s="271"/>
      <c r="W262" s="271"/>
      <c r="X262" s="271"/>
      <c r="Y262" s="271"/>
      <c r="Z262" s="271"/>
      <c r="AA262" s="271"/>
      <c r="AB262" s="271"/>
      <c r="AC262" s="271"/>
      <c r="AD262" s="271"/>
      <c r="AE262" s="271"/>
      <c r="AF262" s="271"/>
      <c r="AG262" s="271"/>
      <c r="AH262" s="271"/>
      <c r="AI262" s="271"/>
      <c r="AJ262" s="271"/>
      <c r="AK262" s="271"/>
      <c r="AL262" s="271"/>
      <c r="AM262" s="271"/>
      <c r="AN262" s="271"/>
      <c r="AO262" s="271"/>
      <c r="AP262" s="7"/>
      <c r="AQ262" s="7"/>
      <c r="AR262" s="7"/>
      <c r="AS262" s="7"/>
      <c r="AT262" s="7"/>
      <c r="AU262" s="7"/>
      <c r="AV262" s="7"/>
      <c r="AW262" s="7"/>
      <c r="AX262" s="7"/>
      <c r="AY262" s="7"/>
      <c r="AZ262" s="7"/>
      <c r="BA262" s="7"/>
      <c r="BB262" s="7"/>
      <c r="BC262" s="7"/>
    </row>
    <row r="263" s="89" customFormat="true" ht="9.75" hidden="false" customHeight="true" outlineLevel="0" collapsed="false">
      <c r="A263" s="270"/>
      <c r="B263" s="270"/>
      <c r="C263" s="270"/>
      <c r="D263" s="270"/>
      <c r="E263" s="270"/>
      <c r="F263" s="270"/>
      <c r="G263" s="270"/>
      <c r="H263" s="270"/>
      <c r="I263" s="270"/>
      <c r="J263" s="270"/>
      <c r="K263" s="270"/>
      <c r="L263" s="270"/>
      <c r="M263" s="270"/>
      <c r="N263" s="270"/>
      <c r="O263" s="270"/>
      <c r="P263" s="270"/>
      <c r="Q263" s="270"/>
      <c r="R263" s="270"/>
      <c r="S263" s="270"/>
      <c r="T263" s="270"/>
      <c r="U263" s="270"/>
      <c r="V263" s="270"/>
      <c r="W263" s="270"/>
      <c r="X263" s="270"/>
      <c r="Y263" s="270"/>
      <c r="Z263" s="270"/>
      <c r="AA263" s="270"/>
      <c r="AB263" s="270"/>
      <c r="AC263" s="270"/>
      <c r="AD263" s="270"/>
      <c r="AE263" s="270"/>
      <c r="AF263" s="270"/>
      <c r="AG263" s="270"/>
      <c r="AH263" s="270"/>
      <c r="AI263" s="270"/>
      <c r="AJ263" s="270"/>
      <c r="AK263" s="270"/>
      <c r="AL263" s="270"/>
      <c r="AM263" s="270"/>
      <c r="AN263" s="270"/>
      <c r="AO263" s="270"/>
      <c r="AP263" s="7"/>
      <c r="AQ263" s="7"/>
      <c r="AR263" s="7"/>
      <c r="AS263" s="7"/>
      <c r="AT263" s="7"/>
      <c r="AU263" s="7"/>
      <c r="AV263" s="7"/>
      <c r="AW263" s="7"/>
      <c r="AX263" s="7"/>
      <c r="AY263" s="7"/>
      <c r="AZ263" s="7"/>
      <c r="BA263" s="7"/>
      <c r="BB263" s="7"/>
      <c r="BC263" s="7"/>
    </row>
    <row r="264" s="89" customFormat="true" ht="10.5" hidden="false" customHeight="true" outlineLevel="0" collapsed="false">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7"/>
      <c r="AH264" s="7"/>
      <c r="AI264" s="7"/>
      <c r="AJ264" s="7"/>
      <c r="AK264" s="7"/>
      <c r="AL264" s="7"/>
      <c r="AM264" s="7"/>
      <c r="AN264" s="7"/>
      <c r="AO264" s="7"/>
      <c r="AP264" s="7"/>
      <c r="AQ264" s="7"/>
      <c r="AR264" s="7"/>
      <c r="AS264" s="7"/>
      <c r="AT264" s="7"/>
      <c r="AU264" s="7"/>
      <c r="AV264" s="7"/>
      <c r="AW264" s="7"/>
      <c r="AX264" s="7"/>
      <c r="AY264" s="7"/>
      <c r="AZ264" s="7"/>
      <c r="BA264" s="7"/>
      <c r="BB264" s="7"/>
      <c r="BC264" s="7"/>
    </row>
    <row r="265" s="89" customFormat="true" ht="10.5" hidden="false" customHeight="true" outlineLevel="0" collapsed="false">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7"/>
      <c r="AH265" s="7"/>
      <c r="AI265" s="7"/>
      <c r="AJ265" s="7"/>
      <c r="AK265" s="7"/>
      <c r="AL265" s="7"/>
      <c r="AM265" s="7"/>
      <c r="AN265" s="7"/>
      <c r="AO265" s="7"/>
      <c r="AP265" s="7"/>
      <c r="AQ265" s="7"/>
      <c r="AR265" s="7"/>
      <c r="AS265" s="7"/>
      <c r="AT265" s="7"/>
      <c r="AU265" s="7"/>
      <c r="AV265" s="7"/>
      <c r="AW265" s="7"/>
      <c r="AX265" s="7"/>
      <c r="AY265" s="7"/>
      <c r="AZ265" s="7"/>
      <c r="BA265" s="7"/>
      <c r="BB265" s="7"/>
      <c r="BC265" s="7"/>
    </row>
    <row r="266" s="89" customFormat="true" ht="10.5" hidden="false" customHeight="true" outlineLevel="0" collapsed="false">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7"/>
      <c r="AH266" s="7"/>
      <c r="AI266" s="7"/>
      <c r="AJ266" s="7"/>
      <c r="AK266" s="7"/>
      <c r="AL266" s="7"/>
      <c r="AM266" s="7"/>
      <c r="AN266" s="7"/>
      <c r="AO266" s="7"/>
      <c r="AP266" s="7"/>
      <c r="AQ266" s="7"/>
      <c r="AR266" s="7"/>
      <c r="AS266" s="7"/>
      <c r="AT266" s="7"/>
      <c r="AU266" s="7"/>
      <c r="AV266" s="7"/>
      <c r="AW266" s="7"/>
      <c r="AX266" s="7"/>
      <c r="AY266" s="7"/>
      <c r="AZ266" s="7"/>
      <c r="BA266" s="7"/>
      <c r="BB266" s="7"/>
      <c r="BC266" s="7"/>
    </row>
    <row r="267" s="89" customFormat="true" ht="10.5" hidden="false" customHeight="true" outlineLevel="0" collapsed="false">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7"/>
      <c r="AH267" s="7"/>
      <c r="AI267" s="7"/>
      <c r="AJ267" s="7"/>
      <c r="AK267" s="7"/>
      <c r="AL267" s="7"/>
      <c r="AM267" s="7"/>
      <c r="AN267" s="7"/>
      <c r="AO267" s="7"/>
      <c r="AP267" s="7"/>
      <c r="AQ267" s="7"/>
      <c r="AR267" s="7"/>
      <c r="AS267" s="7"/>
      <c r="AT267" s="7"/>
      <c r="AU267" s="7"/>
      <c r="AV267" s="7"/>
      <c r="AW267" s="7"/>
      <c r="AX267" s="7"/>
      <c r="AY267" s="7"/>
      <c r="AZ267" s="7"/>
      <c r="BA267" s="7"/>
      <c r="BB267" s="7"/>
      <c r="BC267" s="7"/>
    </row>
    <row r="268" s="89" customFormat="true" ht="10.5" hidden="false" customHeight="true" outlineLevel="0" collapsed="false">
      <c r="A268" s="7"/>
      <c r="B268" s="7"/>
      <c r="C268" s="7"/>
      <c r="D268" s="7"/>
      <c r="E268" s="39"/>
      <c r="F268" s="39"/>
      <c r="G268" s="39"/>
      <c r="H268" s="39"/>
      <c r="I268" s="39"/>
      <c r="J268" s="39"/>
      <c r="K268" s="39"/>
      <c r="L268" s="39"/>
      <c r="M268" s="39"/>
      <c r="N268" s="273"/>
      <c r="O268" s="273"/>
      <c r="W268" s="7"/>
      <c r="X268" s="7"/>
      <c r="Y268" s="7"/>
      <c r="Z268" s="39"/>
      <c r="AA268" s="274" t="n">
        <f aca="false">AF6</f>
        <v>46197</v>
      </c>
      <c r="AB268" s="274"/>
      <c r="AC268" s="274"/>
      <c r="AD268" s="274"/>
      <c r="AE268" s="274"/>
      <c r="AF268" s="274"/>
      <c r="AG268" s="274"/>
      <c r="AH268" s="274"/>
      <c r="AI268" s="274"/>
      <c r="AJ268" s="274"/>
      <c r="AK268" s="274"/>
      <c r="AL268" s="274"/>
      <c r="AM268" s="274"/>
      <c r="AN268" s="39"/>
      <c r="AO268" s="7"/>
      <c r="AP268" s="7"/>
      <c r="AQ268" s="7"/>
      <c r="AR268" s="7"/>
      <c r="AS268" s="7"/>
      <c r="AT268" s="7"/>
      <c r="AU268" s="7"/>
      <c r="AV268" s="7"/>
      <c r="AW268" s="7"/>
      <c r="AX268" s="7"/>
      <c r="AY268" s="7"/>
      <c r="AZ268" s="7"/>
      <c r="BA268" s="7"/>
      <c r="BB268" s="7"/>
      <c r="BC268" s="7"/>
    </row>
    <row r="269" s="89" customFormat="true" ht="10.5" hidden="false" customHeight="true" outlineLevel="0" collapsed="false">
      <c r="A269" s="7"/>
      <c r="B269" s="7"/>
      <c r="C269" s="7"/>
      <c r="D269" s="275"/>
      <c r="E269" s="125" t="s">
        <v>414</v>
      </c>
      <c r="F269" s="125"/>
      <c r="G269" s="125"/>
      <c r="H269" s="125"/>
      <c r="I269" s="125"/>
      <c r="J269" s="125"/>
      <c r="K269" s="125"/>
      <c r="L269" s="125"/>
      <c r="M269" s="125"/>
      <c r="N269" s="125"/>
      <c r="W269" s="7"/>
      <c r="X269" s="7"/>
      <c r="Y269" s="7"/>
      <c r="Z269" s="7"/>
      <c r="AA269" s="21" t="s">
        <v>415</v>
      </c>
      <c r="AB269" s="21"/>
      <c r="AC269" s="21"/>
      <c r="AD269" s="21"/>
      <c r="AE269" s="21"/>
      <c r="AF269" s="21"/>
      <c r="AG269" s="21"/>
      <c r="AH269" s="21"/>
      <c r="AI269" s="21"/>
      <c r="AJ269" s="21"/>
      <c r="AK269" s="21"/>
      <c r="AL269" s="21"/>
      <c r="AM269" s="21"/>
      <c r="AN269" s="7"/>
      <c r="AO269" s="7"/>
      <c r="AP269" s="7"/>
      <c r="AQ269" s="7"/>
      <c r="AR269" s="7"/>
      <c r="AS269" s="7"/>
      <c r="AT269" s="7"/>
      <c r="AU269" s="7"/>
      <c r="AV269" s="7"/>
      <c r="AW269" s="7"/>
      <c r="AX269" s="7"/>
      <c r="AY269" s="7"/>
      <c r="AZ269" s="7"/>
      <c r="BA269" s="7"/>
      <c r="BB269" s="7"/>
      <c r="BC269" s="7"/>
    </row>
    <row r="270" s="89" customFormat="true" ht="10.5" hidden="false" customHeight="true" outlineLevel="0" collapsed="false">
      <c r="A270" s="7"/>
      <c r="B270" s="7"/>
      <c r="C270" s="7"/>
      <c r="D270" s="13" t="str">
        <f aca="false">+D10</f>
        <v>JARAMILLO JIMENEZ CARLOS ISRAEL</v>
      </c>
      <c r="E270" s="13"/>
      <c r="F270" s="13"/>
      <c r="G270" s="13"/>
      <c r="H270" s="13"/>
      <c r="I270" s="13"/>
      <c r="J270" s="13"/>
      <c r="K270" s="13"/>
      <c r="L270" s="13"/>
      <c r="M270" s="13"/>
      <c r="N270" s="13"/>
      <c r="O270" s="13"/>
      <c r="P270" s="7"/>
      <c r="Q270" s="7"/>
      <c r="R270" s="7"/>
      <c r="S270" s="7"/>
      <c r="T270" s="7"/>
      <c r="U270" s="7"/>
      <c r="V270" s="7"/>
      <c r="W270" s="7"/>
      <c r="X270" s="7"/>
      <c r="Y270" s="7"/>
      <c r="Z270" s="7"/>
      <c r="AA270" s="7"/>
      <c r="AB270" s="7"/>
      <c r="AC270" s="7"/>
      <c r="AD270" s="7"/>
      <c r="AE270" s="7"/>
      <c r="AF270" s="7"/>
      <c r="AG270" s="7"/>
      <c r="AH270" s="7"/>
      <c r="AI270" s="7"/>
      <c r="AJ270" s="7"/>
      <c r="AK270" s="7"/>
      <c r="AL270" s="7"/>
      <c r="AM270" s="7"/>
      <c r="AN270" s="7"/>
      <c r="AO270" s="7"/>
      <c r="AP270" s="7"/>
      <c r="AQ270" s="7"/>
      <c r="AR270" s="7"/>
      <c r="AS270" s="7"/>
      <c r="AT270" s="7"/>
      <c r="AU270" s="7"/>
      <c r="AV270" s="7"/>
      <c r="AW270" s="7"/>
      <c r="AX270" s="7"/>
      <c r="AY270" s="7"/>
      <c r="AZ270" s="7"/>
      <c r="BA270" s="7"/>
      <c r="BB270" s="7"/>
      <c r="BC270" s="7"/>
    </row>
    <row r="271" s="89" customFormat="true" ht="2.25" hidden="false" customHeight="true" outlineLevel="0" collapsed="false">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7"/>
      <c r="AH271" s="7"/>
      <c r="AI271" s="7"/>
      <c r="AJ271" s="7"/>
      <c r="AK271" s="7"/>
      <c r="AL271" s="7"/>
      <c r="AM271" s="7"/>
      <c r="AN271" s="7"/>
      <c r="AO271" s="7"/>
      <c r="AP271" s="7"/>
      <c r="AQ271" s="7"/>
      <c r="AR271" s="7"/>
      <c r="AS271" s="7"/>
      <c r="AT271" s="7"/>
      <c r="AU271" s="7"/>
      <c r="AV271" s="7"/>
      <c r="AW271" s="7"/>
      <c r="AX271" s="7"/>
      <c r="AY271" s="7"/>
      <c r="AZ271" s="7"/>
      <c r="BA271" s="7"/>
      <c r="BB271" s="7"/>
      <c r="BC271" s="7"/>
    </row>
    <row r="272" s="89" customFormat="true" ht="10.5" hidden="false" customHeight="true" outlineLevel="0" collapsed="false">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7"/>
      <c r="AH272" s="7"/>
      <c r="AI272" s="7"/>
      <c r="AJ272" s="7"/>
      <c r="AK272" s="7"/>
      <c r="AL272" s="7"/>
      <c r="AM272" s="7"/>
      <c r="AN272" s="7"/>
      <c r="AO272" s="7"/>
      <c r="AP272" s="7"/>
      <c r="AQ272" s="7"/>
      <c r="AR272" s="7"/>
      <c r="AS272" s="7"/>
      <c r="AT272" s="7"/>
      <c r="AU272" s="7"/>
      <c r="AV272" s="7"/>
      <c r="AW272" s="7"/>
      <c r="AX272" s="7"/>
      <c r="AY272" s="7"/>
      <c r="AZ272" s="7"/>
      <c r="BA272" s="7"/>
      <c r="BB272" s="7"/>
      <c r="BC272" s="7"/>
    </row>
    <row r="273" s="7" customFormat="true" ht="2.25" hidden="false" customHeight="true" outlineLevel="0" collapsed="false"/>
    <row r="274" s="7" customFormat="true" ht="10.5" hidden="false" customHeight="true" outlineLevel="0" collapsed="false"/>
    <row r="275" s="89" customFormat="true" ht="2.25" hidden="false" customHeight="true" outlineLevel="0" collapsed="false">
      <c r="A275" s="6"/>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7"/>
      <c r="AH275" s="7"/>
      <c r="AI275" s="7"/>
      <c r="AJ275" s="7"/>
      <c r="AK275" s="7"/>
      <c r="AL275" s="7"/>
      <c r="AM275" s="7"/>
      <c r="AN275" s="7"/>
      <c r="AO275" s="7"/>
      <c r="AP275" s="7"/>
      <c r="AQ275" s="7"/>
      <c r="AR275" s="7"/>
      <c r="AS275" s="7"/>
      <c r="AT275" s="7"/>
      <c r="AU275" s="7"/>
      <c r="AV275" s="7"/>
      <c r="AW275" s="7"/>
      <c r="AX275" s="7"/>
      <c r="AY275" s="7"/>
      <c r="AZ275" s="7"/>
      <c r="BA275" s="7"/>
      <c r="BB275" s="7"/>
      <c r="BC275" s="7"/>
    </row>
    <row r="1048576" customFormat="false" ht="12.75" hidden="false" customHeight="true" outlineLevel="0" collapsed="false"/>
  </sheetData>
  <sheetProtection algorithmName="SHA-512" hashValue="Uj04zvoqo2aspdzQacERaG75zqhOMe7kN1Ra8/KS09DPEA2OxWnxqiHz/MezaeoWBvsTYsdP9ipPPU0ky2t0oA==" saltValue="6+kr3io91zSKvby6DXyqlw==" spinCount="100000" sheet="true" objects="true" scenarios="true"/>
  <mergeCells count="967">
    <mergeCell ref="A1:AC2"/>
    <mergeCell ref="N3:W3"/>
    <mergeCell ref="A4:AO4"/>
    <mergeCell ref="A6:E6"/>
    <mergeCell ref="I6:L6"/>
    <mergeCell ref="P6:S6"/>
    <mergeCell ref="T6:Z6"/>
    <mergeCell ref="AC6:AE6"/>
    <mergeCell ref="AF6:AO6"/>
    <mergeCell ref="A8:O8"/>
    <mergeCell ref="Q8:S8"/>
    <mergeCell ref="U8:W8"/>
    <mergeCell ref="Y8:AC8"/>
    <mergeCell ref="AE8:AK8"/>
    <mergeCell ref="A10:C10"/>
    <mergeCell ref="D10:P10"/>
    <mergeCell ref="Q10:V10"/>
    <mergeCell ref="W10:AC10"/>
    <mergeCell ref="AE10:AK10"/>
    <mergeCell ref="AL10:AO10"/>
    <mergeCell ref="A12:B12"/>
    <mergeCell ref="C12:F12"/>
    <mergeCell ref="G12:J12"/>
    <mergeCell ref="K12:L12"/>
    <mergeCell ref="M12:O12"/>
    <mergeCell ref="P12:S12"/>
    <mergeCell ref="T12:W12"/>
    <mergeCell ref="X12:AC12"/>
    <mergeCell ref="AD12:AF12"/>
    <mergeCell ref="AG12:AO12"/>
    <mergeCell ref="A14:F14"/>
    <mergeCell ref="G14:AO14"/>
    <mergeCell ref="A16:AO16"/>
    <mergeCell ref="A18:B18"/>
    <mergeCell ref="C18:E18"/>
    <mergeCell ref="F18:L18"/>
    <mergeCell ref="M18:AE18"/>
    <mergeCell ref="AF18:AH18"/>
    <mergeCell ref="AI18:AO18"/>
    <mergeCell ref="A20:D20"/>
    <mergeCell ref="E20:H20"/>
    <mergeCell ref="I20:Q20"/>
    <mergeCell ref="R20:V20"/>
    <mergeCell ref="W20:Y20"/>
    <mergeCell ref="Z20:AA20"/>
    <mergeCell ref="AB20:AC20"/>
    <mergeCell ref="AD20:AF20"/>
    <mergeCell ref="AG20:AO20"/>
    <mergeCell ref="A22:C22"/>
    <mergeCell ref="E22:F22"/>
    <mergeCell ref="G22:K22"/>
    <mergeCell ref="L22:P22"/>
    <mergeCell ref="Q22:T22"/>
    <mergeCell ref="U22:W22"/>
    <mergeCell ref="X22:AC22"/>
    <mergeCell ref="AD22:AI22"/>
    <mergeCell ref="AJ22:AN22"/>
    <mergeCell ref="A24:AO24"/>
    <mergeCell ref="A26:C26"/>
    <mergeCell ref="D26:H26"/>
    <mergeCell ref="I26:K26"/>
    <mergeCell ref="L26:O26"/>
    <mergeCell ref="P26:S26"/>
    <mergeCell ref="T26:X26"/>
    <mergeCell ref="Y26:AC26"/>
    <mergeCell ref="AD26:AO26"/>
    <mergeCell ref="A28:E28"/>
    <mergeCell ref="F28:M28"/>
    <mergeCell ref="N28:R28"/>
    <mergeCell ref="S28:Z28"/>
    <mergeCell ref="AA28:AB28"/>
    <mergeCell ref="AC28:AO28"/>
    <mergeCell ref="A30:D30"/>
    <mergeCell ref="E30:H30"/>
    <mergeCell ref="I30:K30"/>
    <mergeCell ref="L30:R30"/>
    <mergeCell ref="S30:U30"/>
    <mergeCell ref="V30:Y30"/>
    <mergeCell ref="Z30:AB30"/>
    <mergeCell ref="AC30:AF30"/>
    <mergeCell ref="AG30:AJ30"/>
    <mergeCell ref="AK30:AO30"/>
    <mergeCell ref="A32:E32"/>
    <mergeCell ref="F32:I32"/>
    <mergeCell ref="J32:M32"/>
    <mergeCell ref="N32:Q32"/>
    <mergeCell ref="R32:W32"/>
    <mergeCell ref="X32:AO32"/>
    <mergeCell ref="A34:AO34"/>
    <mergeCell ref="A36:B36"/>
    <mergeCell ref="C36:E36"/>
    <mergeCell ref="F36:L36"/>
    <mergeCell ref="M36:AE36"/>
    <mergeCell ref="AF36:AH36"/>
    <mergeCell ref="AI36:AO36"/>
    <mergeCell ref="A38:D38"/>
    <mergeCell ref="E38:H38"/>
    <mergeCell ref="I38:Q38"/>
    <mergeCell ref="R38:Y38"/>
    <mergeCell ref="Z38:AA38"/>
    <mergeCell ref="AB38:AC38"/>
    <mergeCell ref="AD38:AE38"/>
    <mergeCell ref="AF38:AO38"/>
    <mergeCell ref="A40:C40"/>
    <mergeCell ref="F40:K40"/>
    <mergeCell ref="L40:O40"/>
    <mergeCell ref="R40:W40"/>
    <mergeCell ref="X40:AO40"/>
    <mergeCell ref="A42:AO42"/>
    <mergeCell ref="B44:H44"/>
    <mergeCell ref="K44:R44"/>
    <mergeCell ref="T44:W44"/>
    <mergeCell ref="Y44:AF44"/>
    <mergeCell ref="A46:AO46"/>
    <mergeCell ref="A48:H48"/>
    <mergeCell ref="I48:W48"/>
    <mergeCell ref="X48:AO48"/>
    <mergeCell ref="A49:H49"/>
    <mergeCell ref="I49:W49"/>
    <mergeCell ref="X49:AO49"/>
    <mergeCell ref="A50:H50"/>
    <mergeCell ref="I50:W50"/>
    <mergeCell ref="X50:AO50"/>
    <mergeCell ref="A51:H51"/>
    <mergeCell ref="I51:W51"/>
    <mergeCell ref="X51:AO51"/>
    <mergeCell ref="A52:H52"/>
    <mergeCell ref="I52:W52"/>
    <mergeCell ref="X52:AO52"/>
    <mergeCell ref="A53:H53"/>
    <mergeCell ref="I53:W53"/>
    <mergeCell ref="X53:AO53"/>
    <mergeCell ref="A54:H54"/>
    <mergeCell ref="I54:W54"/>
    <mergeCell ref="X54:AO54"/>
    <mergeCell ref="A55:H55"/>
    <mergeCell ref="I55:W55"/>
    <mergeCell ref="X55:AO55"/>
    <mergeCell ref="A57:H57"/>
    <mergeCell ref="J57:K57"/>
    <mergeCell ref="O57:P57"/>
    <mergeCell ref="AA57:AB57"/>
    <mergeCell ref="AD57:AE57"/>
    <mergeCell ref="AF57:AG57"/>
    <mergeCell ref="A59:AO59"/>
    <mergeCell ref="A60:I60"/>
    <mergeCell ref="J60:AO60"/>
    <mergeCell ref="A62:G62"/>
    <mergeCell ref="H62:T62"/>
    <mergeCell ref="V62:AA62"/>
    <mergeCell ref="AB62:AC62"/>
    <mergeCell ref="AE62:AJ62"/>
    <mergeCell ref="AK62:AL62"/>
    <mergeCell ref="A64:G64"/>
    <mergeCell ref="H64:S64"/>
    <mergeCell ref="T64:X64"/>
    <mergeCell ref="Y64:AB64"/>
    <mergeCell ref="AC64:AG64"/>
    <mergeCell ref="AH64:AO64"/>
    <mergeCell ref="A66:C66"/>
    <mergeCell ref="D66:H66"/>
    <mergeCell ref="I66:K66"/>
    <mergeCell ref="L66:P66"/>
    <mergeCell ref="Q66:S66"/>
    <mergeCell ref="T66:X66"/>
    <mergeCell ref="Y66:AC66"/>
    <mergeCell ref="AD66:AO66"/>
    <mergeCell ref="A68:E68"/>
    <mergeCell ref="F68:M68"/>
    <mergeCell ref="N68:R68"/>
    <mergeCell ref="S68:Z68"/>
    <mergeCell ref="AA68:AB68"/>
    <mergeCell ref="AC68:AO68"/>
    <mergeCell ref="A70:AO70"/>
    <mergeCell ref="A71:K71"/>
    <mergeCell ref="L71:Z71"/>
    <mergeCell ref="AA71:AF71"/>
    <mergeCell ref="AG71:AO71"/>
    <mergeCell ref="A72:K72"/>
    <mergeCell ref="L72:Z72"/>
    <mergeCell ref="AA72:AF72"/>
    <mergeCell ref="AG72:AO72"/>
    <mergeCell ref="A73:K73"/>
    <mergeCell ref="L73:Z73"/>
    <mergeCell ref="AA73:AF73"/>
    <mergeCell ref="AG73:AO73"/>
    <mergeCell ref="A74:K74"/>
    <mergeCell ref="L74:Z74"/>
    <mergeCell ref="AA74:AF74"/>
    <mergeCell ref="AG74:AO74"/>
    <mergeCell ref="A76:S76"/>
    <mergeCell ref="U76:AO76"/>
    <mergeCell ref="A87:AO89"/>
    <mergeCell ref="Y90:AO90"/>
    <mergeCell ref="Y92:AA92"/>
    <mergeCell ref="AD92:AE92"/>
    <mergeCell ref="AH92:AL92"/>
    <mergeCell ref="B94:J94"/>
    <mergeCell ref="N94:V94"/>
    <mergeCell ref="Y94:AB94"/>
    <mergeCell ref="AC95:AO95"/>
    <mergeCell ref="A97:AO97"/>
    <mergeCell ref="A98:AO98"/>
    <mergeCell ref="A99:AO99"/>
    <mergeCell ref="A100:I100"/>
    <mergeCell ref="J100:L100"/>
    <mergeCell ref="M100:O100"/>
    <mergeCell ref="P100:R100"/>
    <mergeCell ref="S100:V100"/>
    <mergeCell ref="W100:Z100"/>
    <mergeCell ref="AA100:AD100"/>
    <mergeCell ref="AE100:AG100"/>
    <mergeCell ref="AH100:AK100"/>
    <mergeCell ref="AL100:AO100"/>
    <mergeCell ref="B101:I101"/>
    <mergeCell ref="J101:L101"/>
    <mergeCell ref="M101:O101"/>
    <mergeCell ref="P101:R101"/>
    <mergeCell ref="S101:V101"/>
    <mergeCell ref="W101:Z101"/>
    <mergeCell ref="AA101:AD101"/>
    <mergeCell ref="AE101:AG101"/>
    <mergeCell ref="AH101:AK101"/>
    <mergeCell ref="AL101:AO101"/>
    <mergeCell ref="B102:I102"/>
    <mergeCell ref="J102:L102"/>
    <mergeCell ref="M102:O102"/>
    <mergeCell ref="P102:R102"/>
    <mergeCell ref="S102:V102"/>
    <mergeCell ref="W102:Z102"/>
    <mergeCell ref="AA102:AD102"/>
    <mergeCell ref="AE102:AG102"/>
    <mergeCell ref="AH102:AK102"/>
    <mergeCell ref="AL102:AO102"/>
    <mergeCell ref="B103:I103"/>
    <mergeCell ref="J103:L103"/>
    <mergeCell ref="M103:O103"/>
    <mergeCell ref="P103:R103"/>
    <mergeCell ref="S103:V103"/>
    <mergeCell ref="W103:Z103"/>
    <mergeCell ref="AA103:AD103"/>
    <mergeCell ref="AE103:AG103"/>
    <mergeCell ref="AH103:AK103"/>
    <mergeCell ref="AL103:AO103"/>
    <mergeCell ref="B104:I104"/>
    <mergeCell ref="J104:L104"/>
    <mergeCell ref="M104:O104"/>
    <mergeCell ref="P104:R104"/>
    <mergeCell ref="S104:V104"/>
    <mergeCell ref="W104:Z104"/>
    <mergeCell ref="AA104:AD104"/>
    <mergeCell ref="AE104:AG104"/>
    <mergeCell ref="AH104:AK104"/>
    <mergeCell ref="AL104:AO104"/>
    <mergeCell ref="B105:I105"/>
    <mergeCell ref="J105:L105"/>
    <mergeCell ref="M105:O105"/>
    <mergeCell ref="P105:R105"/>
    <mergeCell ref="S105:V105"/>
    <mergeCell ref="W105:Z105"/>
    <mergeCell ref="AA105:AD105"/>
    <mergeCell ref="AE105:AG105"/>
    <mergeCell ref="AH105:AK105"/>
    <mergeCell ref="AL105:AO105"/>
    <mergeCell ref="B106:I106"/>
    <mergeCell ref="J106:L106"/>
    <mergeCell ref="M106:O106"/>
    <mergeCell ref="P106:R106"/>
    <mergeCell ref="S106:V106"/>
    <mergeCell ref="W106:Z106"/>
    <mergeCell ref="AA106:AD106"/>
    <mergeCell ref="AE106:AG106"/>
    <mergeCell ref="AH106:AK106"/>
    <mergeCell ref="AL106:AO106"/>
    <mergeCell ref="B107:I107"/>
    <mergeCell ref="J107:L107"/>
    <mergeCell ref="M107:O107"/>
    <mergeCell ref="P107:R107"/>
    <mergeCell ref="S107:V107"/>
    <mergeCell ref="W107:Z107"/>
    <mergeCell ref="AA107:AD107"/>
    <mergeCell ref="AE107:AG107"/>
    <mergeCell ref="AH107:AK107"/>
    <mergeCell ref="AL107:AO107"/>
    <mergeCell ref="B108:I108"/>
    <mergeCell ref="J108:L108"/>
    <mergeCell ref="M108:O108"/>
    <mergeCell ref="P108:R108"/>
    <mergeCell ref="S108:V108"/>
    <mergeCell ref="W108:Z108"/>
    <mergeCell ref="AA108:AD108"/>
    <mergeCell ref="AE108:AG108"/>
    <mergeCell ref="AH108:AK108"/>
    <mergeCell ref="AL108:AO108"/>
    <mergeCell ref="B109:I109"/>
    <mergeCell ref="J109:L109"/>
    <mergeCell ref="M109:O109"/>
    <mergeCell ref="P109:R109"/>
    <mergeCell ref="S109:V109"/>
    <mergeCell ref="W109:Z109"/>
    <mergeCell ref="AA109:AD109"/>
    <mergeCell ref="AE109:AG109"/>
    <mergeCell ref="AH109:AK109"/>
    <mergeCell ref="AL109:AO109"/>
    <mergeCell ref="B110:I110"/>
    <mergeCell ref="J110:L110"/>
    <mergeCell ref="M110:O110"/>
    <mergeCell ref="P110:R110"/>
    <mergeCell ref="S110:V110"/>
    <mergeCell ref="W110:Z110"/>
    <mergeCell ref="AA110:AD110"/>
    <mergeCell ref="AE110:AG110"/>
    <mergeCell ref="AH110:AK110"/>
    <mergeCell ref="AL110:AO110"/>
    <mergeCell ref="B111:I111"/>
    <mergeCell ref="J111:L111"/>
    <mergeCell ref="M111:O111"/>
    <mergeCell ref="P111:R111"/>
    <mergeCell ref="S111:V111"/>
    <mergeCell ref="W111:Z111"/>
    <mergeCell ref="AA111:AD111"/>
    <mergeCell ref="AE111:AG111"/>
    <mergeCell ref="AH111:AK111"/>
    <mergeCell ref="AL111:AO111"/>
    <mergeCell ref="B112:I112"/>
    <mergeCell ref="J112:L112"/>
    <mergeCell ref="M112:O112"/>
    <mergeCell ref="P112:R112"/>
    <mergeCell ref="S112:V112"/>
    <mergeCell ref="W112:Z112"/>
    <mergeCell ref="AA112:AD112"/>
    <mergeCell ref="AE112:AG112"/>
    <mergeCell ref="AH112:AK112"/>
    <mergeCell ref="AL112:AO112"/>
    <mergeCell ref="B113:I113"/>
    <mergeCell ref="J113:L113"/>
    <mergeCell ref="M113:O113"/>
    <mergeCell ref="P113:R113"/>
    <mergeCell ref="S113:V113"/>
    <mergeCell ref="W113:Z113"/>
    <mergeCell ref="AA113:AD113"/>
    <mergeCell ref="AE113:AG113"/>
    <mergeCell ref="AH113:AK113"/>
    <mergeCell ref="AL113:AO113"/>
    <mergeCell ref="A114:V114"/>
    <mergeCell ref="W114:Z114"/>
    <mergeCell ref="AA114:AD114"/>
    <mergeCell ref="AE114:AG114"/>
    <mergeCell ref="AH114:AK114"/>
    <mergeCell ref="AL114:AO114"/>
    <mergeCell ref="A116:AO116"/>
    <mergeCell ref="A117:R117"/>
    <mergeCell ref="S117:T127"/>
    <mergeCell ref="U117:AO117"/>
    <mergeCell ref="A118:I118"/>
    <mergeCell ref="J118:L118"/>
    <mergeCell ref="M118:O118"/>
    <mergeCell ref="P118:R118"/>
    <mergeCell ref="U118:AF118"/>
    <mergeCell ref="AG118:AI118"/>
    <mergeCell ref="AJ118:AL118"/>
    <mergeCell ref="AM118:AO118"/>
    <mergeCell ref="A119:I119"/>
    <mergeCell ref="J119:L119"/>
    <mergeCell ref="M119:O119"/>
    <mergeCell ref="P119:R119"/>
    <mergeCell ref="U119:AF119"/>
    <mergeCell ref="AG119:AI119"/>
    <mergeCell ref="AJ119:AL119"/>
    <mergeCell ref="AM119:AO119"/>
    <mergeCell ref="A120:I120"/>
    <mergeCell ref="J120:L120"/>
    <mergeCell ref="M120:O120"/>
    <mergeCell ref="P120:R120"/>
    <mergeCell ref="U120:AF120"/>
    <mergeCell ref="AG120:AI120"/>
    <mergeCell ref="AJ120:AL120"/>
    <mergeCell ref="AM120:AO120"/>
    <mergeCell ref="A121:I121"/>
    <mergeCell ref="J121:L121"/>
    <mergeCell ref="M121:O121"/>
    <mergeCell ref="P121:R121"/>
    <mergeCell ref="U121:AF121"/>
    <mergeCell ref="AG121:AI121"/>
    <mergeCell ref="AJ121:AL121"/>
    <mergeCell ref="AM121:AO121"/>
    <mergeCell ref="A122:I122"/>
    <mergeCell ref="J122:L122"/>
    <mergeCell ref="M122:O122"/>
    <mergeCell ref="P122:R122"/>
    <mergeCell ref="U122:AF122"/>
    <mergeCell ref="AG122:AI122"/>
    <mergeCell ref="AJ122:AL122"/>
    <mergeCell ref="AM122:AO122"/>
    <mergeCell ref="A123:I123"/>
    <mergeCell ref="J123:L123"/>
    <mergeCell ref="M123:O123"/>
    <mergeCell ref="P123:R123"/>
    <mergeCell ref="U123:AF123"/>
    <mergeCell ref="AG123:AI123"/>
    <mergeCell ref="AJ123:AL123"/>
    <mergeCell ref="AM123:AO123"/>
    <mergeCell ref="A124:I124"/>
    <mergeCell ref="J124:L124"/>
    <mergeCell ref="M124:O124"/>
    <mergeCell ref="P124:R124"/>
    <mergeCell ref="U124:AF124"/>
    <mergeCell ref="AG124:AI124"/>
    <mergeCell ref="AJ124:AL124"/>
    <mergeCell ref="AM124:AO124"/>
    <mergeCell ref="A125:I125"/>
    <mergeCell ref="J125:L125"/>
    <mergeCell ref="M125:O125"/>
    <mergeCell ref="P125:R125"/>
    <mergeCell ref="U125:AF125"/>
    <mergeCell ref="AG125:AI125"/>
    <mergeCell ref="AJ125:AL125"/>
    <mergeCell ref="AM125:AO125"/>
    <mergeCell ref="A126:I126"/>
    <mergeCell ref="J126:L126"/>
    <mergeCell ref="M126:O126"/>
    <mergeCell ref="P126:R126"/>
    <mergeCell ref="U126:AF126"/>
    <mergeCell ref="AG126:AI126"/>
    <mergeCell ref="AJ126:AL126"/>
    <mergeCell ref="AM126:AO126"/>
    <mergeCell ref="A127:N127"/>
    <mergeCell ref="O127:R127"/>
    <mergeCell ref="U127:AJ127"/>
    <mergeCell ref="AK127:AO127"/>
    <mergeCell ref="M129:R129"/>
    <mergeCell ref="S129:V129"/>
    <mergeCell ref="A131:AO131"/>
    <mergeCell ref="A132:D132"/>
    <mergeCell ref="E132:R132"/>
    <mergeCell ref="S132:S146"/>
    <mergeCell ref="T132:W132"/>
    <mergeCell ref="X132:AO132"/>
    <mergeCell ref="A133:I133"/>
    <mergeCell ref="J133:L133"/>
    <mergeCell ref="M133:O133"/>
    <mergeCell ref="P133:R133"/>
    <mergeCell ref="T133:AD133"/>
    <mergeCell ref="AE133:AG133"/>
    <mergeCell ref="AH133:AK133"/>
    <mergeCell ref="AL133:AO133"/>
    <mergeCell ref="A134:I134"/>
    <mergeCell ref="J134:L134"/>
    <mergeCell ref="M134:O134"/>
    <mergeCell ref="P134:R134"/>
    <mergeCell ref="T134:AD134"/>
    <mergeCell ref="AE134:AG134"/>
    <mergeCell ref="AH134:AK134"/>
    <mergeCell ref="AL134:AO134"/>
    <mergeCell ref="A135:I135"/>
    <mergeCell ref="J135:L135"/>
    <mergeCell ref="M135:O135"/>
    <mergeCell ref="P135:R135"/>
    <mergeCell ref="T135:AD135"/>
    <mergeCell ref="AE135:AG135"/>
    <mergeCell ref="AH135:AK135"/>
    <mergeCell ref="AL135:AO135"/>
    <mergeCell ref="A136:I136"/>
    <mergeCell ref="J136:L136"/>
    <mergeCell ref="M136:O136"/>
    <mergeCell ref="P136:R136"/>
    <mergeCell ref="T136:AD136"/>
    <mergeCell ref="AE136:AG136"/>
    <mergeCell ref="AH136:AK136"/>
    <mergeCell ref="AL136:AO136"/>
    <mergeCell ref="A137:I137"/>
    <mergeCell ref="J137:L137"/>
    <mergeCell ref="M137:O137"/>
    <mergeCell ref="P137:R137"/>
    <mergeCell ref="T137:AD137"/>
    <mergeCell ref="AE137:AG137"/>
    <mergeCell ref="AH137:AK137"/>
    <mergeCell ref="AL137:AO137"/>
    <mergeCell ref="A138:I138"/>
    <mergeCell ref="J138:L138"/>
    <mergeCell ref="M138:O138"/>
    <mergeCell ref="P138:R138"/>
    <mergeCell ref="T138:AD138"/>
    <mergeCell ref="AE138:AG138"/>
    <mergeCell ref="AH138:AK138"/>
    <mergeCell ref="AL138:AO138"/>
    <mergeCell ref="A139:I139"/>
    <mergeCell ref="J139:L139"/>
    <mergeCell ref="M139:O139"/>
    <mergeCell ref="P139:R139"/>
    <mergeCell ref="T139:AD139"/>
    <mergeCell ref="AE139:AG139"/>
    <mergeCell ref="AH139:AK139"/>
    <mergeCell ref="AL139:AO139"/>
    <mergeCell ref="A140:I140"/>
    <mergeCell ref="J140:L140"/>
    <mergeCell ref="M140:O140"/>
    <mergeCell ref="P140:R140"/>
    <mergeCell ref="T140:AD140"/>
    <mergeCell ref="AE140:AG140"/>
    <mergeCell ref="AH140:AK140"/>
    <mergeCell ref="AL140:AO140"/>
    <mergeCell ref="A141:I141"/>
    <mergeCell ref="J141:L141"/>
    <mergeCell ref="M141:O141"/>
    <mergeCell ref="P141:R141"/>
    <mergeCell ref="T141:AD141"/>
    <mergeCell ref="AE141:AG141"/>
    <mergeCell ref="AH141:AK141"/>
    <mergeCell ref="AL141:AO141"/>
    <mergeCell ref="A142:O142"/>
    <mergeCell ref="P142:R142"/>
    <mergeCell ref="T142:AK142"/>
    <mergeCell ref="AL142:AO142"/>
    <mergeCell ref="A143:I143"/>
    <mergeCell ref="J143:L143"/>
    <mergeCell ref="M143:O143"/>
    <mergeCell ref="P143:R143"/>
    <mergeCell ref="T143:AD143"/>
    <mergeCell ref="AE143:AG143"/>
    <mergeCell ref="AH143:AK143"/>
    <mergeCell ref="AL143:AO143"/>
    <mergeCell ref="A144:I144"/>
    <mergeCell ref="J144:L144"/>
    <mergeCell ref="M144:O144"/>
    <mergeCell ref="P144:R144"/>
    <mergeCell ref="T144:AD144"/>
    <mergeCell ref="AE144:AG144"/>
    <mergeCell ref="AH144:AK144"/>
    <mergeCell ref="AL144:AO144"/>
    <mergeCell ref="P145:R145"/>
    <mergeCell ref="AL145:AO145"/>
    <mergeCell ref="B146:D146"/>
    <mergeCell ref="E146:G146"/>
    <mergeCell ref="H146:I146"/>
    <mergeCell ref="J146:L146"/>
    <mergeCell ref="M146:O146"/>
    <mergeCell ref="P146:R146"/>
    <mergeCell ref="W146:Y146"/>
    <mergeCell ref="Z146:AB146"/>
    <mergeCell ref="AC146:AD146"/>
    <mergeCell ref="AE146:AG146"/>
    <mergeCell ref="AH146:AK146"/>
    <mergeCell ref="AL146:AO146"/>
    <mergeCell ref="A148:AO148"/>
    <mergeCell ref="A150:B150"/>
    <mergeCell ref="C150:J150"/>
    <mergeCell ref="K150:M150"/>
    <mergeCell ref="N150:O150"/>
    <mergeCell ref="P150:Q150"/>
    <mergeCell ref="R150:T150"/>
    <mergeCell ref="U150:V150"/>
    <mergeCell ref="W150:Z150"/>
    <mergeCell ref="AA150:AB150"/>
    <mergeCell ref="AC150:AD150"/>
    <mergeCell ref="AE150:AJ150"/>
    <mergeCell ref="AK150:AL150"/>
    <mergeCell ref="AM150:AO150"/>
    <mergeCell ref="A152:M152"/>
    <mergeCell ref="N152:R152"/>
    <mergeCell ref="S152:W152"/>
    <mergeCell ref="X152:AB152"/>
    <mergeCell ref="AC152:AG152"/>
    <mergeCell ref="AH152:AO152"/>
    <mergeCell ref="A153:M153"/>
    <mergeCell ref="N153:R153"/>
    <mergeCell ref="S153:W153"/>
    <mergeCell ref="X153:AB153"/>
    <mergeCell ref="AC153:AG153"/>
    <mergeCell ref="AH153:AO153"/>
    <mergeCell ref="A154:M154"/>
    <mergeCell ref="N154:R154"/>
    <mergeCell ref="S154:W154"/>
    <mergeCell ref="X154:AB154"/>
    <mergeCell ref="AC154:AG154"/>
    <mergeCell ref="AH154:AO154"/>
    <mergeCell ref="A155:M155"/>
    <mergeCell ref="N155:R155"/>
    <mergeCell ref="S155:W155"/>
    <mergeCell ref="X155:AB155"/>
    <mergeCell ref="AC155:AG155"/>
    <mergeCell ref="AH155:AO155"/>
    <mergeCell ref="A156:M156"/>
    <mergeCell ref="N156:R156"/>
    <mergeCell ref="S156:W156"/>
    <mergeCell ref="X156:AB156"/>
    <mergeCell ref="AC156:AG156"/>
    <mergeCell ref="AH156:AO156"/>
    <mergeCell ref="A157:M157"/>
    <mergeCell ref="N157:R157"/>
    <mergeCell ref="S157:W157"/>
    <mergeCell ref="X157:AB157"/>
    <mergeCell ref="AC157:AG157"/>
    <mergeCell ref="AH157:AO157"/>
    <mergeCell ref="A158:M158"/>
    <mergeCell ref="N158:R158"/>
    <mergeCell ref="S158:W158"/>
    <mergeCell ref="X158:AB158"/>
    <mergeCell ref="AC158:AG158"/>
    <mergeCell ref="AH158:AO158"/>
    <mergeCell ref="A160:F160"/>
    <mergeCell ref="G160:J160"/>
    <mergeCell ref="K160:N160"/>
    <mergeCell ref="O160:R160"/>
    <mergeCell ref="S160:V160"/>
    <mergeCell ref="W160:Z160"/>
    <mergeCell ref="AA160:AD160"/>
    <mergeCell ref="AE160:AH160"/>
    <mergeCell ref="AI160:AO160"/>
    <mergeCell ref="A161:F161"/>
    <mergeCell ref="G161:J161"/>
    <mergeCell ref="K161:N161"/>
    <mergeCell ref="O161:R161"/>
    <mergeCell ref="S161:V161"/>
    <mergeCell ref="W161:Z161"/>
    <mergeCell ref="AA161:AD161"/>
    <mergeCell ref="AE161:AH161"/>
    <mergeCell ref="AI161:AO161"/>
    <mergeCell ref="A162:F162"/>
    <mergeCell ref="G162:J162"/>
    <mergeCell ref="K162:N162"/>
    <mergeCell ref="O162:R162"/>
    <mergeCell ref="S162:V162"/>
    <mergeCell ref="W162:Z162"/>
    <mergeCell ref="AA162:AD162"/>
    <mergeCell ref="AE162:AH162"/>
    <mergeCell ref="AI162:AO162"/>
    <mergeCell ref="A163:F163"/>
    <mergeCell ref="G163:J163"/>
    <mergeCell ref="K163:N163"/>
    <mergeCell ref="O163:R163"/>
    <mergeCell ref="S163:V163"/>
    <mergeCell ref="W163:Z163"/>
    <mergeCell ref="AA163:AD163"/>
    <mergeCell ref="AE163:AH163"/>
    <mergeCell ref="AI163:AO163"/>
    <mergeCell ref="A164:F164"/>
    <mergeCell ref="G164:J164"/>
    <mergeCell ref="K164:N164"/>
    <mergeCell ref="O164:R164"/>
    <mergeCell ref="S164:V164"/>
    <mergeCell ref="W164:Z164"/>
    <mergeCell ref="AA164:AD164"/>
    <mergeCell ref="AE164:AH164"/>
    <mergeCell ref="AI164:AO164"/>
    <mergeCell ref="A165:F165"/>
    <mergeCell ref="G165:J165"/>
    <mergeCell ref="K165:N165"/>
    <mergeCell ref="O165:R165"/>
    <mergeCell ref="S165:V165"/>
    <mergeCell ref="W165:Z165"/>
    <mergeCell ref="AA165:AD165"/>
    <mergeCell ref="AE165:AH165"/>
    <mergeCell ref="AI165:AO165"/>
    <mergeCell ref="A166:F166"/>
    <mergeCell ref="G166:J166"/>
    <mergeCell ref="K166:N166"/>
    <mergeCell ref="O166:R166"/>
    <mergeCell ref="S166:V166"/>
    <mergeCell ref="W166:Z166"/>
    <mergeCell ref="AA166:AD166"/>
    <mergeCell ref="AE166:AH166"/>
    <mergeCell ref="AI166:AO166"/>
    <mergeCell ref="A168:E168"/>
    <mergeCell ref="F168:J168"/>
    <mergeCell ref="K168:O168"/>
    <mergeCell ref="P168:S168"/>
    <mergeCell ref="T168:X168"/>
    <mergeCell ref="Y168:AI168"/>
    <mergeCell ref="AJ168:AO168"/>
    <mergeCell ref="A169:AO169"/>
    <mergeCell ref="A170:AO170"/>
    <mergeCell ref="A171:AO171"/>
    <mergeCell ref="A172:E172"/>
    <mergeCell ref="F172:O172"/>
    <mergeCell ref="P172:Y172"/>
    <mergeCell ref="Z172:AC172"/>
    <mergeCell ref="AD172:AF172"/>
    <mergeCell ref="AG172:AO172"/>
    <mergeCell ref="A173:E173"/>
    <mergeCell ref="F173:O173"/>
    <mergeCell ref="P173:Y173"/>
    <mergeCell ref="Z173:AC173"/>
    <mergeCell ref="AD173:AF173"/>
    <mergeCell ref="AG173:AO173"/>
    <mergeCell ref="A174:E174"/>
    <mergeCell ref="F174:O174"/>
    <mergeCell ref="P174:Y174"/>
    <mergeCell ref="Z174:AC174"/>
    <mergeCell ref="AD174:AF174"/>
    <mergeCell ref="AG174:AO174"/>
    <mergeCell ref="A175:E175"/>
    <mergeCell ref="F175:O175"/>
    <mergeCell ref="P175:Y175"/>
    <mergeCell ref="Z175:AC175"/>
    <mergeCell ref="AD175:AF175"/>
    <mergeCell ref="AG175:AO175"/>
    <mergeCell ref="A176:E176"/>
    <mergeCell ref="F176:O176"/>
    <mergeCell ref="P176:Y176"/>
    <mergeCell ref="Z176:AC176"/>
    <mergeCell ref="AD176:AF176"/>
    <mergeCell ref="AG176:AO176"/>
    <mergeCell ref="A177:E177"/>
    <mergeCell ref="F177:O177"/>
    <mergeCell ref="P177:Y177"/>
    <mergeCell ref="Z177:AC177"/>
    <mergeCell ref="AD177:AF177"/>
    <mergeCell ref="AG177:AO177"/>
    <mergeCell ref="A178:E178"/>
    <mergeCell ref="F178:O178"/>
    <mergeCell ref="P178:Y178"/>
    <mergeCell ref="Z178:AC178"/>
    <mergeCell ref="AD178:AF178"/>
    <mergeCell ref="AG178:AO178"/>
    <mergeCell ref="A179:E179"/>
    <mergeCell ref="F179:O179"/>
    <mergeCell ref="P179:Y179"/>
    <mergeCell ref="Z179:AC179"/>
    <mergeCell ref="AD179:AF179"/>
    <mergeCell ref="AG179:AO179"/>
    <mergeCell ref="A180:E180"/>
    <mergeCell ref="F180:O180"/>
    <mergeCell ref="P180:Y180"/>
    <mergeCell ref="Z180:AC180"/>
    <mergeCell ref="AD180:AF180"/>
    <mergeCell ref="AG180:AO180"/>
    <mergeCell ref="A184:AO184"/>
    <mergeCell ref="A185:J185"/>
    <mergeCell ref="K185:N185"/>
    <mergeCell ref="O185:Q185"/>
    <mergeCell ref="R185:T185"/>
    <mergeCell ref="U185:X185"/>
    <mergeCell ref="Y185:AI185"/>
    <mergeCell ref="AJ185:AO185"/>
    <mergeCell ref="A186:J186"/>
    <mergeCell ref="K186:N186"/>
    <mergeCell ref="O186:Q186"/>
    <mergeCell ref="R186:T186"/>
    <mergeCell ref="U186:X186"/>
    <mergeCell ref="Y186:AI186"/>
    <mergeCell ref="AJ186:AO186"/>
    <mergeCell ref="A187:J187"/>
    <mergeCell ref="K187:N187"/>
    <mergeCell ref="O187:Q187"/>
    <mergeCell ref="R187:T187"/>
    <mergeCell ref="U187:X187"/>
    <mergeCell ref="Y187:AI187"/>
    <mergeCell ref="AJ187:AO187"/>
    <mergeCell ref="A188:J188"/>
    <mergeCell ref="K188:N188"/>
    <mergeCell ref="O188:Q188"/>
    <mergeCell ref="R188:T188"/>
    <mergeCell ref="U188:X188"/>
    <mergeCell ref="Y188:AI188"/>
    <mergeCell ref="AJ188:AO188"/>
    <mergeCell ref="A189:J189"/>
    <mergeCell ref="K189:N189"/>
    <mergeCell ref="O189:Q189"/>
    <mergeCell ref="R189:T189"/>
    <mergeCell ref="U189:X189"/>
    <mergeCell ref="Y189:AI189"/>
    <mergeCell ref="AJ189:AO189"/>
    <mergeCell ref="A190:J190"/>
    <mergeCell ref="K190:N190"/>
    <mergeCell ref="O190:Q190"/>
    <mergeCell ref="R190:T190"/>
    <mergeCell ref="U190:X190"/>
    <mergeCell ref="Y190:AI190"/>
    <mergeCell ref="AJ190:AO190"/>
    <mergeCell ref="A191:J191"/>
    <mergeCell ref="K191:N191"/>
    <mergeCell ref="O191:Q191"/>
    <mergeCell ref="R191:T191"/>
    <mergeCell ref="U191:X191"/>
    <mergeCell ref="Y191:AI191"/>
    <mergeCell ref="AJ191:AO191"/>
    <mergeCell ref="A192:J192"/>
    <mergeCell ref="K192:N192"/>
    <mergeCell ref="O192:Q192"/>
    <mergeCell ref="R192:T192"/>
    <mergeCell ref="U192:X192"/>
    <mergeCell ref="Y192:AI192"/>
    <mergeCell ref="AJ192:AO192"/>
    <mergeCell ref="A194:AO194"/>
    <mergeCell ref="A195:AO195"/>
    <mergeCell ref="A196:M196"/>
    <mergeCell ref="N196:R196"/>
    <mergeCell ref="S196:T214"/>
    <mergeCell ref="U196:AG196"/>
    <mergeCell ref="AH196:AL196"/>
    <mergeCell ref="AM196:AO205"/>
    <mergeCell ref="A197:M197"/>
    <mergeCell ref="N197:R197"/>
    <mergeCell ref="U197:AG197"/>
    <mergeCell ref="AH197:AL197"/>
    <mergeCell ref="A198:M198"/>
    <mergeCell ref="N198:R198"/>
    <mergeCell ref="U198:AG198"/>
    <mergeCell ref="AH198:AL198"/>
    <mergeCell ref="A199:M199"/>
    <mergeCell ref="N199:R199"/>
    <mergeCell ref="U199:AG199"/>
    <mergeCell ref="AH199:AL199"/>
    <mergeCell ref="A200:M200"/>
    <mergeCell ref="N200:R200"/>
    <mergeCell ref="U200:AG200"/>
    <mergeCell ref="AH200:AL200"/>
    <mergeCell ref="A201:M201"/>
    <mergeCell ref="N201:R201"/>
    <mergeCell ref="U201:AG201"/>
    <mergeCell ref="AH201:AL201"/>
    <mergeCell ref="A202:M202"/>
    <mergeCell ref="N202:R202"/>
    <mergeCell ref="U202:AG202"/>
    <mergeCell ref="AH202:AL202"/>
    <mergeCell ref="A203:M203"/>
    <mergeCell ref="N203:R203"/>
    <mergeCell ref="U203:AG203"/>
    <mergeCell ref="AH203:AL203"/>
    <mergeCell ref="A204:M204"/>
    <mergeCell ref="N204:R204"/>
    <mergeCell ref="U204:AG204"/>
    <mergeCell ref="AH204:AL204"/>
    <mergeCell ref="A205:M205"/>
    <mergeCell ref="N205:R205"/>
    <mergeCell ref="U205:AG205"/>
    <mergeCell ref="AH205:AL205"/>
    <mergeCell ref="A206:M206"/>
    <mergeCell ref="N206:R206"/>
    <mergeCell ref="U206:AO206"/>
    <mergeCell ref="A207:M207"/>
    <mergeCell ref="N207:R207"/>
    <mergeCell ref="U207:AG207"/>
    <mergeCell ref="AH207:AL207"/>
    <mergeCell ref="AM207:AO207"/>
    <mergeCell ref="A208:M208"/>
    <mergeCell ref="N208:R208"/>
    <mergeCell ref="A209:M209"/>
    <mergeCell ref="N209:R209"/>
    <mergeCell ref="A210:M210"/>
    <mergeCell ref="N210:R210"/>
    <mergeCell ref="U210:AG210"/>
    <mergeCell ref="AH210:AL210"/>
    <mergeCell ref="AM210:AO210"/>
    <mergeCell ref="A211:M211"/>
    <mergeCell ref="N211:R211"/>
    <mergeCell ref="A212:M212"/>
    <mergeCell ref="N212:R212"/>
    <mergeCell ref="A213:R213"/>
    <mergeCell ref="A214:M214"/>
    <mergeCell ref="N214:R214"/>
    <mergeCell ref="U214:AG214"/>
    <mergeCell ref="AH214:AL214"/>
    <mergeCell ref="A215:AO216"/>
    <mergeCell ref="A217:I217"/>
    <mergeCell ref="J217:M217"/>
    <mergeCell ref="N217:X217"/>
    <mergeCell ref="Y217:AB217"/>
    <mergeCell ref="AC217:AO217"/>
    <mergeCell ref="A218:I218"/>
    <mergeCell ref="J218:M218"/>
    <mergeCell ref="N218:X218"/>
    <mergeCell ref="Y218:AB218"/>
    <mergeCell ref="AC218:AI218"/>
    <mergeCell ref="AJ218:AO218"/>
    <mergeCell ref="A219:I219"/>
    <mergeCell ref="J219:M219"/>
    <mergeCell ref="N219:X219"/>
    <mergeCell ref="Y219:AB219"/>
    <mergeCell ref="AC219:AI219"/>
    <mergeCell ref="AJ219:AO219"/>
    <mergeCell ref="A220:I220"/>
    <mergeCell ref="J220:M220"/>
    <mergeCell ref="N220:X220"/>
    <mergeCell ref="Y220:AB220"/>
    <mergeCell ref="AC220:AI220"/>
    <mergeCell ref="AJ220:AO220"/>
    <mergeCell ref="A221:I221"/>
    <mergeCell ref="J221:M221"/>
    <mergeCell ref="N221:X221"/>
    <mergeCell ref="Y221:AB221"/>
    <mergeCell ref="AC221:AI221"/>
    <mergeCell ref="AJ221:AO221"/>
    <mergeCell ref="A222:I222"/>
    <mergeCell ref="J222:M222"/>
    <mergeCell ref="N222:X222"/>
    <mergeCell ref="Y222:AB222"/>
    <mergeCell ref="AC222:AI222"/>
    <mergeCell ref="AJ222:AO222"/>
    <mergeCell ref="A223:I223"/>
    <mergeCell ref="J223:M223"/>
    <mergeCell ref="N223:Q223"/>
    <mergeCell ref="R223:T223"/>
    <mergeCell ref="U223:X223"/>
    <mergeCell ref="Y223:AB223"/>
    <mergeCell ref="AC223:AI223"/>
    <mergeCell ref="AJ223:AO223"/>
    <mergeCell ref="A224:I224"/>
    <mergeCell ref="J224:M224"/>
    <mergeCell ref="N224:X224"/>
    <mergeCell ref="Y224:AB224"/>
    <mergeCell ref="AC224:AI224"/>
    <mergeCell ref="AJ224:AO224"/>
    <mergeCell ref="A225:I225"/>
    <mergeCell ref="J225:M225"/>
    <mergeCell ref="N225:X225"/>
    <mergeCell ref="Y225:AB225"/>
    <mergeCell ref="AC225:AI225"/>
    <mergeCell ref="AJ225:AO225"/>
    <mergeCell ref="A226:I226"/>
    <mergeCell ref="J226:M226"/>
    <mergeCell ref="N226:X226"/>
    <mergeCell ref="Y226:AB226"/>
    <mergeCell ref="AC226:AO226"/>
    <mergeCell ref="A227:I227"/>
    <mergeCell ref="J227:M227"/>
    <mergeCell ref="N227:X227"/>
    <mergeCell ref="Y227:AB227"/>
    <mergeCell ref="AC227:AI227"/>
    <mergeCell ref="AJ227:AO227"/>
    <mergeCell ref="A228:I228"/>
    <mergeCell ref="J228:M228"/>
    <mergeCell ref="N228:X228"/>
    <mergeCell ref="Y228:AB228"/>
    <mergeCell ref="AC228:AI228"/>
    <mergeCell ref="AJ228:AO228"/>
    <mergeCell ref="A229:AO230"/>
    <mergeCell ref="A231:AO231"/>
    <mergeCell ref="A232:AO232"/>
    <mergeCell ref="A233:K233"/>
    <mergeCell ref="U233:AF233"/>
    <mergeCell ref="A235:G235"/>
    <mergeCell ref="H235:K235"/>
    <mergeCell ref="U235:AB235"/>
    <mergeCell ref="AC235:AF235"/>
    <mergeCell ref="A237:G237"/>
    <mergeCell ref="H237:K237"/>
    <mergeCell ref="U237:AB237"/>
    <mergeCell ref="AC237:AF237"/>
    <mergeCell ref="A239:G239"/>
    <mergeCell ref="H239:K239"/>
    <mergeCell ref="U239:AB239"/>
    <mergeCell ref="AC239:AF239"/>
    <mergeCell ref="A241:G241"/>
    <mergeCell ref="H241:K241"/>
    <mergeCell ref="U241:AB241"/>
    <mergeCell ref="AC241:AF241"/>
    <mergeCell ref="A243:L243"/>
    <mergeCell ref="U243:AF243"/>
    <mergeCell ref="A245:H245"/>
    <mergeCell ref="I245:L245"/>
    <mergeCell ref="U245:AB245"/>
    <mergeCell ref="AC245:AF245"/>
    <mergeCell ref="A247:H247"/>
    <mergeCell ref="I247:L247"/>
    <mergeCell ref="U247:AB247"/>
    <mergeCell ref="AC247:AF247"/>
    <mergeCell ref="A249:H249"/>
    <mergeCell ref="I249:L249"/>
    <mergeCell ref="U249:AB249"/>
    <mergeCell ref="AC249:AF249"/>
    <mergeCell ref="A252:J252"/>
    <mergeCell ref="AA268:AM268"/>
    <mergeCell ref="E269:N269"/>
    <mergeCell ref="AA269:AM269"/>
    <mergeCell ref="D270:O270"/>
  </mergeCells>
  <dataValidations count="17">
    <dataValidation allowBlank="true" errorStyle="stop" operator="between" showDropDown="false" showErrorMessage="true" showInputMessage="true" sqref="A173:A180" type="list">
      <formula1>"Casa,Terreno,Vehículo,Otro"</formula1>
      <formula2>0</formula2>
    </dataValidation>
    <dataValidation allowBlank="true" errorStyle="stop" operator="between" showDropDown="false" showErrorMessage="true" showInputMessage="true" sqref="D22 D40" type="list">
      <formula1>"M,F"</formula1>
      <formula2>0</formula2>
    </dataValidation>
    <dataValidation allowBlank="true" errorStyle="warning" operator="between" showDropDown="false" showErrorMessage="true" showInputMessage="true" sqref="B101:B113" type="textLength">
      <formula1>1</formula1>
      <formula2>20</formula2>
    </dataValidation>
    <dataValidation allowBlank="true" errorStyle="stop" operator="between" showDropDown="false" showErrorMessage="true" showInputMessage="true" sqref="J101:J103 J107" type="whole">
      <formula1>1</formula1>
      <formula2>1000000</formula2>
    </dataValidation>
    <dataValidation allowBlank="true" errorStyle="stop" operator="between" showDropDown="false" showErrorMessage="true" showInputMessage="true" sqref="W10" type="list">
      <formula1>BASE_DE_DATOS!$B$30:$B$44</formula1>
      <formula2>0</formula2>
    </dataValidation>
    <dataValidation allowBlank="true" errorStyle="stop" operator="between" showDropDown="false" showErrorMessage="true" showInputMessage="true" sqref="X12" type="list">
      <formula1>BASE_DE_DATOS!$C$12:$C$17</formula1>
      <formula2>0</formula2>
    </dataValidation>
    <dataValidation allowBlank="true" errorStyle="stop" operator="between" showDropDown="false" showErrorMessage="true" showInputMessage="true" sqref="Y64" type="list">
      <formula1>BASE_DE_DATOS!$F$2:$F$6</formula1>
      <formula2>0</formula2>
    </dataValidation>
    <dataValidation allowBlank="true" errorStyle="stop" operator="between" showDropDown="false" showErrorMessage="true" showInputMessage="true" sqref="AD173:AD180" type="list">
      <formula1>BASE_DE_DATOS!$C$19:$C$20</formula1>
      <formula2>0</formula2>
    </dataValidation>
    <dataValidation allowBlank="true" errorStyle="stop" operator="between" showDropDown="false" showErrorMessage="true" showInputMessage="true" sqref="AG12" type="list">
      <formula1>BASE_DE_DATOS!$E$13:$E$17</formula1>
      <formula2>0</formula2>
    </dataValidation>
    <dataValidation allowBlank="true" errorStyle="stop" operator="between" showDropDown="false" showErrorMessage="true" showInputMessage="true" sqref="AG20" type="list">
      <formula1>BASE_DE_DATOS!$C$2:$C$7</formula1>
      <formula2>0</formula2>
    </dataValidation>
    <dataValidation allowBlank="true" errorStyle="stop" operator="between" showDropDown="false" showErrorMessage="true" showInputMessage="true" sqref="AH64" type="list">
      <formula1>BASE_DE_DATOS!$G$12:$G$14</formula1>
      <formula2>0</formula2>
    </dataValidation>
    <dataValidation allowBlank="true" errorStyle="stop" operator="between" showDropDown="false" showErrorMessage="true" showInputMessage="true" sqref="AJ186:AJ192" type="list">
      <formula1>BASE_DE_DATOS!$E$12:$E$17</formula1>
      <formula2>0</formula2>
    </dataValidation>
    <dataValidation allowBlank="true" errorStyle="stop" operator="between" showDropDown="false" showErrorMessage="true" showInputMessage="true" sqref="E30" type="list">
      <formula1>BASE_DE_DATOS!$E$2:$E$7</formula1>
      <formula2>0</formula2>
    </dataValidation>
    <dataValidation allowBlank="true" errorStyle="stop" operator="between" showDropDown="false" showErrorMessage="true" showInputMessage="true" sqref="G22 AF38" type="list">
      <formula1>BASE_DE_DATOS!$B$2:$B$9</formula1>
      <formula2>0</formula2>
    </dataValidation>
    <dataValidation allowBlank="true" errorStyle="stop" operator="between" showDropDown="false" showErrorMessage="true" showInputMessage="true" sqref="K44 Y44" type="list">
      <formula1>BASE_DE_DATOS!$F$12:$F$14</formula1>
      <formula2>0</formula2>
    </dataValidation>
    <dataValidation allowBlank="true" errorStyle="stop" operator="between" showDropDown="false" showErrorMessage="true" showInputMessage="true" sqref="Q22" type="list">
      <formula1>BASE_DE_DATOS!$D$2:$D$8</formula1>
      <formula2>0</formula2>
    </dataValidation>
    <dataValidation allowBlank="true" errorStyle="stop" operator="between" showDropDown="false" showErrorMessage="true" showInputMessage="true" sqref="T6:Z6" type="list">
      <formula1>BASE_DE_DATOS!$B$12:$B$27</formula1>
      <formula2>0</formula2>
    </dataValidation>
  </dataValidations>
  <hyperlinks>
    <hyperlink ref="X32" r:id="rId2" display="villaprado28@gmail.com"/>
  </hyperlinks>
  <printOptions headings="false" gridLines="false" gridLinesSet="true" horizontalCentered="true" verticalCentered="true"/>
  <pageMargins left="0.590277777777778" right="0.544444444444445" top="0.196527777777778" bottom="0.00833333333333333" header="0.511811023622047" footer="0.511811023622047"/>
  <pageSetup paperSize="9" scale="82"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181" man="true" max="16383" min="0"/>
  </rowBreaks>
  <drawing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pageBreakPreview" topLeftCell="A7" colorId="64" zoomScale="161" zoomScaleNormal="100" zoomScalePageLayoutView="161" workbookViewId="0">
      <selection pane="topLeft" activeCell="E27" activeCellId="0" sqref="E27"/>
    </sheetView>
  </sheetViews>
  <sheetFormatPr defaultColWidth="10.6796875" defaultRowHeight="14.2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3:L106"/>
  <sheetViews>
    <sheetView showFormulas="false" showGridLines="true" showRowColHeaders="true" showZeros="true" rightToLeft="false" tabSelected="false" showOutlineSymbols="true" defaultGridColor="true" view="pageBreakPreview" topLeftCell="A1" colorId="64" zoomScale="161" zoomScaleNormal="100" zoomScalePageLayoutView="161" workbookViewId="0">
      <selection pane="topLeft" activeCell="E51" activeCellId="0" sqref="E51"/>
    </sheetView>
  </sheetViews>
  <sheetFormatPr defaultColWidth="10.6796875" defaultRowHeight="14.25" zeroHeight="false" outlineLevelRow="0" outlineLevelCol="0"/>
  <cols>
    <col collapsed="false" customWidth="true" hidden="false" outlineLevel="0" max="1" min="1" style="276" width="4.56"/>
    <col collapsed="false" customWidth="true" hidden="false" outlineLevel="0" max="2" min="2" style="276" width="20.66"/>
    <col collapsed="false" customWidth="true" hidden="false" outlineLevel="0" max="3" min="3" style="276" width="9.88"/>
    <col collapsed="false" customWidth="true" hidden="false" outlineLevel="0" max="4" min="4" style="276" width="8.76"/>
    <col collapsed="false" customWidth="true" hidden="false" outlineLevel="0" max="5" min="5" style="276" width="59.56"/>
    <col collapsed="false" customWidth="true" hidden="false" outlineLevel="0" max="1024" min="6" style="277" width="10.78"/>
    <col collapsed="false" customWidth="true" hidden="false" outlineLevel="0" max="1025" min="1025" style="1" width="11.56"/>
  </cols>
  <sheetData>
    <row r="3" customFormat="false" ht="14.25" hidden="false" customHeight="false" outlineLevel="0" collapsed="false">
      <c r="A3" s="278" t="s">
        <v>416</v>
      </c>
      <c r="B3" s="279" t="s">
        <v>417</v>
      </c>
      <c r="C3" s="279" t="s">
        <v>418</v>
      </c>
      <c r="D3" s="280" t="s">
        <v>419</v>
      </c>
      <c r="E3" s="279" t="s">
        <v>420</v>
      </c>
    </row>
    <row r="4" customFormat="false" ht="14.25" hidden="false" customHeight="false" outlineLevel="0" collapsed="false">
      <c r="A4" s="281" t="n">
        <v>1</v>
      </c>
      <c r="B4" s="282" t="s">
        <v>41</v>
      </c>
      <c r="C4" s="283" t="n">
        <v>1</v>
      </c>
      <c r="D4" s="284" t="s">
        <v>421</v>
      </c>
      <c r="E4" s="283" t="s">
        <v>422</v>
      </c>
    </row>
    <row r="5" customFormat="false" ht="14.25" hidden="false" customHeight="false" outlineLevel="0" collapsed="false">
      <c r="A5" s="281" t="n">
        <v>2</v>
      </c>
      <c r="B5" s="282" t="s">
        <v>41</v>
      </c>
      <c r="C5" s="285" t="n">
        <v>1</v>
      </c>
      <c r="D5" s="286" t="s">
        <v>423</v>
      </c>
      <c r="E5" s="285" t="s">
        <v>424</v>
      </c>
    </row>
    <row r="6" customFormat="false" ht="14.25" hidden="false" customHeight="false" outlineLevel="0" collapsed="false">
      <c r="A6" s="281" t="n">
        <v>3</v>
      </c>
      <c r="B6" s="282" t="s">
        <v>41</v>
      </c>
      <c r="C6" s="283" t="n">
        <v>1</v>
      </c>
      <c r="D6" s="284" t="s">
        <v>425</v>
      </c>
      <c r="E6" s="283" t="s">
        <v>426</v>
      </c>
    </row>
    <row r="7" customFormat="false" ht="14.25" hidden="false" customHeight="false" outlineLevel="0" collapsed="false">
      <c r="A7" s="281" t="n">
        <v>4</v>
      </c>
      <c r="B7" s="282" t="s">
        <v>41</v>
      </c>
      <c r="C7" s="283" t="n">
        <v>1</v>
      </c>
      <c r="D7" s="284" t="s">
        <v>427</v>
      </c>
      <c r="E7" s="283" t="s">
        <v>428</v>
      </c>
    </row>
    <row r="8" customFormat="false" ht="14.25" hidden="false" customHeight="false" outlineLevel="0" collapsed="false">
      <c r="A8" s="281" t="n">
        <v>5</v>
      </c>
      <c r="B8" s="282" t="s">
        <v>41</v>
      </c>
      <c r="C8" s="283" t="n">
        <v>1</v>
      </c>
      <c r="D8" s="284" t="s">
        <v>429</v>
      </c>
      <c r="E8" s="283" t="s">
        <v>430</v>
      </c>
    </row>
    <row r="9" customFormat="false" ht="14.25" hidden="false" customHeight="false" outlineLevel="0" collapsed="false">
      <c r="A9" s="281" t="n">
        <v>6</v>
      </c>
      <c r="B9" s="282" t="s">
        <v>41</v>
      </c>
      <c r="C9" s="283" t="n">
        <v>1</v>
      </c>
      <c r="D9" s="284" t="s">
        <v>431</v>
      </c>
      <c r="E9" s="283" t="s">
        <v>432</v>
      </c>
    </row>
    <row r="10" customFormat="false" ht="14.25" hidden="false" customHeight="false" outlineLevel="0" collapsed="false">
      <c r="A10" s="281" t="n">
        <v>7</v>
      </c>
      <c r="B10" s="282" t="s">
        <v>41</v>
      </c>
      <c r="C10" s="283" t="n">
        <v>1</v>
      </c>
      <c r="D10" s="284" t="s">
        <v>433</v>
      </c>
      <c r="E10" s="287" t="s">
        <v>434</v>
      </c>
    </row>
    <row r="11" customFormat="false" ht="14.25" hidden="false" customHeight="false" outlineLevel="0" collapsed="false">
      <c r="A11" s="281" t="n">
        <v>8</v>
      </c>
      <c r="B11" s="282" t="s">
        <v>41</v>
      </c>
      <c r="C11" s="283" t="n">
        <v>1</v>
      </c>
      <c r="D11" s="284" t="s">
        <v>435</v>
      </c>
      <c r="E11" s="287" t="s">
        <v>436</v>
      </c>
    </row>
    <row r="12" customFormat="false" ht="14.25" hidden="false" customHeight="false" outlineLevel="0" collapsed="false">
      <c r="A12" s="281" t="n">
        <v>9</v>
      </c>
      <c r="B12" s="282" t="s">
        <v>41</v>
      </c>
      <c r="C12" s="283" t="n">
        <v>1</v>
      </c>
      <c r="D12" s="284" t="s">
        <v>437</v>
      </c>
      <c r="E12" s="283" t="s">
        <v>438</v>
      </c>
    </row>
    <row r="13" customFormat="false" ht="14.25" hidden="false" customHeight="false" outlineLevel="0" collapsed="false">
      <c r="A13" s="281" t="n">
        <v>10</v>
      </c>
      <c r="B13" s="282" t="s">
        <v>41</v>
      </c>
      <c r="C13" s="283" t="n">
        <v>1</v>
      </c>
      <c r="D13" s="284" t="s">
        <v>439</v>
      </c>
      <c r="E13" s="283" t="s">
        <v>440</v>
      </c>
    </row>
    <row r="14" customFormat="false" ht="14.25" hidden="false" customHeight="false" outlineLevel="0" collapsed="false">
      <c r="A14" s="281" t="n">
        <v>11</v>
      </c>
      <c r="B14" s="282" t="s">
        <v>41</v>
      </c>
      <c r="C14" s="283" t="n">
        <v>1</v>
      </c>
      <c r="D14" s="284" t="s">
        <v>441</v>
      </c>
      <c r="E14" s="288" t="s">
        <v>440</v>
      </c>
    </row>
    <row r="15" customFormat="false" ht="14.25" hidden="false" customHeight="false" outlineLevel="0" collapsed="false">
      <c r="A15" s="281" t="n">
        <v>12</v>
      </c>
      <c r="B15" s="282" t="s">
        <v>41</v>
      </c>
      <c r="C15" s="283" t="n">
        <v>1</v>
      </c>
      <c r="D15" s="284" t="s">
        <v>442</v>
      </c>
      <c r="E15" s="288" t="s">
        <v>440</v>
      </c>
    </row>
    <row r="16" customFormat="false" ht="14.25" hidden="false" customHeight="false" outlineLevel="0" collapsed="false">
      <c r="A16" s="281" t="n">
        <v>13</v>
      </c>
      <c r="B16" s="282" t="s">
        <v>41</v>
      </c>
      <c r="C16" s="283" t="n">
        <v>1</v>
      </c>
      <c r="D16" s="284" t="s">
        <v>443</v>
      </c>
      <c r="E16" s="288" t="s">
        <v>440</v>
      </c>
    </row>
    <row r="17" customFormat="false" ht="14.25" hidden="false" customHeight="false" outlineLevel="0" collapsed="false">
      <c r="A17" s="281" t="n">
        <v>14</v>
      </c>
      <c r="B17" s="282" t="s">
        <v>41</v>
      </c>
      <c r="C17" s="283" t="n">
        <v>1</v>
      </c>
      <c r="D17" s="284" t="s">
        <v>444</v>
      </c>
      <c r="E17" s="289" t="s">
        <v>445</v>
      </c>
    </row>
    <row r="18" customFormat="false" ht="14.25" hidden="false" customHeight="false" outlineLevel="0" collapsed="false">
      <c r="A18" s="281" t="n">
        <v>15</v>
      </c>
      <c r="B18" s="282" t="s">
        <v>41</v>
      </c>
      <c r="C18" s="283" t="n">
        <v>1</v>
      </c>
      <c r="D18" s="284" t="s">
        <v>446</v>
      </c>
      <c r="E18" s="288" t="s">
        <v>440</v>
      </c>
    </row>
    <row r="19" customFormat="false" ht="14.25" hidden="false" customHeight="false" outlineLevel="0" collapsed="false">
      <c r="A19" s="281" t="n">
        <v>16</v>
      </c>
      <c r="B19" s="282" t="s">
        <v>41</v>
      </c>
      <c r="C19" s="283" t="n">
        <v>1</v>
      </c>
      <c r="D19" s="284" t="s">
        <v>447</v>
      </c>
      <c r="E19" s="288" t="s">
        <v>440</v>
      </c>
    </row>
    <row r="20" customFormat="false" ht="14.25" hidden="false" customHeight="false" outlineLevel="0" collapsed="false">
      <c r="A20" s="281" t="n">
        <v>17</v>
      </c>
      <c r="B20" s="282" t="s">
        <v>46</v>
      </c>
      <c r="C20" s="283" t="n">
        <v>2</v>
      </c>
      <c r="D20" s="284" t="s">
        <v>448</v>
      </c>
      <c r="E20" s="283" t="s">
        <v>449</v>
      </c>
    </row>
    <row r="21" customFormat="false" ht="14.25" hidden="false" customHeight="false" outlineLevel="0" collapsed="false">
      <c r="A21" s="281" t="n">
        <v>18</v>
      </c>
      <c r="B21" s="282" t="s">
        <v>46</v>
      </c>
      <c r="C21" s="283" t="n">
        <v>2</v>
      </c>
      <c r="D21" s="284" t="s">
        <v>450</v>
      </c>
      <c r="E21" s="283" t="s">
        <v>451</v>
      </c>
    </row>
    <row r="22" customFormat="false" ht="14.25" hidden="false" customHeight="false" outlineLevel="0" collapsed="false">
      <c r="A22" s="281" t="n">
        <v>19</v>
      </c>
      <c r="B22" s="282" t="s">
        <v>46</v>
      </c>
      <c r="C22" s="283" t="n">
        <v>2</v>
      </c>
      <c r="D22" s="284" t="s">
        <v>452</v>
      </c>
      <c r="E22" s="283" t="s">
        <v>453</v>
      </c>
    </row>
    <row r="23" customFormat="false" ht="14.25" hidden="false" customHeight="false" outlineLevel="0" collapsed="false">
      <c r="A23" s="281" t="n">
        <v>20</v>
      </c>
      <c r="B23" s="282" t="s">
        <v>46</v>
      </c>
      <c r="C23" s="283" t="n">
        <v>2</v>
      </c>
      <c r="D23" s="284" t="s">
        <v>454</v>
      </c>
      <c r="E23" s="290" t="s">
        <v>455</v>
      </c>
    </row>
    <row r="24" customFormat="false" ht="14.25" hidden="false" customHeight="false" outlineLevel="0" collapsed="false">
      <c r="A24" s="281" t="n">
        <v>21</v>
      </c>
      <c r="B24" s="282" t="s">
        <v>46</v>
      </c>
      <c r="C24" s="283" t="n">
        <v>2</v>
      </c>
      <c r="D24" s="284" t="s">
        <v>456</v>
      </c>
      <c r="E24" s="283" t="s">
        <v>457</v>
      </c>
    </row>
    <row r="25" customFormat="false" ht="14.25" hidden="false" customHeight="false" outlineLevel="0" collapsed="false">
      <c r="A25" s="281" t="n">
        <v>22</v>
      </c>
      <c r="B25" s="282" t="s">
        <v>46</v>
      </c>
      <c r="C25" s="283" t="n">
        <v>2</v>
      </c>
      <c r="D25" s="284" t="s">
        <v>458</v>
      </c>
      <c r="E25" s="287" t="s">
        <v>459</v>
      </c>
    </row>
    <row r="26" customFormat="false" ht="14.25" hidden="false" customHeight="false" outlineLevel="0" collapsed="false">
      <c r="A26" s="281" t="n">
        <v>23</v>
      </c>
      <c r="B26" s="282" t="s">
        <v>460</v>
      </c>
      <c r="C26" s="283" t="n">
        <v>3</v>
      </c>
      <c r="D26" s="284" t="s">
        <v>461</v>
      </c>
      <c r="E26" s="287" t="s">
        <v>462</v>
      </c>
    </row>
    <row r="27" customFormat="false" ht="14.25" hidden="false" customHeight="false" outlineLevel="0" collapsed="false">
      <c r="A27" s="281" t="n">
        <v>24</v>
      </c>
      <c r="B27" s="282" t="s">
        <v>460</v>
      </c>
      <c r="C27" s="283" t="n">
        <v>3</v>
      </c>
      <c r="D27" s="284" t="s">
        <v>463</v>
      </c>
      <c r="E27" s="283" t="s">
        <v>464</v>
      </c>
    </row>
    <row r="28" customFormat="false" ht="14.25" hidden="false" customHeight="false" outlineLevel="0" collapsed="false">
      <c r="A28" s="281" t="n">
        <v>25</v>
      </c>
      <c r="B28" s="282" t="s">
        <v>56</v>
      </c>
      <c r="C28" s="283" t="n">
        <v>4</v>
      </c>
      <c r="D28" s="284" t="s">
        <v>465</v>
      </c>
      <c r="E28" s="290" t="s">
        <v>440</v>
      </c>
    </row>
    <row r="29" customFormat="false" ht="14.25" hidden="false" customHeight="false" outlineLevel="0" collapsed="false">
      <c r="A29" s="281" t="n">
        <v>26</v>
      </c>
      <c r="B29" s="282" t="s">
        <v>56</v>
      </c>
      <c r="C29" s="283" t="n">
        <v>4</v>
      </c>
      <c r="D29" s="284" t="s">
        <v>466</v>
      </c>
      <c r="E29" s="283" t="s">
        <v>467</v>
      </c>
    </row>
    <row r="30" customFormat="false" ht="14.25" hidden="false" customHeight="false" outlineLevel="0" collapsed="false">
      <c r="A30" s="281" t="n">
        <v>27</v>
      </c>
      <c r="B30" s="282" t="s">
        <v>56</v>
      </c>
      <c r="C30" s="283" t="n">
        <v>4</v>
      </c>
      <c r="D30" s="284" t="s">
        <v>468</v>
      </c>
      <c r="E30" s="283" t="s">
        <v>469</v>
      </c>
    </row>
    <row r="31" customFormat="false" ht="14.25" hidden="false" customHeight="false" outlineLevel="0" collapsed="false">
      <c r="A31" s="281" t="n">
        <v>28</v>
      </c>
      <c r="B31" s="282" t="s">
        <v>56</v>
      </c>
      <c r="C31" s="283" t="n">
        <v>4</v>
      </c>
      <c r="D31" s="284" t="s">
        <v>470</v>
      </c>
      <c r="E31" s="283" t="s">
        <v>471</v>
      </c>
    </row>
    <row r="32" customFormat="false" ht="14.25" hidden="false" customHeight="false" outlineLevel="0" collapsed="false">
      <c r="A32" s="281" t="n">
        <v>29</v>
      </c>
      <c r="B32" s="282" t="s">
        <v>56</v>
      </c>
      <c r="C32" s="283" t="n">
        <v>4</v>
      </c>
      <c r="D32" s="284" t="s">
        <v>472</v>
      </c>
      <c r="E32" s="276" t="s">
        <v>473</v>
      </c>
    </row>
    <row r="33" customFormat="false" ht="14.25" hidden="false" customHeight="false" outlineLevel="0" collapsed="false">
      <c r="A33" s="281" t="n">
        <v>30</v>
      </c>
      <c r="B33" s="282" t="s">
        <v>59</v>
      </c>
      <c r="C33" s="283" t="n">
        <v>5</v>
      </c>
      <c r="D33" s="284" t="s">
        <v>474</v>
      </c>
      <c r="E33" s="291" t="s">
        <v>475</v>
      </c>
    </row>
    <row r="34" customFormat="false" ht="14.25" hidden="false" customHeight="false" outlineLevel="0" collapsed="false">
      <c r="A34" s="281" t="n">
        <v>31</v>
      </c>
      <c r="B34" s="282" t="s">
        <v>59</v>
      </c>
      <c r="C34" s="283" t="n">
        <v>5</v>
      </c>
      <c r="D34" s="284" t="s">
        <v>476</v>
      </c>
      <c r="E34" s="291" t="s">
        <v>477</v>
      </c>
    </row>
    <row r="35" customFormat="false" ht="14.25" hidden="false" customHeight="false" outlineLevel="0" collapsed="false">
      <c r="A35" s="281" t="n">
        <v>32</v>
      </c>
      <c r="B35" s="282" t="s">
        <v>59</v>
      </c>
      <c r="C35" s="283" t="n">
        <v>5</v>
      </c>
      <c r="D35" s="284" t="s">
        <v>478</v>
      </c>
      <c r="E35" s="291" t="s">
        <v>479</v>
      </c>
    </row>
    <row r="36" customFormat="false" ht="14.25" hidden="false" customHeight="false" outlineLevel="0" collapsed="false">
      <c r="A36" s="281" t="n">
        <v>33</v>
      </c>
      <c r="B36" s="282" t="s">
        <v>59</v>
      </c>
      <c r="C36" s="283" t="n">
        <v>5</v>
      </c>
      <c r="D36" s="284" t="s">
        <v>480</v>
      </c>
      <c r="E36" s="291" t="s">
        <v>481</v>
      </c>
    </row>
    <row r="37" customFormat="false" ht="14.25" hidden="false" customHeight="false" outlineLevel="0" collapsed="false">
      <c r="A37" s="281" t="n">
        <v>34</v>
      </c>
      <c r="B37" s="282" t="s">
        <v>59</v>
      </c>
      <c r="C37" s="283" t="n">
        <v>5</v>
      </c>
      <c r="D37" s="284" t="s">
        <v>482</v>
      </c>
      <c r="E37" s="291" t="s">
        <v>483</v>
      </c>
    </row>
    <row r="38" customFormat="false" ht="14.25" hidden="false" customHeight="false" outlineLevel="0" collapsed="false">
      <c r="A38" s="281" t="n">
        <v>35</v>
      </c>
      <c r="B38" s="282" t="s">
        <v>59</v>
      </c>
      <c r="C38" s="283" t="n">
        <v>5</v>
      </c>
      <c r="D38" s="284" t="s">
        <v>484</v>
      </c>
      <c r="E38" s="290" t="s">
        <v>485</v>
      </c>
    </row>
    <row r="39" customFormat="false" ht="14.25" hidden="false" customHeight="false" outlineLevel="0" collapsed="false">
      <c r="A39" s="281" t="n">
        <v>36</v>
      </c>
      <c r="B39" s="282" t="s">
        <v>59</v>
      </c>
      <c r="C39" s="283" t="n">
        <v>5</v>
      </c>
      <c r="D39" s="284" t="s">
        <v>486</v>
      </c>
      <c r="E39" s="291" t="s">
        <v>487</v>
      </c>
    </row>
    <row r="40" customFormat="false" ht="14.25" hidden="false" customHeight="false" outlineLevel="0" collapsed="false">
      <c r="A40" s="281" t="n">
        <v>37</v>
      </c>
      <c r="B40" s="282" t="s">
        <v>59</v>
      </c>
      <c r="C40" s="283" t="n">
        <v>5</v>
      </c>
      <c r="D40" s="284" t="s">
        <v>488</v>
      </c>
      <c r="E40" s="290" t="s">
        <v>489</v>
      </c>
    </row>
    <row r="41" customFormat="false" ht="14.25" hidden="false" customHeight="false" outlineLevel="0" collapsed="false">
      <c r="A41" s="281" t="n">
        <v>38</v>
      </c>
      <c r="B41" s="282" t="s">
        <v>71</v>
      </c>
      <c r="C41" s="283" t="n">
        <v>6</v>
      </c>
      <c r="D41" s="284" t="s">
        <v>490</v>
      </c>
      <c r="E41" s="290" t="s">
        <v>491</v>
      </c>
    </row>
    <row r="42" customFormat="false" ht="14.25" hidden="false" customHeight="false" outlineLevel="0" collapsed="false">
      <c r="A42" s="281" t="n">
        <v>39</v>
      </c>
      <c r="B42" s="282" t="s">
        <v>71</v>
      </c>
      <c r="C42" s="283" t="n">
        <v>6</v>
      </c>
      <c r="D42" s="284" t="s">
        <v>492</v>
      </c>
      <c r="E42" s="290" t="s">
        <v>493</v>
      </c>
    </row>
    <row r="43" customFormat="false" ht="14.25" hidden="false" customHeight="false" outlineLevel="0" collapsed="false">
      <c r="A43" s="281" t="n">
        <v>40</v>
      </c>
      <c r="B43" s="282" t="s">
        <v>71</v>
      </c>
      <c r="C43" s="283" t="n">
        <v>6</v>
      </c>
      <c r="D43" s="284" t="s">
        <v>494</v>
      </c>
      <c r="E43" s="290" t="s">
        <v>495</v>
      </c>
    </row>
    <row r="44" customFormat="false" ht="14.25" hidden="false" customHeight="false" outlineLevel="0" collapsed="false">
      <c r="A44" s="281" t="n">
        <v>41</v>
      </c>
      <c r="B44" s="282" t="s">
        <v>71</v>
      </c>
      <c r="C44" s="283" t="n">
        <v>6</v>
      </c>
      <c r="D44" s="284" t="s">
        <v>496</v>
      </c>
      <c r="E44" s="290" t="s">
        <v>497</v>
      </c>
    </row>
    <row r="45" customFormat="false" ht="14.25" hidden="false" customHeight="false" outlineLevel="0" collapsed="false">
      <c r="A45" s="281" t="n">
        <v>42</v>
      </c>
      <c r="B45" s="282" t="s">
        <v>71</v>
      </c>
      <c r="C45" s="283" t="n">
        <v>6</v>
      </c>
      <c r="D45" s="284" t="s">
        <v>498</v>
      </c>
      <c r="E45" s="290" t="s">
        <v>499</v>
      </c>
    </row>
    <row r="46" customFormat="false" ht="14.25" hidden="false" customHeight="false" outlineLevel="0" collapsed="false">
      <c r="A46" s="281" t="n">
        <v>43</v>
      </c>
      <c r="B46" s="282" t="s">
        <v>71</v>
      </c>
      <c r="C46" s="283" t="n">
        <v>6</v>
      </c>
      <c r="D46" s="284" t="s">
        <v>500</v>
      </c>
      <c r="E46" s="283" t="s">
        <v>501</v>
      </c>
    </row>
    <row r="47" customFormat="false" ht="14.25" hidden="false" customHeight="false" outlineLevel="0" collapsed="false">
      <c r="A47" s="281" t="n">
        <v>44</v>
      </c>
      <c r="B47" s="282" t="s">
        <v>71</v>
      </c>
      <c r="C47" s="287" t="n">
        <v>6</v>
      </c>
      <c r="D47" s="284" t="s">
        <v>502</v>
      </c>
      <c r="E47" s="290" t="s">
        <v>503</v>
      </c>
    </row>
    <row r="48" customFormat="false" ht="14.25" hidden="false" customHeight="false" outlineLevel="0" collapsed="false">
      <c r="A48" s="281" t="n">
        <v>45</v>
      </c>
      <c r="B48" s="282" t="s">
        <v>71</v>
      </c>
      <c r="C48" s="283" t="n">
        <v>6</v>
      </c>
      <c r="D48" s="284" t="s">
        <v>504</v>
      </c>
      <c r="E48" s="290" t="s">
        <v>440</v>
      </c>
    </row>
    <row r="49" customFormat="false" ht="14.25" hidden="false" customHeight="false" outlineLevel="0" collapsed="false">
      <c r="A49" s="281" t="n">
        <v>46</v>
      </c>
      <c r="B49" s="282" t="s">
        <v>71</v>
      </c>
      <c r="C49" s="283" t="n">
        <v>6</v>
      </c>
      <c r="D49" s="284" t="s">
        <v>505</v>
      </c>
      <c r="E49" s="290" t="s">
        <v>440</v>
      </c>
    </row>
    <row r="50" customFormat="false" ht="14.25" hidden="false" customHeight="false" outlineLevel="0" collapsed="false">
      <c r="A50" s="281" t="n">
        <v>47</v>
      </c>
      <c r="B50" s="282" t="s">
        <v>71</v>
      </c>
      <c r="C50" s="283" t="n">
        <v>6</v>
      </c>
      <c r="D50" s="284" t="s">
        <v>506</v>
      </c>
      <c r="E50" s="290" t="s">
        <v>507</v>
      </c>
    </row>
    <row r="51" customFormat="false" ht="14.25" hidden="false" customHeight="false" outlineLevel="0" collapsed="false">
      <c r="A51" s="281"/>
      <c r="B51" s="282" t="s">
        <v>71</v>
      </c>
      <c r="C51" s="283" t="n">
        <v>6</v>
      </c>
      <c r="D51" s="284" t="s">
        <v>508</v>
      </c>
      <c r="E51" s="283" t="s">
        <v>440</v>
      </c>
    </row>
    <row r="52" customFormat="false" ht="14.25" hidden="false" customHeight="false" outlineLevel="0" collapsed="false">
      <c r="A52" s="281" t="n">
        <v>48</v>
      </c>
      <c r="B52" s="282" t="s">
        <v>74</v>
      </c>
      <c r="C52" s="283" t="n">
        <v>7</v>
      </c>
      <c r="D52" s="284" t="s">
        <v>509</v>
      </c>
      <c r="E52" s="283" t="s">
        <v>510</v>
      </c>
    </row>
    <row r="53" customFormat="false" ht="14.25" hidden="false" customHeight="false" outlineLevel="0" collapsed="false">
      <c r="A53" s="281" t="n">
        <v>49</v>
      </c>
      <c r="B53" s="282" t="s">
        <v>74</v>
      </c>
      <c r="C53" s="292" t="n">
        <v>7</v>
      </c>
      <c r="D53" s="284" t="s">
        <v>511</v>
      </c>
      <c r="E53" s="283" t="s">
        <v>512</v>
      </c>
    </row>
    <row r="54" customFormat="false" ht="14.25" hidden="false" customHeight="false" outlineLevel="0" collapsed="false">
      <c r="A54" s="281" t="n">
        <v>50</v>
      </c>
      <c r="B54" s="282" t="s">
        <v>74</v>
      </c>
      <c r="C54" s="292" t="n">
        <v>7</v>
      </c>
      <c r="D54" s="284" t="s">
        <v>121</v>
      </c>
      <c r="E54" s="283" t="s">
        <v>513</v>
      </c>
    </row>
    <row r="55" customFormat="false" ht="14.25" hidden="false" customHeight="false" outlineLevel="0" collapsed="false">
      <c r="A55" s="281" t="n">
        <v>51</v>
      </c>
      <c r="B55" s="282" t="s">
        <v>74</v>
      </c>
      <c r="C55" s="287" t="n">
        <v>7</v>
      </c>
      <c r="D55" s="284" t="s">
        <v>514</v>
      </c>
      <c r="E55" s="287" t="s">
        <v>515</v>
      </c>
    </row>
    <row r="56" customFormat="false" ht="14.25" hidden="false" customHeight="false" outlineLevel="0" collapsed="false">
      <c r="A56" s="281" t="n">
        <v>52</v>
      </c>
      <c r="B56" s="282" t="s">
        <v>65</v>
      </c>
      <c r="C56" s="283" t="n">
        <v>8</v>
      </c>
      <c r="D56" s="284" t="s">
        <v>516</v>
      </c>
      <c r="E56" s="283" t="s">
        <v>517</v>
      </c>
    </row>
    <row r="57" customFormat="false" ht="14.25" hidden="false" customHeight="false" outlineLevel="0" collapsed="false">
      <c r="A57" s="281" t="n">
        <v>53</v>
      </c>
      <c r="B57" s="282" t="s">
        <v>65</v>
      </c>
      <c r="C57" s="283" t="n">
        <v>8</v>
      </c>
      <c r="D57" s="284" t="s">
        <v>518</v>
      </c>
      <c r="E57" s="283" t="s">
        <v>519</v>
      </c>
    </row>
    <row r="58" customFormat="false" ht="14.25" hidden="false" customHeight="false" outlineLevel="0" collapsed="false">
      <c r="A58" s="281" t="n">
        <v>54</v>
      </c>
      <c r="B58" s="282" t="s">
        <v>65</v>
      </c>
      <c r="C58" s="283" t="n">
        <v>8</v>
      </c>
      <c r="D58" s="284" t="s">
        <v>520</v>
      </c>
      <c r="E58" s="283" t="s">
        <v>521</v>
      </c>
    </row>
    <row r="59" customFormat="false" ht="14.25" hidden="false" customHeight="false" outlineLevel="0" collapsed="false">
      <c r="A59" s="281" t="n">
        <v>55</v>
      </c>
      <c r="B59" s="282" t="s">
        <v>65</v>
      </c>
      <c r="C59" s="283" t="n">
        <v>8</v>
      </c>
      <c r="D59" s="284" t="s">
        <v>522</v>
      </c>
      <c r="E59" s="283" t="s">
        <v>523</v>
      </c>
      <c r="I59" s="293"/>
      <c r="J59" s="294"/>
      <c r="K59" s="293"/>
      <c r="L59" s="294"/>
    </row>
    <row r="60" customFormat="false" ht="14.25" hidden="false" customHeight="false" outlineLevel="0" collapsed="false">
      <c r="A60" s="281" t="n">
        <v>56</v>
      </c>
      <c r="B60" s="282" t="s">
        <v>65</v>
      </c>
      <c r="C60" s="283" t="n">
        <v>8</v>
      </c>
      <c r="D60" s="284" t="s">
        <v>524</v>
      </c>
      <c r="E60" s="283" t="s">
        <v>525</v>
      </c>
      <c r="G60" s="295"/>
      <c r="H60" s="295"/>
      <c r="I60" s="296"/>
      <c r="J60" s="297"/>
      <c r="K60" s="296"/>
      <c r="L60" s="297"/>
    </row>
    <row r="61" customFormat="false" ht="14.25" hidden="false" customHeight="false" outlineLevel="0" collapsed="false">
      <c r="A61" s="281" t="n">
        <v>57</v>
      </c>
      <c r="B61" s="282" t="s">
        <v>65</v>
      </c>
      <c r="C61" s="283" t="n">
        <v>8</v>
      </c>
      <c r="D61" s="284" t="s">
        <v>526</v>
      </c>
      <c r="E61" s="283" t="s">
        <v>527</v>
      </c>
      <c r="H61" s="294"/>
      <c r="I61" s="293"/>
      <c r="J61" s="294"/>
      <c r="K61" s="293"/>
      <c r="L61" s="294"/>
    </row>
    <row r="62" customFormat="false" ht="14.25" hidden="false" customHeight="false" outlineLevel="0" collapsed="false">
      <c r="A62" s="281"/>
      <c r="B62" s="282" t="s">
        <v>65</v>
      </c>
      <c r="C62" s="283" t="n">
        <v>8</v>
      </c>
      <c r="D62" s="284" t="s">
        <v>528</v>
      </c>
      <c r="E62" s="298" t="s">
        <v>529</v>
      </c>
      <c r="H62" s="294"/>
      <c r="I62" s="293"/>
      <c r="J62" s="294"/>
      <c r="K62" s="293"/>
      <c r="L62" s="294"/>
    </row>
    <row r="63" customFormat="false" ht="14.25" hidden="false" customHeight="false" outlineLevel="0" collapsed="false">
      <c r="A63" s="281"/>
      <c r="B63" s="282" t="s">
        <v>65</v>
      </c>
      <c r="C63" s="283" t="n">
        <v>8</v>
      </c>
      <c r="D63" s="284" t="s">
        <v>530</v>
      </c>
      <c r="E63" s="299" t="s">
        <v>531</v>
      </c>
      <c r="H63" s="294"/>
      <c r="I63" s="293"/>
      <c r="J63" s="294"/>
      <c r="K63" s="293"/>
      <c r="L63" s="294"/>
    </row>
    <row r="64" customFormat="false" ht="14.25" hidden="false" customHeight="false" outlineLevel="0" collapsed="false">
      <c r="A64" s="281" t="n">
        <v>58</v>
      </c>
      <c r="B64" s="282" t="s">
        <v>62</v>
      </c>
      <c r="C64" s="283" t="n">
        <v>9</v>
      </c>
      <c r="D64" s="284" t="s">
        <v>532</v>
      </c>
      <c r="E64" s="283" t="s">
        <v>533</v>
      </c>
      <c r="H64" s="294"/>
      <c r="I64" s="293"/>
      <c r="J64" s="294"/>
      <c r="K64" s="293"/>
      <c r="L64" s="294"/>
    </row>
    <row r="65" customFormat="false" ht="14.25" hidden="false" customHeight="false" outlineLevel="0" collapsed="false">
      <c r="A65" s="281" t="n">
        <v>59</v>
      </c>
      <c r="B65" s="282" t="s">
        <v>62</v>
      </c>
      <c r="C65" s="283" t="n">
        <v>9</v>
      </c>
      <c r="D65" s="284" t="s">
        <v>534</v>
      </c>
      <c r="E65" s="283" t="s">
        <v>535</v>
      </c>
      <c r="H65" s="294"/>
      <c r="I65" s="293"/>
      <c r="J65" s="294"/>
      <c r="K65" s="293"/>
      <c r="L65" s="294"/>
    </row>
    <row r="66" customFormat="false" ht="14.25" hidden="false" customHeight="false" outlineLevel="0" collapsed="false">
      <c r="A66" s="281" t="n">
        <v>60</v>
      </c>
      <c r="B66" s="282" t="s">
        <v>66</v>
      </c>
      <c r="C66" s="283" t="n">
        <v>10</v>
      </c>
      <c r="D66" s="284" t="s">
        <v>536</v>
      </c>
      <c r="E66" s="283" t="s">
        <v>537</v>
      </c>
      <c r="G66" s="295"/>
      <c r="I66" s="296"/>
      <c r="J66" s="297"/>
      <c r="K66" s="296"/>
      <c r="L66" s="297"/>
    </row>
    <row r="67" customFormat="false" ht="14.25" hidden="false" customHeight="false" outlineLevel="0" collapsed="false">
      <c r="A67" s="281" t="n">
        <v>61</v>
      </c>
      <c r="B67" s="282" t="s">
        <v>66</v>
      </c>
      <c r="C67" s="283" t="n">
        <v>10</v>
      </c>
      <c r="D67" s="284" t="s">
        <v>538</v>
      </c>
      <c r="E67" s="283" t="s">
        <v>539</v>
      </c>
    </row>
    <row r="68" customFormat="false" ht="14.25" hidden="false" customHeight="false" outlineLevel="0" collapsed="false">
      <c r="A68" s="281" t="n">
        <v>62</v>
      </c>
      <c r="B68" s="282" t="s">
        <v>66</v>
      </c>
      <c r="C68" s="283" t="n">
        <v>10</v>
      </c>
      <c r="D68" s="284" t="s">
        <v>540</v>
      </c>
      <c r="E68" s="283" t="s">
        <v>541</v>
      </c>
    </row>
    <row r="69" customFormat="false" ht="14.25" hidden="false" customHeight="false" outlineLevel="0" collapsed="false">
      <c r="A69" s="281" t="n">
        <v>63</v>
      </c>
      <c r="B69" s="282" t="s">
        <v>66</v>
      </c>
      <c r="C69" s="283" t="n">
        <v>10</v>
      </c>
      <c r="D69" s="284" t="s">
        <v>542</v>
      </c>
      <c r="E69" s="283" t="s">
        <v>543</v>
      </c>
    </row>
    <row r="70" customFormat="false" ht="14.25" hidden="false" customHeight="false" outlineLevel="0" collapsed="false">
      <c r="A70" s="281" t="n">
        <v>64</v>
      </c>
      <c r="B70" s="282" t="s">
        <v>66</v>
      </c>
      <c r="C70" s="283" t="n">
        <v>10</v>
      </c>
      <c r="D70" s="284" t="s">
        <v>544</v>
      </c>
      <c r="E70" s="283" t="s">
        <v>545</v>
      </c>
    </row>
    <row r="71" customFormat="false" ht="14.25" hidden="false" customHeight="false" outlineLevel="0" collapsed="false">
      <c r="A71" s="281" t="n">
        <v>65</v>
      </c>
      <c r="B71" s="282" t="s">
        <v>68</v>
      </c>
      <c r="C71" s="283" t="n">
        <v>11</v>
      </c>
      <c r="D71" s="284" t="s">
        <v>546</v>
      </c>
      <c r="E71" s="283" t="s">
        <v>547</v>
      </c>
    </row>
    <row r="72" customFormat="false" ht="14.25" hidden="false" customHeight="false" outlineLevel="0" collapsed="false">
      <c r="A72" s="281" t="n">
        <v>66</v>
      </c>
      <c r="B72" s="282" t="s">
        <v>68</v>
      </c>
      <c r="C72" s="283" t="n">
        <v>11</v>
      </c>
      <c r="D72" s="284" t="s">
        <v>548</v>
      </c>
      <c r="E72" s="283" t="s">
        <v>549</v>
      </c>
    </row>
    <row r="73" customFormat="false" ht="14.25" hidden="false" customHeight="false" outlineLevel="0" collapsed="false">
      <c r="A73" s="281" t="n">
        <v>67</v>
      </c>
      <c r="B73" s="282" t="s">
        <v>68</v>
      </c>
      <c r="C73" s="283" t="n">
        <v>11</v>
      </c>
      <c r="D73" s="284" t="s">
        <v>550</v>
      </c>
      <c r="E73" s="287" t="s">
        <v>551</v>
      </c>
    </row>
    <row r="74" customFormat="false" ht="14.25" hidden="false" customHeight="false" outlineLevel="0" collapsed="false">
      <c r="A74" s="281" t="n">
        <v>68</v>
      </c>
      <c r="B74" s="282" t="s">
        <v>68</v>
      </c>
      <c r="C74" s="283" t="n">
        <v>11</v>
      </c>
      <c r="D74" s="284" t="s">
        <v>552</v>
      </c>
      <c r="E74" s="287" t="s">
        <v>553</v>
      </c>
    </row>
    <row r="75" customFormat="false" ht="14.25" hidden="false" customHeight="false" outlineLevel="0" collapsed="false">
      <c r="A75" s="281" t="n">
        <v>69</v>
      </c>
      <c r="B75" s="282" t="s">
        <v>68</v>
      </c>
      <c r="C75" s="283" t="n">
        <v>11</v>
      </c>
      <c r="D75" s="284" t="s">
        <v>554</v>
      </c>
      <c r="E75" s="289" t="s">
        <v>555</v>
      </c>
    </row>
    <row r="76" customFormat="false" ht="14.25" hidden="false" customHeight="true" outlineLevel="0" collapsed="false">
      <c r="A76" s="281" t="n">
        <v>71</v>
      </c>
      <c r="B76" s="282" t="s">
        <v>70</v>
      </c>
      <c r="C76" s="283" t="n">
        <v>12</v>
      </c>
      <c r="D76" s="284" t="s">
        <v>556</v>
      </c>
      <c r="E76" s="283" t="s">
        <v>557</v>
      </c>
    </row>
    <row r="77" customFormat="false" ht="14.25" hidden="false" customHeight="false" outlineLevel="0" collapsed="false">
      <c r="A77" s="281" t="n">
        <v>72</v>
      </c>
      <c r="B77" s="282" t="s">
        <v>70</v>
      </c>
      <c r="C77" s="292" t="n">
        <v>12</v>
      </c>
      <c r="D77" s="284" t="s">
        <v>558</v>
      </c>
      <c r="E77" s="283" t="s">
        <v>559</v>
      </c>
    </row>
    <row r="78" customFormat="false" ht="14.25" hidden="false" customHeight="false" outlineLevel="0" collapsed="false">
      <c r="A78" s="281" t="n">
        <v>73</v>
      </c>
      <c r="B78" s="282" t="s">
        <v>70</v>
      </c>
      <c r="C78" s="283" t="n">
        <v>12</v>
      </c>
      <c r="D78" s="284" t="s">
        <v>560</v>
      </c>
      <c r="E78" s="283" t="s">
        <v>561</v>
      </c>
    </row>
    <row r="79" customFormat="false" ht="14.25" hidden="false" customHeight="false" outlineLevel="0" collapsed="false">
      <c r="A79" s="281" t="n">
        <v>74</v>
      </c>
      <c r="B79" s="282" t="s">
        <v>70</v>
      </c>
      <c r="C79" s="283" t="n">
        <v>12</v>
      </c>
      <c r="D79" s="284" t="s">
        <v>562</v>
      </c>
      <c r="E79" s="283" t="s">
        <v>563</v>
      </c>
    </row>
    <row r="80" customFormat="false" ht="14.25" hidden="false" customHeight="false" outlineLevel="0" collapsed="false">
      <c r="A80" s="281" t="n">
        <v>75</v>
      </c>
      <c r="B80" s="282" t="s">
        <v>70</v>
      </c>
      <c r="C80" s="283" t="n">
        <v>12</v>
      </c>
      <c r="D80" s="284" t="s">
        <v>564</v>
      </c>
      <c r="E80" s="283" t="s">
        <v>565</v>
      </c>
    </row>
    <row r="81" customFormat="false" ht="14.25" hidden="false" customHeight="false" outlineLevel="0" collapsed="false">
      <c r="A81" s="281" t="n">
        <v>75</v>
      </c>
      <c r="B81" s="282" t="s">
        <v>72</v>
      </c>
      <c r="C81" s="283" t="n">
        <v>13</v>
      </c>
      <c r="D81" s="284" t="s">
        <v>566</v>
      </c>
      <c r="E81" s="283" t="s">
        <v>567</v>
      </c>
    </row>
    <row r="82" customFormat="false" ht="14.25" hidden="false" customHeight="false" outlineLevel="0" collapsed="false">
      <c r="A82" s="281" t="n">
        <v>76</v>
      </c>
      <c r="B82" s="282" t="s">
        <v>72</v>
      </c>
      <c r="C82" s="283" t="n">
        <v>13</v>
      </c>
      <c r="D82" s="284" t="s">
        <v>568</v>
      </c>
      <c r="E82" s="283" t="s">
        <v>569</v>
      </c>
    </row>
    <row r="83" customFormat="false" ht="14.25" hidden="false" customHeight="false" outlineLevel="0" collapsed="false">
      <c r="A83" s="281" t="n">
        <v>77</v>
      </c>
      <c r="B83" s="282" t="s">
        <v>72</v>
      </c>
      <c r="C83" s="283" t="n">
        <v>13</v>
      </c>
      <c r="D83" s="284" t="s">
        <v>570</v>
      </c>
      <c r="E83" s="283" t="s">
        <v>571</v>
      </c>
    </row>
    <row r="84" customFormat="false" ht="14.25" hidden="false" customHeight="false" outlineLevel="0" collapsed="false">
      <c r="A84" s="281" t="n">
        <v>78</v>
      </c>
      <c r="B84" s="281" t="s">
        <v>72</v>
      </c>
      <c r="C84" s="283" t="n">
        <v>13</v>
      </c>
      <c r="D84" s="284" t="s">
        <v>572</v>
      </c>
      <c r="E84" s="283" t="s">
        <v>573</v>
      </c>
    </row>
    <row r="85" customFormat="false" ht="14.25" hidden="false" customHeight="false" outlineLevel="0" collapsed="false">
      <c r="A85" s="281" t="n">
        <v>79</v>
      </c>
      <c r="B85" s="281" t="s">
        <v>72</v>
      </c>
      <c r="C85" s="283" t="n">
        <v>13</v>
      </c>
      <c r="D85" s="284" t="s">
        <v>574</v>
      </c>
      <c r="E85" s="290" t="s">
        <v>440</v>
      </c>
    </row>
    <row r="86" customFormat="false" ht="14.25" hidden="false" customHeight="false" outlineLevel="0" collapsed="false">
      <c r="A86" s="281" t="n">
        <v>80</v>
      </c>
      <c r="B86" s="281" t="s">
        <v>73</v>
      </c>
      <c r="C86" s="283" t="n">
        <v>14</v>
      </c>
      <c r="D86" s="284" t="s">
        <v>575</v>
      </c>
      <c r="E86" s="290" t="s">
        <v>440</v>
      </c>
      <c r="G86" s="294"/>
    </row>
    <row r="87" customFormat="false" ht="14.25" hidden="false" customHeight="false" outlineLevel="0" collapsed="false">
      <c r="A87" s="281" t="n">
        <v>81</v>
      </c>
      <c r="B87" s="281" t="s">
        <v>73</v>
      </c>
      <c r="C87" s="283" t="n">
        <v>14</v>
      </c>
      <c r="D87" s="284" t="s">
        <v>576</v>
      </c>
      <c r="E87" s="283" t="s">
        <v>577</v>
      </c>
    </row>
    <row r="88" customFormat="false" ht="14.25" hidden="false" customHeight="false" outlineLevel="0" collapsed="false">
      <c r="A88" s="281" t="n">
        <v>82</v>
      </c>
      <c r="B88" s="281" t="s">
        <v>73</v>
      </c>
      <c r="C88" s="283" t="n">
        <v>14</v>
      </c>
      <c r="D88" s="284" t="s">
        <v>578</v>
      </c>
      <c r="E88" s="283" t="s">
        <v>579</v>
      </c>
    </row>
    <row r="89" customFormat="false" ht="14.25" hidden="false" customHeight="false" outlineLevel="0" collapsed="false">
      <c r="A89" s="281" t="n">
        <v>83</v>
      </c>
      <c r="B89" s="281" t="s">
        <v>73</v>
      </c>
      <c r="C89" s="287" t="n">
        <v>14</v>
      </c>
      <c r="D89" s="284" t="s">
        <v>580</v>
      </c>
      <c r="E89" s="283" t="s">
        <v>581</v>
      </c>
    </row>
    <row r="90" customFormat="false" ht="14.25" hidden="false" customHeight="false" outlineLevel="0" collapsed="false">
      <c r="A90" s="281" t="n">
        <v>84</v>
      </c>
      <c r="B90" s="281" t="s">
        <v>73</v>
      </c>
      <c r="C90" s="287" t="n">
        <v>14</v>
      </c>
      <c r="D90" s="284" t="s">
        <v>582</v>
      </c>
      <c r="E90" s="287" t="s">
        <v>583</v>
      </c>
    </row>
    <row r="91" customFormat="false" ht="14.25" hidden="false" customHeight="false" outlineLevel="0" collapsed="false">
      <c r="A91" s="281" t="n">
        <v>85</v>
      </c>
      <c r="B91" s="281" t="s">
        <v>73</v>
      </c>
      <c r="C91" s="287" t="n">
        <v>14</v>
      </c>
      <c r="D91" s="284" t="s">
        <v>584</v>
      </c>
      <c r="E91" s="287" t="s">
        <v>585</v>
      </c>
    </row>
    <row r="92" customFormat="false" ht="14.25" hidden="false" customHeight="false" outlineLevel="0" collapsed="false">
      <c r="A92" s="281" t="n">
        <v>86</v>
      </c>
      <c r="B92" s="281" t="s">
        <v>73</v>
      </c>
      <c r="C92" s="287" t="n">
        <v>14</v>
      </c>
      <c r="D92" s="284" t="s">
        <v>586</v>
      </c>
      <c r="E92" s="287" t="s">
        <v>440</v>
      </c>
    </row>
    <row r="93" customFormat="false" ht="14.25" hidden="false" customHeight="true" outlineLevel="0" collapsed="false">
      <c r="A93" s="300" t="n">
        <v>87</v>
      </c>
      <c r="B93" s="300" t="s">
        <v>73</v>
      </c>
      <c r="C93" s="301" t="n">
        <v>14</v>
      </c>
      <c r="D93" s="302" t="s">
        <v>587</v>
      </c>
      <c r="E93" s="301" t="s">
        <v>588</v>
      </c>
    </row>
    <row r="94" customFormat="false" ht="14.25" hidden="false" customHeight="false" outlineLevel="0" collapsed="false">
      <c r="A94" s="281" t="n">
        <v>88</v>
      </c>
      <c r="B94" s="281" t="s">
        <v>73</v>
      </c>
      <c r="C94" s="287" t="n">
        <v>14</v>
      </c>
      <c r="D94" s="284" t="s">
        <v>589</v>
      </c>
      <c r="E94" s="303" t="s">
        <v>440</v>
      </c>
    </row>
    <row r="95" customFormat="false" ht="14.25" hidden="false" customHeight="false" outlineLevel="0" collapsed="false">
      <c r="A95" s="281" t="n">
        <v>89</v>
      </c>
      <c r="B95" s="281" t="s">
        <v>75</v>
      </c>
      <c r="C95" s="287" t="n">
        <v>15</v>
      </c>
      <c r="D95" s="284" t="s">
        <v>590</v>
      </c>
      <c r="E95" s="287" t="s">
        <v>591</v>
      </c>
    </row>
    <row r="96" customFormat="false" ht="14.25" hidden="false" customHeight="false" outlineLevel="0" collapsed="false">
      <c r="A96" s="281" t="n">
        <v>90</v>
      </c>
      <c r="B96" s="281" t="s">
        <v>75</v>
      </c>
      <c r="C96" s="287" t="n">
        <v>15</v>
      </c>
      <c r="D96" s="284" t="s">
        <v>592</v>
      </c>
      <c r="E96" s="287" t="s">
        <v>593</v>
      </c>
    </row>
    <row r="97" customFormat="false" ht="14.25" hidden="false" customHeight="false" outlineLevel="0" collapsed="false">
      <c r="A97" s="281" t="n">
        <v>91</v>
      </c>
      <c r="B97" s="281" t="s">
        <v>76</v>
      </c>
      <c r="C97" s="287" t="n">
        <v>16</v>
      </c>
      <c r="D97" s="284" t="s">
        <v>594</v>
      </c>
      <c r="E97" s="287" t="s">
        <v>595</v>
      </c>
    </row>
    <row r="98" customFormat="false" ht="14.25" hidden="false" customHeight="false" outlineLevel="0" collapsed="false">
      <c r="A98" s="281" t="n">
        <v>92</v>
      </c>
      <c r="B98" s="281" t="s">
        <v>76</v>
      </c>
      <c r="C98" s="287" t="n">
        <v>16</v>
      </c>
      <c r="D98" s="284" t="s">
        <v>596</v>
      </c>
      <c r="E98" s="287" t="s">
        <v>597</v>
      </c>
    </row>
    <row r="99" customFormat="false" ht="14.25" hidden="false" customHeight="false" outlineLevel="0" collapsed="false">
      <c r="A99" s="304"/>
      <c r="B99" s="304"/>
      <c r="D99" s="305"/>
      <c r="E99" s="306"/>
    </row>
    <row r="100" customFormat="false" ht="14.25" hidden="false" customHeight="false" outlineLevel="0" collapsed="false">
      <c r="A100" s="304"/>
      <c r="B100" s="304"/>
      <c r="D100" s="305"/>
      <c r="E100" s="306"/>
    </row>
    <row r="104" customFormat="false" ht="14.25" hidden="false" customHeight="false" outlineLevel="0" collapsed="false">
      <c r="E104" s="307" t="n">
        <v>89</v>
      </c>
    </row>
    <row r="105" customFormat="false" ht="14.25" hidden="false" customHeight="false" outlineLevel="0" collapsed="false">
      <c r="D105" s="307" t="s">
        <v>440</v>
      </c>
      <c r="E105" s="307" t="n">
        <v>12</v>
      </c>
    </row>
    <row r="106" customFormat="false" ht="14.25" hidden="false" customHeight="false" outlineLevel="0" collapsed="false">
      <c r="D106" s="307" t="s">
        <v>598</v>
      </c>
      <c r="E106" s="307" t="n">
        <f aca="false">+E104-E105</f>
        <v>77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1058</TotalTime>
  <Application>LibreOffice/24.8.0.3$Windows_X86_64 LibreOffice_project/0bdf1299c94fe897b119f97f3c613e9dca6be583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2023-02-01T21:45:46Z</dcterms:created>
  <dc:creator>IGNACIO MAURICIO HUERA ZAMBRANO</dc:creator>
  <dc:description/>
  <dc:language>es-EC</dc:language>
  <cp:lastModifiedBy/>
  <cp:lastPrinted>2025-10-17T15:48:44Z</cp:lastPrinted>
  <dcterms:modified xsi:type="dcterms:W3CDTF">2026-06-24T09:52:00Z</dcterms:modified>
  <cp:revision>241</cp:revision>
  <dc:subject/>
  <dc:title/>
</cp:coreProperties>
</file>

<file path=docProps/custom.xml><?xml version="1.0" encoding="utf-8"?>
<Properties xmlns="http://schemas.openxmlformats.org/officeDocument/2006/custom-properties" xmlns:vt="http://schemas.openxmlformats.org/officeDocument/2006/docPropsVTypes"/>
</file>