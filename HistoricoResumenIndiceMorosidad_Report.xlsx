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oResumenIndiceMorosidad" sheetId="1" state="visible" r:id="rId3"/>
  </sheets>
  <definedNames>
    <definedName function="false" hidden="false" localSheetId="0" name="_xlnm.Print_Titles" vbProcedure="false">HistoricoResumenIndiceMorosidad!$1:$10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<sst xmlns="http://schemas.openxmlformats.org/spreadsheetml/2006/main" count="105" uniqueCount="80">
  <si>
    <t xml:space="preserve">30/06/2026</t>
  </si>
  <si>
    <t xml:space="preserve">R E P O R T E   I N D I C E   D E   M O R O S I D A D</t>
  </si>
  <si>
    <t xml:space="preserve">Oficina(s)</t>
  </si>
  <si>
    <t xml:space="preserve">: LAGO AGRIO</t>
  </si>
  <si>
    <t xml:space="preserve">Fecha Cálculo</t>
  </si>
  <si>
    <t xml:space="preserve">: 29/06/2026</t>
  </si>
  <si>
    <t xml:space="preserve">Tipo Cartera</t>
  </si>
  <si>
    <t xml:space="preserve">MOROSIDAD POR OFICIAL</t>
  </si>
  <si>
    <t xml:space="preserve">NOMBRE</t>
  </si>
  <si>
    <t xml:space="preserve">VIGENTE</t>
  </si>
  <si>
    <t xml:space="preserve">NO DEVENGA</t>
  </si>
  <si>
    <t xml:space="preserve">VENCIDO</t>
  </si>
  <si>
    <t xml:space="preserve">TOTAL</t>
  </si>
  <si>
    <t xml:space="preserve">MORA %</t>
  </si>
  <si>
    <t xml:space="preserve">AFEC %</t>
  </si>
  <si>
    <t xml:space="preserve">USUARIO</t>
  </si>
  <si>
    <t xml:space="preserve">KA</t>
  </si>
  <si>
    <t xml:space="preserve">KACOSTA</t>
  </si>
  <si>
    <t xml:space="preserve">MCH</t>
  </si>
  <si>
    <t xml:space="preserve">MCHANGO</t>
  </si>
  <si>
    <t xml:space="preserve">ES</t>
  </si>
  <si>
    <t xml:space="preserve">SESPINOZA</t>
  </si>
  <si>
    <t xml:space="preserve">GS</t>
  </si>
  <si>
    <t xml:space="preserve">SGUEVARA</t>
  </si>
  <si>
    <t xml:space="preserve">CJ</t>
  </si>
  <si>
    <t xml:space="preserve">CJARAMILLO</t>
  </si>
  <si>
    <t xml:space="preserve">TM</t>
  </si>
  <si>
    <t xml:space="preserve">TMENDIETA</t>
  </si>
  <si>
    <t xml:space="preserve">OV</t>
  </si>
  <si>
    <t xml:space="preserve">GORTIZ</t>
  </si>
  <si>
    <t xml:space="preserve">MOROSIDAD POR CALIFICACION CONTABLE</t>
  </si>
  <si>
    <t xml:space="preserve">CONSUMO</t>
  </si>
  <si>
    <t xml:space="preserve">CONSUMO REESTRUCTURADO</t>
  </si>
  <si>
    <t xml:space="preserve">CONSUMO REFINANCIADO</t>
  </si>
  <si>
    <t xml:space="preserve">INMOBILIARIO</t>
  </si>
  <si>
    <t xml:space="preserve">MICROCREDITO</t>
  </si>
  <si>
    <t xml:space="preserve">MICROCREDITO REESTRUCTURADO</t>
  </si>
  <si>
    <t xml:space="preserve">MICROCREDITO REFINANCIADO</t>
  </si>
  <si>
    <t xml:space="preserve">MOROSIDAD POR TIPO PRÉSTAMO</t>
  </si>
  <si>
    <t xml:space="preserve">CREDI AGIL</t>
  </si>
  <si>
    <t xml:space="preserve">CREDITO BACK TO BACK</t>
  </si>
  <si>
    <t xml:space="preserve">CREDITO BACK TO BACK VENCIMIENTO</t>
  </si>
  <si>
    <t xml:space="preserve">CREDITO SIN GARANTE</t>
  </si>
  <si>
    <t xml:space="preserve">CREDITO SIN GARANTE NOV. REF. REEST.</t>
  </si>
  <si>
    <t xml:space="preserve">HIPOTECARIO</t>
  </si>
  <si>
    <t xml:space="preserve">HIPOTECARIO  24 MESES</t>
  </si>
  <si>
    <t xml:space="preserve">HIPOTECARIO  36 MESES</t>
  </si>
  <si>
    <t xml:space="preserve">HIPOTECARIO  48 MESES</t>
  </si>
  <si>
    <t xml:space="preserve">HIPOTECARIO  60 MESES</t>
  </si>
  <si>
    <t xml:space="preserve">HIPOTECARIO  72 MESES</t>
  </si>
  <si>
    <t xml:space="preserve">HIPOTECARIO  84 MESES</t>
  </si>
  <si>
    <t xml:space="preserve">HIPOTECARIO FINANZAS POPULARES 10.001 - 20.000</t>
  </si>
  <si>
    <t xml:space="preserve">HIPOTECARIO NOVADO REFINANCIEDO REESTRUCTURADO</t>
  </si>
  <si>
    <t xml:space="preserve">MICROCREDITO FOGEPS</t>
  </si>
  <si>
    <t xml:space="preserve">ORDINARIO</t>
  </si>
  <si>
    <t xml:space="preserve">ORDINARIO  24 MESES</t>
  </si>
  <si>
    <t xml:space="preserve">ORDINARIO  36 MESES</t>
  </si>
  <si>
    <t xml:space="preserve">ORDINARIO  48 MESES</t>
  </si>
  <si>
    <t xml:space="preserve">ORDINARIO  60 MESES</t>
  </si>
  <si>
    <t xml:space="preserve">ORDINARIO  72 MESES</t>
  </si>
  <si>
    <t xml:space="preserve">ORDINARIO NOVADO REFINANCIADO REESTRUCTURADO</t>
  </si>
  <si>
    <t xml:space="preserve">POST HIPOTECARIO</t>
  </si>
  <si>
    <t xml:space="preserve">POST ORDINARIO</t>
  </si>
  <si>
    <t xml:space="preserve">PREST. ESPC. COMPAÑIAS DE TRANSPORTE HIPOTECARIO</t>
  </si>
  <si>
    <t xml:space="preserve">PREST. ESPE. MICRO COMP. DE TRANS. NOV. REF. REES</t>
  </si>
  <si>
    <t xml:space="preserve">PREST. ESPEC. COMP. TRANSP. HIPOT. NOV. REF. REEST</t>
  </si>
  <si>
    <t xml:space="preserve">PRESTAMOS ESPECIALES A COMPAÑIAS DE TRANSPORTE</t>
  </si>
  <si>
    <t xml:space="preserve">PRESTAMOS ESPECIALES A COMPAÑIAS DE TRANSPOTE CONS</t>
  </si>
  <si>
    <t xml:space="preserve">SIN GARANTE 24 MESES</t>
  </si>
  <si>
    <t xml:space="preserve">SIN GARANTE 36 MESES</t>
  </si>
  <si>
    <t xml:space="preserve">SIN GARANTE 48 MESES</t>
  </si>
  <si>
    <t xml:space="preserve">SIN GARANTE 60 MESES</t>
  </si>
  <si>
    <t xml:space="preserve">SIN GARANTE 72 MESES</t>
  </si>
  <si>
    <t xml:space="preserve">SIN GARANTE 84 MESES</t>
  </si>
  <si>
    <t xml:space="preserve">VIVIENDA BDE</t>
  </si>
  <si>
    <t xml:space="preserve">VIVIENDA FINANZAS POPULARES</t>
  </si>
  <si>
    <t xml:space="preserve">VIVIENDA MI CASA CONAFIPS</t>
  </si>
  <si>
    <t xml:space="preserve">VIVIENDA PABLO MUÑOZ VEGA</t>
  </si>
  <si>
    <t xml:space="preserve">MOROSIDAD POR OFICINA</t>
  </si>
  <si>
    <t xml:space="preserve">LAGO AGRIO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</si>
</sst>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A]#,##0.00;\-#,##0.00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8"/>
      <color rgb="FF000000"/>
      <name val="Tahoma"/>
      <family val="0"/>
      <charset val="1"/>
    </font>
    <font>
      <b val="true"/>
      <sz val="8"/>
      <color rgb="FF000000"/>
      <name val="Tahoma"/>
      <family val="0"/>
      <charset val="1"/>
    </font>
    <font>
      <sz val="7"/>
      <color rgb="FF000000"/>
      <name val="Tahoma"/>
      <family val="0"/>
      <charset val="1"/>
    </font>
    <font>
      <b val="true"/>
      <sz val="7"/>
      <color rgb="FF000000"/>
      <name val="Tahoma"/>
      <family val="0"/>
      <charset val="1"/>
    </font>
    <font>
      <b val="true"/>
      <sz val="6"/>
      <color rgb="FF000000"/>
      <name val="Tahoma"/>
      <family val="0"/>
      <charset val="1"/>
    </font>
    <font>
      <sz val="6"/>
      <color rgb="FF000000"/>
      <name val="Tahom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7" fillId="0" borderId="0" xfId="20" applyFont="true" applyBorder="true" applyAlignment="true" applyProtection="true">
      <alignment horizontal="general" vertical="top" textRotation="0" wrapText="true" indent="0" shrinkToFit="false" readingOrder="1"/>
      <protection locked="true" hidden="false"/>
    </xf>
    <xf numFmtId="164" fontId="7" fillId="0" borderId="0" xfId="2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8" fillId="0" borderId="0" xfId="2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10" fillId="0" borderId="1" xfId="2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  <xf numFmtId="165" fontId="10" fillId="0" borderId="1" xfId="2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5" fontId="10" fillId="0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  <xf numFmtId="164" fontId="10" fillId="0" borderId="1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5" fontId="9" fillId="0" borderId="1" xfId="20" applyFont="true" applyBorder="true" applyAlignment="true" applyProtection="true">
      <alignment horizontal="right" vertical="center" textRotation="0" wrapText="false" indent="0" shrinkToFit="false" readingOrder="1"/>
      <protection locked="true" hidden="false"/>
    </xf>
    <xf numFmtId="165" fontId="9" fillId="0" borderId="1" xfId="20" applyFont="true" applyBorder="true" applyAlignment="true" applyProtection="true">
      <alignment horizontal="center" vertical="center" textRotation="0" wrapText="fals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74" activePane="bottomLeft" state="frozen"/>
      <selection pane="topLeft" activeCell="A1" activeCellId="0" sqref="A1"/>
      <selection pane="bottomLeft" activeCell="S19" activeCellId="0" sqref="S19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0.05"/>
    <col collapsed="false" customWidth="true" hidden="false" outlineLevel="0" max="2" min="2" style="0" width="0.33"/>
    <col collapsed="false" customWidth="true" hidden="false" outlineLevel="0" max="3" min="3" style="0" width="12.82"/>
    <col collapsed="false" customWidth="true" hidden="false" outlineLevel="0" max="4" min="4" style="0" width="11.65"/>
    <col collapsed="false" customWidth="true" hidden="false" outlineLevel="0" max="5" min="5" style="0" width="0.15"/>
    <col collapsed="false" customWidth="true" hidden="false" outlineLevel="0" max="6" min="6" style="0" width="4.14"/>
    <col collapsed="false" customWidth="true" hidden="false" outlineLevel="0" max="9" min="7" style="0" width="12.45"/>
    <col collapsed="false" customWidth="true" hidden="false" outlineLevel="0" max="10" min="10" style="0" width="5.46"/>
    <col collapsed="false" customWidth="true" hidden="false" outlineLevel="0" max="11" min="11" style="0" width="3.72"/>
    <col collapsed="false" customWidth="true" hidden="false" outlineLevel="0" max="12" min="12" style="0" width="3.27"/>
    <col collapsed="false" customWidth="true" hidden="false" outlineLevel="0" max="13" min="13" style="0" width="9.35"/>
    <col collapsed="false" customWidth="true" hidden="false" outlineLevel="0" max="14" min="14" style="0" width="8.21"/>
    <col collapsed="false" customWidth="true" hidden="false" outlineLevel="0" max="15" min="15" style="0" width="13.49"/>
    <col collapsed="false" customWidth="true" hidden="false" outlineLevel="0" max="16" min="16" style="0" width="0.03"/>
  </cols>
  <sheetData>
    <row r="1" customFormat="false" ht="15.75" hidden="false" customHeight="true" outlineLevel="0" collapsed="false">
      <c r="B1" s="1"/>
      <c r="C1" s="1"/>
      <c r="D1" s="1"/>
      <c r="F1" s="2" t="s">
        <v>0</v>
      </c>
      <c r="G1" s="2"/>
      <c r="H1" s="2"/>
      <c r="I1" s="2"/>
      <c r="J1" s="2"/>
      <c r="K1" s="2"/>
      <c r="L1" s="2"/>
      <c r="M1" s="2"/>
      <c r="N1" s="2"/>
      <c r="O1" s="2"/>
    </row>
    <row r="2" customFormat="false" ht="2.25" hidden="false" customHeight="true" outlineLevel="0" collapsed="false">
      <c r="B2" s="1"/>
      <c r="C2" s="1"/>
      <c r="D2" s="1"/>
    </row>
    <row r="3" customFormat="false" ht="12" hidden="false" customHeight="true" outlineLevel="0" collapsed="false">
      <c r="B3" s="1"/>
      <c r="C3" s="1"/>
      <c r="D3" s="1"/>
      <c r="F3" s="3" t="s">
        <v>1</v>
      </c>
      <c r="G3" s="3"/>
      <c r="H3" s="3"/>
      <c r="I3" s="3"/>
      <c r="J3" s="3"/>
    </row>
    <row r="4" customFormat="false" ht="12.8" hidden="false" customHeight="false" outlineLevel="0" collapsed="false">
      <c r="F4" s="3"/>
      <c r="G4" s="3"/>
      <c r="H4" s="3"/>
      <c r="I4" s="3"/>
      <c r="J4" s="3"/>
    </row>
    <row r="5" customFormat="false" ht="4.5" hidden="false" customHeight="true" outlineLevel="0" collapsed="false"/>
    <row r="6" customFormat="false" ht="12.8" hidden="false" customHeight="true" outlineLevel="0" collapsed="false">
      <c r="C6" s="4" t="s">
        <v>2</v>
      </c>
      <c r="D6" s="5" t="s">
        <v>3</v>
      </c>
      <c r="E6" s="5"/>
      <c r="F6" s="5"/>
      <c r="G6" s="5"/>
      <c r="H6" s="5"/>
      <c r="I6" s="5"/>
      <c r="J6" s="5"/>
      <c r="K6" s="5"/>
    </row>
    <row r="7" customFormat="false" ht="12.8" hidden="false" customHeight="true" outlineLevel="0" collapsed="false">
      <c r="C7" s="4" t="s">
        <v>4</v>
      </c>
      <c r="D7" s="5" t="s">
        <v>5</v>
      </c>
      <c r="E7" s="5"/>
      <c r="F7" s="5"/>
      <c r="G7" s="5"/>
      <c r="H7" s="5"/>
      <c r="I7" s="5"/>
      <c r="J7" s="5"/>
      <c r="K7" s="5"/>
    </row>
    <row r="8" customFormat="false" ht="3" hidden="false" customHeight="true" outlineLevel="0" collapsed="false"/>
    <row r="9" customFormat="false" ht="12.8" hidden="false" customHeight="false" outlineLevel="0" collapsed="false">
      <c r="C9" s="4" t="s">
        <v>6</v>
      </c>
      <c r="D9" s="5" t="e">
        <f aca="false">#VALUE!</f>
        <v>#VALUE!</v>
      </c>
      <c r="E9" s="5"/>
      <c r="F9" s="5"/>
      <c r="G9" s="5"/>
      <c r="H9" s="5"/>
      <c r="I9" s="5"/>
      <c r="J9" s="5"/>
      <c r="K9" s="5"/>
    </row>
    <row r="10" customFormat="false" ht="10.5" hidden="false" customHeight="true" outlineLevel="0" collapsed="false"/>
    <row r="11" customFormat="false" ht="0.75" hidden="false" customHeight="true" outlineLevel="0" collapsed="false"/>
    <row r="12" customFormat="false" ht="28.5" hidden="false" customHeight="true" outlineLevel="0" collapsed="false">
      <c r="A12" s="6" t="s">
        <v>7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customFormat="false" ht="12.8" hidden="false" customHeight="true" outlineLevel="0" collapsed="false">
      <c r="B13" s="7" t="s">
        <v>8</v>
      </c>
      <c r="C13" s="7"/>
      <c r="D13" s="7"/>
      <c r="E13" s="7"/>
      <c r="F13" s="7"/>
      <c r="G13" s="7" t="s">
        <v>9</v>
      </c>
      <c r="H13" s="7" t="s">
        <v>10</v>
      </c>
      <c r="I13" s="7" t="s">
        <v>11</v>
      </c>
      <c r="J13" s="7" t="s">
        <v>12</v>
      </c>
      <c r="K13" s="7"/>
      <c r="L13" s="7"/>
      <c r="M13" s="7" t="s">
        <v>13</v>
      </c>
      <c r="N13" s="7" t="s">
        <v>14</v>
      </c>
      <c r="O13" s="7" t="s">
        <v>15</v>
      </c>
    </row>
    <row r="14" customFormat="false" ht="12.8" hidden="false" customHeight="true" outlineLevel="0" collapsed="false">
      <c r="B14" s="8" t="s">
        <v>16</v>
      </c>
      <c r="C14" s="8"/>
      <c r="D14" s="8"/>
      <c r="E14" s="8"/>
      <c r="F14" s="8"/>
      <c r="G14" s="9" t="n">
        <v>80713.36</v>
      </c>
      <c r="H14" s="9" t="n">
        <v>0</v>
      </c>
      <c r="I14" s="9" t="n">
        <v>0</v>
      </c>
      <c r="J14" s="9" t="n">
        <v>80713.36</v>
      </c>
      <c r="K14" s="9"/>
      <c r="L14" s="9"/>
      <c r="M14" s="10" t="n">
        <v>0</v>
      </c>
      <c r="N14" s="10" t="n">
        <v>0</v>
      </c>
      <c r="O14" s="11" t="s">
        <v>17</v>
      </c>
    </row>
    <row r="15" customFormat="false" ht="12.8" hidden="false" customHeight="true" outlineLevel="0" collapsed="false">
      <c r="B15" s="8" t="s">
        <v>18</v>
      </c>
      <c r="C15" s="8"/>
      <c r="D15" s="8"/>
      <c r="E15" s="8"/>
      <c r="F15" s="8"/>
      <c r="G15" s="9" t="n">
        <v>5552562.77</v>
      </c>
      <c r="H15" s="9" t="n">
        <v>205610.26</v>
      </c>
      <c r="I15" s="9" t="n">
        <v>14948.07</v>
      </c>
      <c r="J15" s="9" t="n">
        <v>5773121.1</v>
      </c>
      <c r="K15" s="9"/>
      <c r="L15" s="9"/>
      <c r="M15" s="10" t="n">
        <v>0.26</v>
      </c>
      <c r="N15" s="10" t="n">
        <v>3.82</v>
      </c>
      <c r="O15" s="11" t="s">
        <v>19</v>
      </c>
    </row>
    <row r="16" customFormat="false" ht="12.8" hidden="false" customHeight="true" outlineLevel="0" collapsed="false">
      <c r="B16" s="8" t="s">
        <v>20</v>
      </c>
      <c r="C16" s="8"/>
      <c r="D16" s="8"/>
      <c r="E16" s="8"/>
      <c r="F16" s="8"/>
      <c r="G16" s="9" t="n">
        <v>34837.09</v>
      </c>
      <c r="H16" s="9" t="n">
        <v>125688.92</v>
      </c>
      <c r="I16" s="9" t="n">
        <v>110680.76</v>
      </c>
      <c r="J16" s="9" t="n">
        <v>271206.77</v>
      </c>
      <c r="K16" s="9"/>
      <c r="L16" s="9"/>
      <c r="M16" s="10" t="n">
        <v>40.81</v>
      </c>
      <c r="N16" s="10" t="n">
        <v>87.15</v>
      </c>
      <c r="O16" s="11" t="s">
        <v>21</v>
      </c>
    </row>
    <row r="17" customFormat="false" ht="12.8" hidden="false" customHeight="true" outlineLevel="0" collapsed="false">
      <c r="B17" s="8" t="s">
        <v>22</v>
      </c>
      <c r="C17" s="8"/>
      <c r="D17" s="8"/>
      <c r="E17" s="8"/>
      <c r="F17" s="8"/>
      <c r="G17" s="9" t="n">
        <v>258928.64</v>
      </c>
      <c r="H17" s="9" t="n">
        <v>260688.86</v>
      </c>
      <c r="I17" s="9" t="n">
        <v>34441.8</v>
      </c>
      <c r="J17" s="9" t="n">
        <v>554059.3</v>
      </c>
      <c r="K17" s="9"/>
      <c r="L17" s="9"/>
      <c r="M17" s="10" t="n">
        <v>6.22</v>
      </c>
      <c r="N17" s="10" t="n">
        <v>53.27</v>
      </c>
      <c r="O17" s="11" t="s">
        <v>23</v>
      </c>
    </row>
    <row r="18" customFormat="false" ht="12.8" hidden="false" customHeight="true" outlineLevel="0" collapsed="false">
      <c r="B18" s="8" t="s">
        <v>24</v>
      </c>
      <c r="C18" s="8"/>
      <c r="D18" s="8"/>
      <c r="E18" s="8"/>
      <c r="F18" s="8"/>
      <c r="G18" s="9" t="n">
        <v>4468267.34</v>
      </c>
      <c r="H18" s="9" t="n">
        <v>224159.51</v>
      </c>
      <c r="I18" s="9" t="n">
        <v>14220.92</v>
      </c>
      <c r="J18" s="9" t="n">
        <v>4706647.77</v>
      </c>
      <c r="K18" s="9"/>
      <c r="L18" s="9"/>
      <c r="M18" s="10" t="n">
        <v>0.3</v>
      </c>
      <c r="N18" s="10" t="n">
        <v>5.06</v>
      </c>
      <c r="O18" s="11" t="s">
        <v>25</v>
      </c>
    </row>
    <row r="19" customFormat="false" ht="12.8" hidden="false" customHeight="true" outlineLevel="0" collapsed="false">
      <c r="B19" s="8" t="s">
        <v>26</v>
      </c>
      <c r="C19" s="8"/>
      <c r="D19" s="8"/>
      <c r="E19" s="8"/>
      <c r="F19" s="8"/>
      <c r="G19" s="9" t="n">
        <v>7825666.38</v>
      </c>
      <c r="H19" s="9" t="n">
        <v>471455.03</v>
      </c>
      <c r="I19" s="9" t="n">
        <v>27376.43</v>
      </c>
      <c r="J19" s="9" t="n">
        <v>8324497.84</v>
      </c>
      <c r="K19" s="9"/>
      <c r="L19" s="9"/>
      <c r="M19" s="10" t="n">
        <v>0.33</v>
      </c>
      <c r="N19" s="10" t="n">
        <v>5.99</v>
      </c>
      <c r="O19" s="11" t="s">
        <v>27</v>
      </c>
    </row>
    <row r="20" customFormat="false" ht="12.8" hidden="false" customHeight="true" outlineLevel="0" collapsed="false">
      <c r="B20" s="8" t="s">
        <v>28</v>
      </c>
      <c r="C20" s="8"/>
      <c r="D20" s="8"/>
      <c r="E20" s="8"/>
      <c r="F20" s="8"/>
      <c r="G20" s="9" t="n">
        <v>72539.5</v>
      </c>
      <c r="H20" s="9" t="n">
        <v>117986.03</v>
      </c>
      <c r="I20" s="9" t="n">
        <v>77547.33</v>
      </c>
      <c r="J20" s="9" t="n">
        <v>268072.86</v>
      </c>
      <c r="K20" s="9"/>
      <c r="L20" s="9"/>
      <c r="M20" s="10" t="n">
        <v>28.93</v>
      </c>
      <c r="N20" s="10" t="n">
        <v>72.94</v>
      </c>
      <c r="O20" s="11" t="s">
        <v>29</v>
      </c>
    </row>
    <row r="21" customFormat="false" ht="12.8" hidden="false" customHeight="true" outlineLevel="0" collapsed="false">
      <c r="B21" s="7" t="s">
        <v>12</v>
      </c>
      <c r="C21" s="7"/>
      <c r="D21" s="7"/>
      <c r="E21" s="7"/>
      <c r="F21" s="7"/>
      <c r="G21" s="12" t="n">
        <v>18293515.08</v>
      </c>
      <c r="H21" s="12" t="n">
        <v>1405588.61</v>
      </c>
      <c r="I21" s="12" t="n">
        <v>279215.31</v>
      </c>
      <c r="J21" s="12" t="n">
        <v>19978319</v>
      </c>
      <c r="K21" s="12"/>
      <c r="L21" s="12"/>
      <c r="M21" s="13" t="n">
        <v>1.4</v>
      </c>
      <c r="N21" s="13" t="n">
        <v>8.43</v>
      </c>
      <c r="O21" s="7"/>
    </row>
    <row r="23" customFormat="false" ht="28.5" hidden="false" customHeight="true" outlineLevel="0" collapsed="false">
      <c r="B23" s="6" t="s">
        <v>30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5" customFormat="false" ht="12.8" hidden="false" customHeight="true" outlineLevel="0" collapsed="false">
      <c r="B25" s="7" t="s">
        <v>8</v>
      </c>
      <c r="C25" s="7"/>
      <c r="D25" s="7"/>
      <c r="E25" s="7"/>
      <c r="F25" s="7"/>
      <c r="G25" s="7" t="s">
        <v>9</v>
      </c>
      <c r="H25" s="7" t="s">
        <v>10</v>
      </c>
      <c r="I25" s="7" t="s">
        <v>11</v>
      </c>
      <c r="J25" s="7" t="s">
        <v>12</v>
      </c>
      <c r="K25" s="7"/>
      <c r="L25" s="7"/>
      <c r="M25" s="7" t="s">
        <v>13</v>
      </c>
      <c r="N25" s="7" t="s">
        <v>14</v>
      </c>
    </row>
    <row r="26" customFormat="false" ht="12.8" hidden="false" customHeight="true" outlineLevel="0" collapsed="false">
      <c r="B26" s="8" t="s">
        <v>31</v>
      </c>
      <c r="C26" s="8"/>
      <c r="D26" s="8"/>
      <c r="E26" s="8"/>
      <c r="F26" s="8"/>
      <c r="G26" s="9" t="n">
        <v>12135640.02</v>
      </c>
      <c r="H26" s="9" t="n">
        <v>882810.47</v>
      </c>
      <c r="I26" s="9" t="n">
        <v>110625.11</v>
      </c>
      <c r="J26" s="9" t="n">
        <v>13129075.6</v>
      </c>
      <c r="K26" s="9"/>
      <c r="L26" s="9"/>
      <c r="M26" s="10" t="n">
        <v>0.84</v>
      </c>
      <c r="N26" s="10" t="n">
        <v>7.57</v>
      </c>
    </row>
    <row r="27" customFormat="false" ht="12.8" hidden="false" customHeight="true" outlineLevel="0" collapsed="false">
      <c r="B27" s="8" t="s">
        <v>32</v>
      </c>
      <c r="C27" s="8"/>
      <c r="D27" s="8"/>
      <c r="E27" s="8"/>
      <c r="F27" s="8"/>
      <c r="G27" s="9" t="n">
        <v>14953.67</v>
      </c>
      <c r="H27" s="9" t="n">
        <v>0</v>
      </c>
      <c r="I27" s="9" t="n">
        <v>0</v>
      </c>
      <c r="J27" s="9" t="n">
        <v>14953.67</v>
      </c>
      <c r="K27" s="9"/>
      <c r="L27" s="9"/>
      <c r="M27" s="10" t="n">
        <v>0</v>
      </c>
      <c r="N27" s="10" t="n">
        <v>0</v>
      </c>
    </row>
    <row r="28" customFormat="false" ht="12.8" hidden="false" customHeight="true" outlineLevel="0" collapsed="false">
      <c r="B28" s="8" t="s">
        <v>33</v>
      </c>
      <c r="C28" s="8"/>
      <c r="D28" s="8"/>
      <c r="E28" s="8"/>
      <c r="F28" s="8"/>
      <c r="G28" s="9" t="n">
        <v>42965.09</v>
      </c>
      <c r="H28" s="9" t="n">
        <v>6380.04</v>
      </c>
      <c r="I28" s="9" t="n">
        <v>1169.3</v>
      </c>
      <c r="J28" s="9" t="n">
        <v>50514.43</v>
      </c>
      <c r="K28" s="9"/>
      <c r="L28" s="9"/>
      <c r="M28" s="10" t="n">
        <v>2.31</v>
      </c>
      <c r="N28" s="10" t="n">
        <v>14.94</v>
      </c>
    </row>
    <row r="29" customFormat="false" ht="12.8" hidden="false" customHeight="true" outlineLevel="0" collapsed="false">
      <c r="B29" s="8" t="s">
        <v>34</v>
      </c>
      <c r="C29" s="8"/>
      <c r="D29" s="8"/>
      <c r="E29" s="8"/>
      <c r="F29" s="8"/>
      <c r="G29" s="9" t="n">
        <v>633496.54</v>
      </c>
      <c r="H29" s="9" t="n">
        <v>14819.66</v>
      </c>
      <c r="I29" s="9" t="n">
        <v>286.86</v>
      </c>
      <c r="J29" s="9" t="n">
        <v>648603.06</v>
      </c>
      <c r="K29" s="9"/>
      <c r="L29" s="9"/>
      <c r="M29" s="10" t="n">
        <v>0.04</v>
      </c>
      <c r="N29" s="10" t="n">
        <v>2.33</v>
      </c>
    </row>
    <row r="30" customFormat="false" ht="12.8" hidden="false" customHeight="true" outlineLevel="0" collapsed="false">
      <c r="B30" s="8" t="s">
        <v>35</v>
      </c>
      <c r="C30" s="8"/>
      <c r="D30" s="8"/>
      <c r="E30" s="8"/>
      <c r="F30" s="8"/>
      <c r="G30" s="9" t="n">
        <v>5464476.39</v>
      </c>
      <c r="H30" s="9" t="n">
        <v>501578.44</v>
      </c>
      <c r="I30" s="9" t="n">
        <v>167132.04</v>
      </c>
      <c r="J30" s="9" t="n">
        <v>6133186.87</v>
      </c>
      <c r="K30" s="9"/>
      <c r="L30" s="9"/>
      <c r="M30" s="10" t="n">
        <v>2.73</v>
      </c>
      <c r="N30" s="10" t="n">
        <v>10.9</v>
      </c>
    </row>
    <row r="31" customFormat="false" ht="12.8" hidden="false" customHeight="true" outlineLevel="0" collapsed="false">
      <c r="B31" s="8" t="s">
        <v>36</v>
      </c>
      <c r="C31" s="8"/>
      <c r="D31" s="8"/>
      <c r="E31" s="8"/>
      <c r="F31" s="8"/>
      <c r="G31" s="9" t="n">
        <v>0</v>
      </c>
      <c r="H31" s="9" t="n">
        <v>0</v>
      </c>
      <c r="I31" s="9" t="n">
        <v>1</v>
      </c>
      <c r="J31" s="9" t="n">
        <v>1</v>
      </c>
      <c r="K31" s="9"/>
      <c r="L31" s="9"/>
      <c r="M31" s="10" t="n">
        <v>100</v>
      </c>
      <c r="N31" s="10" t="n">
        <v>100</v>
      </c>
    </row>
    <row r="32" customFormat="false" ht="12.8" hidden="false" customHeight="true" outlineLevel="0" collapsed="false">
      <c r="B32" s="8" t="s">
        <v>37</v>
      </c>
      <c r="C32" s="8"/>
      <c r="D32" s="8"/>
      <c r="E32" s="8"/>
      <c r="F32" s="8"/>
      <c r="G32" s="9" t="n">
        <v>1983.37</v>
      </c>
      <c r="H32" s="9" t="n">
        <v>0</v>
      </c>
      <c r="I32" s="9" t="n">
        <v>1</v>
      </c>
      <c r="J32" s="9" t="n">
        <v>1984.37</v>
      </c>
      <c r="K32" s="9"/>
      <c r="L32" s="9"/>
      <c r="M32" s="10" t="n">
        <v>0.05</v>
      </c>
      <c r="N32" s="10" t="n">
        <v>0.05</v>
      </c>
    </row>
    <row r="33" customFormat="false" ht="12.8" hidden="false" customHeight="true" outlineLevel="0" collapsed="false">
      <c r="B33" s="7" t="s">
        <v>12</v>
      </c>
      <c r="C33" s="7"/>
      <c r="D33" s="7"/>
      <c r="E33" s="7"/>
      <c r="F33" s="7"/>
      <c r="G33" s="12" t="n">
        <v>18293515.08</v>
      </c>
      <c r="H33" s="12" t="n">
        <v>1405588.61</v>
      </c>
      <c r="I33" s="12" t="n">
        <v>279215.31</v>
      </c>
      <c r="J33" s="12" t="n">
        <v>19978319</v>
      </c>
      <c r="K33" s="12"/>
      <c r="L33" s="12"/>
      <c r="M33" s="13" t="n">
        <v>1.4</v>
      </c>
      <c r="N33" s="13" t="n">
        <v>8.43</v>
      </c>
    </row>
    <row r="34" customFormat="false" ht="28.5" hidden="false" customHeight="true" outlineLevel="0" collapsed="false">
      <c r="B34" s="6" t="s">
        <v>38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6" customFormat="false" ht="12.8" hidden="false" customHeight="true" outlineLevel="0" collapsed="false">
      <c r="B36" s="7" t="s">
        <v>8</v>
      </c>
      <c r="C36" s="7"/>
      <c r="D36" s="7"/>
      <c r="E36" s="7"/>
      <c r="F36" s="7"/>
      <c r="G36" s="7" t="s">
        <v>9</v>
      </c>
      <c r="H36" s="7" t="s">
        <v>10</v>
      </c>
      <c r="I36" s="7" t="s">
        <v>11</v>
      </c>
      <c r="J36" s="7" t="s">
        <v>12</v>
      </c>
      <c r="K36" s="7"/>
      <c r="L36" s="7"/>
      <c r="M36" s="7" t="s">
        <v>13</v>
      </c>
      <c r="N36" s="7" t="s">
        <v>14</v>
      </c>
    </row>
    <row r="37" customFormat="false" ht="12.8" hidden="false" customHeight="true" outlineLevel="0" collapsed="false">
      <c r="B37" s="8" t="s">
        <v>39</v>
      </c>
      <c r="C37" s="8"/>
      <c r="D37" s="8"/>
      <c r="E37" s="8"/>
      <c r="F37" s="8"/>
      <c r="G37" s="9" t="n">
        <v>2379.93</v>
      </c>
      <c r="H37" s="9" t="n">
        <v>0</v>
      </c>
      <c r="I37" s="9" t="n">
        <v>0</v>
      </c>
      <c r="J37" s="9" t="n">
        <v>2379.93</v>
      </c>
      <c r="K37" s="9"/>
      <c r="L37" s="9"/>
      <c r="M37" s="10" t="n">
        <v>0</v>
      </c>
      <c r="N37" s="10" t="n">
        <v>0</v>
      </c>
    </row>
    <row r="38" customFormat="false" ht="12.8" hidden="false" customHeight="true" outlineLevel="0" collapsed="false">
      <c r="B38" s="8" t="s">
        <v>40</v>
      </c>
      <c r="C38" s="8"/>
      <c r="D38" s="8"/>
      <c r="E38" s="8"/>
      <c r="F38" s="8"/>
      <c r="G38" s="9" t="n">
        <v>1593.3</v>
      </c>
      <c r="H38" s="9" t="n">
        <v>0</v>
      </c>
      <c r="I38" s="9" t="n">
        <v>0</v>
      </c>
      <c r="J38" s="9" t="n">
        <v>1593.3</v>
      </c>
      <c r="K38" s="9"/>
      <c r="L38" s="9"/>
      <c r="M38" s="10" t="n">
        <v>0</v>
      </c>
      <c r="N38" s="10" t="n">
        <v>0</v>
      </c>
    </row>
    <row r="39" customFormat="false" ht="12.8" hidden="false" customHeight="true" outlineLevel="0" collapsed="false">
      <c r="B39" s="8" t="s">
        <v>41</v>
      </c>
      <c r="C39" s="8"/>
      <c r="D39" s="8"/>
      <c r="E39" s="8"/>
      <c r="F39" s="8"/>
      <c r="G39" s="9" t="n">
        <v>107770</v>
      </c>
      <c r="H39" s="9" t="n">
        <v>0</v>
      </c>
      <c r="I39" s="9" t="n">
        <v>0</v>
      </c>
      <c r="J39" s="9" t="n">
        <v>107770</v>
      </c>
      <c r="K39" s="9"/>
      <c r="L39" s="9"/>
      <c r="M39" s="10" t="n">
        <v>0</v>
      </c>
      <c r="N39" s="10" t="n">
        <v>0</v>
      </c>
    </row>
    <row r="40" customFormat="false" ht="12.8" hidden="false" customHeight="true" outlineLevel="0" collapsed="false">
      <c r="B40" s="8" t="s">
        <v>42</v>
      </c>
      <c r="C40" s="8"/>
      <c r="D40" s="8"/>
      <c r="E40" s="8"/>
      <c r="F40" s="8"/>
      <c r="G40" s="9" t="n">
        <v>7150816.54</v>
      </c>
      <c r="H40" s="9" t="n">
        <v>338612.9</v>
      </c>
      <c r="I40" s="9" t="n">
        <v>42209.69</v>
      </c>
      <c r="J40" s="9" t="n">
        <v>7531639.13</v>
      </c>
      <c r="K40" s="9"/>
      <c r="L40" s="9"/>
      <c r="M40" s="10" t="n">
        <v>0.56</v>
      </c>
      <c r="N40" s="10" t="n">
        <v>5.06</v>
      </c>
    </row>
    <row r="41" customFormat="false" ht="12.8" hidden="false" customHeight="true" outlineLevel="0" collapsed="false">
      <c r="B41" s="8" t="s">
        <v>43</v>
      </c>
      <c r="C41" s="8"/>
      <c r="D41" s="8"/>
      <c r="E41" s="8"/>
      <c r="F41" s="8"/>
      <c r="G41" s="9" t="n">
        <v>56841.64</v>
      </c>
      <c r="H41" s="9" t="n">
        <v>0</v>
      </c>
      <c r="I41" s="9" t="n">
        <v>0</v>
      </c>
      <c r="J41" s="9" t="n">
        <v>56841.64</v>
      </c>
      <c r="K41" s="9"/>
      <c r="L41" s="9"/>
      <c r="M41" s="10" t="n">
        <v>0</v>
      </c>
      <c r="N41" s="10" t="n">
        <v>0</v>
      </c>
    </row>
    <row r="42" customFormat="false" ht="12.8" hidden="false" customHeight="true" outlineLevel="0" collapsed="false">
      <c r="B42" s="8" t="s">
        <v>44</v>
      </c>
      <c r="C42" s="8"/>
      <c r="D42" s="8"/>
      <c r="E42" s="8"/>
      <c r="F42" s="8"/>
      <c r="G42" s="9" t="n">
        <v>5570765.3</v>
      </c>
      <c r="H42" s="9" t="n">
        <v>324859.88</v>
      </c>
      <c r="I42" s="9" t="n">
        <v>30597.61</v>
      </c>
      <c r="J42" s="9" t="n">
        <v>5926222.79</v>
      </c>
      <c r="K42" s="9"/>
      <c r="L42" s="9"/>
      <c r="M42" s="10" t="n">
        <v>0.52</v>
      </c>
      <c r="N42" s="10" t="n">
        <v>6</v>
      </c>
    </row>
    <row r="43" customFormat="false" ht="12.8" hidden="false" customHeight="true" outlineLevel="0" collapsed="false">
      <c r="B43" s="8" t="s">
        <v>45</v>
      </c>
      <c r="C43" s="8"/>
      <c r="D43" s="8"/>
      <c r="E43" s="8"/>
      <c r="F43" s="8"/>
      <c r="G43" s="9" t="n">
        <v>5871.62</v>
      </c>
      <c r="H43" s="9" t="n">
        <v>0</v>
      </c>
      <c r="I43" s="9" t="n">
        <v>0</v>
      </c>
      <c r="J43" s="9" t="n">
        <v>5871.62</v>
      </c>
      <c r="K43" s="9"/>
      <c r="L43" s="9"/>
      <c r="M43" s="10" t="n">
        <v>0</v>
      </c>
      <c r="N43" s="10" t="n">
        <v>0</v>
      </c>
    </row>
    <row r="44" customFormat="false" ht="12.8" hidden="false" customHeight="true" outlineLevel="0" collapsed="false">
      <c r="B44" s="8" t="s">
        <v>46</v>
      </c>
      <c r="C44" s="8"/>
      <c r="D44" s="8"/>
      <c r="E44" s="8"/>
      <c r="F44" s="8"/>
      <c r="G44" s="9" t="n">
        <v>11838.66</v>
      </c>
      <c r="H44" s="9" t="n">
        <v>0</v>
      </c>
      <c r="I44" s="9" t="n">
        <v>0</v>
      </c>
      <c r="J44" s="9" t="n">
        <v>11838.66</v>
      </c>
      <c r="K44" s="9"/>
      <c r="L44" s="9"/>
      <c r="M44" s="10" t="n">
        <v>0</v>
      </c>
      <c r="N44" s="10" t="n">
        <v>0</v>
      </c>
    </row>
    <row r="45" customFormat="false" ht="12.8" hidden="false" customHeight="true" outlineLevel="0" collapsed="false">
      <c r="B45" s="8" t="s">
        <v>47</v>
      </c>
      <c r="C45" s="8"/>
      <c r="D45" s="8"/>
      <c r="E45" s="8"/>
      <c r="F45" s="8"/>
      <c r="G45" s="9" t="n">
        <v>252972.13</v>
      </c>
      <c r="H45" s="9" t="n">
        <v>0</v>
      </c>
      <c r="I45" s="9" t="n">
        <v>0</v>
      </c>
      <c r="J45" s="9" t="n">
        <v>252972.13</v>
      </c>
      <c r="K45" s="9"/>
      <c r="L45" s="9"/>
      <c r="M45" s="10" t="n">
        <v>0</v>
      </c>
      <c r="N45" s="10" t="n">
        <v>0</v>
      </c>
    </row>
    <row r="46" customFormat="false" ht="12.8" hidden="false" customHeight="true" outlineLevel="0" collapsed="false">
      <c r="B46" s="8" t="s">
        <v>48</v>
      </c>
      <c r="C46" s="8"/>
      <c r="D46" s="8"/>
      <c r="E46" s="8"/>
      <c r="F46" s="8"/>
      <c r="G46" s="9" t="n">
        <v>91708.82</v>
      </c>
      <c r="H46" s="9" t="n">
        <v>0</v>
      </c>
      <c r="I46" s="9" t="n">
        <v>0</v>
      </c>
      <c r="J46" s="9" t="n">
        <v>91708.82</v>
      </c>
      <c r="K46" s="9"/>
      <c r="L46" s="9"/>
      <c r="M46" s="10" t="n">
        <v>0</v>
      </c>
      <c r="N46" s="10" t="n">
        <v>0</v>
      </c>
    </row>
    <row r="47" customFormat="false" ht="12.8" hidden="false" customHeight="true" outlineLevel="0" collapsed="false">
      <c r="B47" s="8" t="s">
        <v>49</v>
      </c>
      <c r="C47" s="8"/>
      <c r="D47" s="8"/>
      <c r="E47" s="8"/>
      <c r="F47" s="8"/>
      <c r="G47" s="9" t="n">
        <v>96506.49</v>
      </c>
      <c r="H47" s="9" t="n">
        <v>14338.19</v>
      </c>
      <c r="I47" s="9" t="n">
        <v>227.08</v>
      </c>
      <c r="J47" s="9" t="n">
        <v>111071.76</v>
      </c>
      <c r="K47" s="9"/>
      <c r="L47" s="9"/>
      <c r="M47" s="10" t="n">
        <v>0.2</v>
      </c>
      <c r="N47" s="10" t="n">
        <v>13.11</v>
      </c>
    </row>
    <row r="48" customFormat="false" ht="12.8" hidden="false" customHeight="true" outlineLevel="0" collapsed="false">
      <c r="B48" s="8" t="s">
        <v>50</v>
      </c>
      <c r="C48" s="8"/>
      <c r="D48" s="8"/>
      <c r="E48" s="8"/>
      <c r="F48" s="8"/>
      <c r="G48" s="9" t="n">
        <v>385848.57</v>
      </c>
      <c r="H48" s="9" t="n">
        <v>35355.26</v>
      </c>
      <c r="I48" s="9" t="n">
        <v>1664.57</v>
      </c>
      <c r="J48" s="9" t="n">
        <v>422868.4</v>
      </c>
      <c r="K48" s="9"/>
      <c r="L48" s="9"/>
      <c r="M48" s="10" t="n">
        <v>0.39</v>
      </c>
      <c r="N48" s="10" t="n">
        <v>8.75</v>
      </c>
    </row>
    <row r="49" customFormat="false" ht="12.8" hidden="false" customHeight="true" outlineLevel="0" collapsed="false">
      <c r="B49" s="8" t="s">
        <v>51</v>
      </c>
      <c r="C49" s="8"/>
      <c r="D49" s="8"/>
      <c r="E49" s="8"/>
      <c r="F49" s="8"/>
      <c r="G49" s="9" t="n">
        <v>0</v>
      </c>
      <c r="H49" s="9" t="n">
        <v>4682.63</v>
      </c>
      <c r="I49" s="9" t="n">
        <v>2211.85</v>
      </c>
      <c r="J49" s="9" t="n">
        <v>6894.48</v>
      </c>
      <c r="K49" s="9"/>
      <c r="L49" s="9"/>
      <c r="M49" s="10" t="n">
        <v>32.08</v>
      </c>
      <c r="N49" s="10" t="n">
        <v>100</v>
      </c>
    </row>
    <row r="50" customFormat="false" ht="16.4" hidden="false" customHeight="true" outlineLevel="0" collapsed="false">
      <c r="B50" s="8" t="s">
        <v>52</v>
      </c>
      <c r="C50" s="8"/>
      <c r="D50" s="8"/>
      <c r="E50" s="8"/>
      <c r="F50" s="8"/>
      <c r="G50" s="9" t="n">
        <v>144526.87</v>
      </c>
      <c r="H50" s="9" t="n">
        <v>50641.3</v>
      </c>
      <c r="I50" s="9" t="n">
        <v>1135.12</v>
      </c>
      <c r="J50" s="9" t="n">
        <v>196303.29</v>
      </c>
      <c r="K50" s="9"/>
      <c r="L50" s="9"/>
      <c r="M50" s="10" t="n">
        <v>0.58</v>
      </c>
      <c r="N50" s="10" t="n">
        <v>26.38</v>
      </c>
    </row>
    <row r="51" customFormat="false" ht="12.8" hidden="false" customHeight="true" outlineLevel="0" collapsed="false">
      <c r="B51" s="8" t="s">
        <v>53</v>
      </c>
      <c r="C51" s="8"/>
      <c r="D51" s="8"/>
      <c r="E51" s="8"/>
      <c r="F51" s="8"/>
      <c r="G51" s="9" t="n">
        <v>20066.26</v>
      </c>
      <c r="H51" s="9" t="n">
        <v>0</v>
      </c>
      <c r="I51" s="9" t="n">
        <v>17</v>
      </c>
      <c r="J51" s="9" t="n">
        <v>20083.26</v>
      </c>
      <c r="K51" s="9"/>
      <c r="L51" s="9"/>
      <c r="M51" s="10" t="n">
        <v>0.08</v>
      </c>
      <c r="N51" s="10" t="n">
        <v>0.08</v>
      </c>
    </row>
    <row r="52" customFormat="false" ht="12.8" hidden="false" customHeight="true" outlineLevel="0" collapsed="false">
      <c r="B52" s="8" t="s">
        <v>54</v>
      </c>
      <c r="C52" s="8"/>
      <c r="D52" s="8"/>
      <c r="E52" s="8"/>
      <c r="F52" s="8"/>
      <c r="G52" s="9" t="n">
        <v>2114728.99</v>
      </c>
      <c r="H52" s="9" t="n">
        <v>126184.5</v>
      </c>
      <c r="I52" s="9" t="n">
        <v>61398.77</v>
      </c>
      <c r="J52" s="9" t="n">
        <v>2302312.26</v>
      </c>
      <c r="K52" s="9"/>
      <c r="L52" s="9"/>
      <c r="M52" s="10" t="n">
        <v>2.67</v>
      </c>
      <c r="N52" s="10" t="n">
        <v>8.15</v>
      </c>
    </row>
    <row r="53" customFormat="false" ht="12.8" hidden="false" customHeight="true" outlineLevel="0" collapsed="false">
      <c r="B53" s="8" t="s">
        <v>55</v>
      </c>
      <c r="C53" s="8"/>
      <c r="D53" s="8"/>
      <c r="E53" s="8"/>
      <c r="F53" s="8"/>
      <c r="G53" s="9" t="n">
        <v>8459.18</v>
      </c>
      <c r="H53" s="9" t="n">
        <v>1483.78</v>
      </c>
      <c r="I53" s="9" t="n">
        <v>1329.07</v>
      </c>
      <c r="J53" s="9" t="n">
        <v>11272.03</v>
      </c>
      <c r="K53" s="9"/>
      <c r="L53" s="9"/>
      <c r="M53" s="10" t="n">
        <v>11.79</v>
      </c>
      <c r="N53" s="10" t="n">
        <v>24.95</v>
      </c>
    </row>
    <row r="54" customFormat="false" ht="12.8" hidden="false" customHeight="true" outlineLevel="0" collapsed="false">
      <c r="B54" s="8" t="s">
        <v>56</v>
      </c>
      <c r="C54" s="8"/>
      <c r="D54" s="8"/>
      <c r="E54" s="8"/>
      <c r="F54" s="8"/>
      <c r="G54" s="9" t="n">
        <v>41897.66</v>
      </c>
      <c r="H54" s="9" t="n">
        <v>11405.9</v>
      </c>
      <c r="I54" s="9" t="n">
        <v>4103.36</v>
      </c>
      <c r="J54" s="9" t="n">
        <v>57406.92</v>
      </c>
      <c r="K54" s="9"/>
      <c r="L54" s="9"/>
      <c r="M54" s="10" t="n">
        <v>7.15</v>
      </c>
      <c r="N54" s="10" t="n">
        <v>27.02</v>
      </c>
    </row>
    <row r="55" customFormat="false" ht="12.8" hidden="false" customHeight="true" outlineLevel="0" collapsed="false">
      <c r="B55" s="8" t="s">
        <v>57</v>
      </c>
      <c r="C55" s="8"/>
      <c r="D55" s="8"/>
      <c r="E55" s="8"/>
      <c r="F55" s="8"/>
      <c r="G55" s="9" t="n">
        <v>124401.41</v>
      </c>
      <c r="H55" s="9" t="n">
        <v>19428.48</v>
      </c>
      <c r="I55" s="9" t="n">
        <v>16198.6</v>
      </c>
      <c r="J55" s="9" t="n">
        <v>160028.49</v>
      </c>
      <c r="K55" s="9"/>
      <c r="L55" s="9"/>
      <c r="M55" s="10" t="n">
        <v>10.12</v>
      </c>
      <c r="N55" s="10" t="n">
        <v>22.26</v>
      </c>
    </row>
    <row r="56" customFormat="false" ht="12.8" hidden="false" customHeight="true" outlineLevel="0" collapsed="false">
      <c r="B56" s="8" t="s">
        <v>58</v>
      </c>
      <c r="C56" s="8"/>
      <c r="D56" s="8"/>
      <c r="E56" s="8"/>
      <c r="F56" s="8"/>
      <c r="G56" s="9" t="n">
        <v>160115.88</v>
      </c>
      <c r="H56" s="9" t="n">
        <v>0</v>
      </c>
      <c r="I56" s="9" t="n">
        <v>0</v>
      </c>
      <c r="J56" s="9" t="n">
        <v>160115.88</v>
      </c>
      <c r="K56" s="9"/>
      <c r="L56" s="9"/>
      <c r="M56" s="10" t="n">
        <v>0</v>
      </c>
      <c r="N56" s="10" t="n">
        <v>0</v>
      </c>
    </row>
    <row r="57" customFormat="false" ht="12.8" hidden="false" customHeight="true" outlineLevel="0" collapsed="false">
      <c r="B57" s="8" t="s">
        <v>59</v>
      </c>
      <c r="C57" s="8"/>
      <c r="D57" s="8"/>
      <c r="E57" s="8"/>
      <c r="F57" s="8"/>
      <c r="G57" s="9" t="n">
        <v>115194.11</v>
      </c>
      <c r="H57" s="9" t="n">
        <v>0</v>
      </c>
      <c r="I57" s="9" t="n">
        <v>0</v>
      </c>
      <c r="J57" s="9" t="n">
        <v>115194.11</v>
      </c>
      <c r="K57" s="9"/>
      <c r="L57" s="9"/>
      <c r="M57" s="10" t="n">
        <v>0</v>
      </c>
      <c r="N57" s="10" t="n">
        <v>0</v>
      </c>
    </row>
    <row r="58" customFormat="false" ht="16.4" hidden="false" customHeight="true" outlineLevel="0" collapsed="false">
      <c r="B58" s="8" t="s">
        <v>60</v>
      </c>
      <c r="C58" s="8"/>
      <c r="D58" s="8"/>
      <c r="E58" s="8"/>
      <c r="F58" s="8"/>
      <c r="G58" s="9" t="n">
        <v>41442.44</v>
      </c>
      <c r="H58" s="9" t="n">
        <v>6380.04</v>
      </c>
      <c r="I58" s="9" t="n">
        <v>1169.3</v>
      </c>
      <c r="J58" s="9" t="n">
        <v>48991.78</v>
      </c>
      <c r="K58" s="9"/>
      <c r="L58" s="9"/>
      <c r="M58" s="10" t="n">
        <v>2.39</v>
      </c>
      <c r="N58" s="10" t="n">
        <v>15.41</v>
      </c>
    </row>
    <row r="59" customFormat="false" ht="12.8" hidden="false" customHeight="true" outlineLevel="0" collapsed="false">
      <c r="B59" s="8" t="s">
        <v>61</v>
      </c>
      <c r="C59" s="8"/>
      <c r="D59" s="8"/>
      <c r="E59" s="8"/>
      <c r="F59" s="8"/>
      <c r="G59" s="9" t="n">
        <v>386981.98</v>
      </c>
      <c r="H59" s="9" t="n">
        <v>236272.59</v>
      </c>
      <c r="I59" s="9" t="n">
        <v>3404.04</v>
      </c>
      <c r="J59" s="9" t="n">
        <v>626658.61</v>
      </c>
      <c r="K59" s="9"/>
      <c r="L59" s="9"/>
      <c r="M59" s="10" t="n">
        <v>0.54</v>
      </c>
      <c r="N59" s="10" t="n">
        <v>38.25</v>
      </c>
    </row>
    <row r="60" customFormat="false" ht="12.8" hidden="false" customHeight="true" outlineLevel="0" collapsed="false">
      <c r="B60" s="8" t="s">
        <v>62</v>
      </c>
      <c r="C60" s="8"/>
      <c r="D60" s="8"/>
      <c r="E60" s="8"/>
      <c r="F60" s="8"/>
      <c r="G60" s="9" t="n">
        <v>70917.78</v>
      </c>
      <c r="H60" s="9" t="n">
        <v>3059.96</v>
      </c>
      <c r="I60" s="9" t="n">
        <v>8.54</v>
      </c>
      <c r="J60" s="9" t="n">
        <v>73986.28</v>
      </c>
      <c r="K60" s="9"/>
      <c r="L60" s="9"/>
      <c r="M60" s="10" t="n">
        <v>0.01</v>
      </c>
      <c r="N60" s="10" t="n">
        <v>4.15</v>
      </c>
    </row>
    <row r="61" customFormat="false" ht="16.4" hidden="false" customHeight="true" outlineLevel="0" collapsed="false">
      <c r="B61" s="8" t="s">
        <v>63</v>
      </c>
      <c r="C61" s="8"/>
      <c r="D61" s="8"/>
      <c r="E61" s="8"/>
      <c r="F61" s="8"/>
      <c r="G61" s="9" t="n">
        <v>30337.39</v>
      </c>
      <c r="H61" s="9" t="n">
        <v>0</v>
      </c>
      <c r="I61" s="9" t="n">
        <v>0</v>
      </c>
      <c r="J61" s="9" t="n">
        <v>30337.39</v>
      </c>
      <c r="K61" s="9"/>
      <c r="L61" s="9"/>
      <c r="M61" s="10" t="n">
        <v>0</v>
      </c>
      <c r="N61" s="10" t="n">
        <v>0</v>
      </c>
    </row>
    <row r="62" customFormat="false" ht="12.8" hidden="false" customHeight="true" outlineLevel="0" collapsed="false">
      <c r="B62" s="8" t="s">
        <v>64</v>
      </c>
      <c r="C62" s="8"/>
      <c r="D62" s="8"/>
      <c r="E62" s="8"/>
      <c r="F62" s="8"/>
      <c r="G62" s="9" t="n">
        <v>20538</v>
      </c>
      <c r="H62" s="9" t="n">
        <v>110510.1</v>
      </c>
      <c r="I62" s="9" t="n">
        <v>1625.37</v>
      </c>
      <c r="J62" s="9" t="n">
        <v>132673.47</v>
      </c>
      <c r="K62" s="9"/>
      <c r="L62" s="9"/>
      <c r="M62" s="10" t="n">
        <v>1.23</v>
      </c>
      <c r="N62" s="10" t="n">
        <v>84.52</v>
      </c>
    </row>
    <row r="63" customFormat="false" ht="16.4" hidden="false" customHeight="true" outlineLevel="0" collapsed="false">
      <c r="B63" s="8" t="s">
        <v>65</v>
      </c>
      <c r="C63" s="8"/>
      <c r="D63" s="8"/>
      <c r="E63" s="8"/>
      <c r="F63" s="8"/>
      <c r="G63" s="9" t="n">
        <v>44583.5</v>
      </c>
      <c r="H63" s="9" t="n">
        <v>2002.86</v>
      </c>
      <c r="I63" s="9" t="n">
        <v>463.31</v>
      </c>
      <c r="J63" s="9" t="n">
        <v>47049.67</v>
      </c>
      <c r="K63" s="9"/>
      <c r="L63" s="9"/>
      <c r="M63" s="10" t="n">
        <v>0.98</v>
      </c>
      <c r="N63" s="10" t="n">
        <v>5.24</v>
      </c>
    </row>
    <row r="64" customFormat="false" ht="16.4" hidden="false" customHeight="true" outlineLevel="0" collapsed="false">
      <c r="B64" s="8" t="s">
        <v>66</v>
      </c>
      <c r="C64" s="8"/>
      <c r="D64" s="8"/>
      <c r="E64" s="8"/>
      <c r="F64" s="8"/>
      <c r="G64" s="9" t="n">
        <v>76136.47</v>
      </c>
      <c r="H64" s="9" t="n">
        <v>58589.14</v>
      </c>
      <c r="I64" s="9" t="n">
        <v>98557.29</v>
      </c>
      <c r="J64" s="9" t="n">
        <v>233282.9</v>
      </c>
      <c r="K64" s="9"/>
      <c r="L64" s="9"/>
      <c r="M64" s="10" t="n">
        <v>42.25</v>
      </c>
      <c r="N64" s="10" t="n">
        <v>67.36</v>
      </c>
    </row>
    <row r="65" customFormat="false" ht="16.4" hidden="false" customHeight="true" outlineLevel="0" collapsed="false">
      <c r="B65" s="8" t="s">
        <v>67</v>
      </c>
      <c r="C65" s="8"/>
      <c r="D65" s="8"/>
      <c r="E65" s="8"/>
      <c r="F65" s="8"/>
      <c r="G65" s="9" t="n">
        <v>1836.82</v>
      </c>
      <c r="H65" s="9" t="n">
        <v>0</v>
      </c>
      <c r="I65" s="9" t="n">
        <v>1</v>
      </c>
      <c r="J65" s="9" t="n">
        <v>1837.82</v>
      </c>
      <c r="K65" s="9"/>
      <c r="L65" s="9"/>
      <c r="M65" s="10" t="n">
        <v>0.05</v>
      </c>
      <c r="N65" s="10" t="n">
        <v>0.05</v>
      </c>
    </row>
    <row r="66" customFormat="false" ht="12.8" hidden="false" customHeight="true" outlineLevel="0" collapsed="false">
      <c r="B66" s="8" t="s">
        <v>68</v>
      </c>
      <c r="C66" s="8"/>
      <c r="D66" s="8"/>
      <c r="E66" s="8"/>
      <c r="F66" s="8"/>
      <c r="G66" s="9" t="n">
        <v>49899.09</v>
      </c>
      <c r="H66" s="9" t="n">
        <v>0</v>
      </c>
      <c r="I66" s="9" t="n">
        <v>0</v>
      </c>
      <c r="J66" s="9" t="n">
        <v>49899.09</v>
      </c>
      <c r="K66" s="9"/>
      <c r="L66" s="9"/>
      <c r="M66" s="10" t="n">
        <v>0</v>
      </c>
      <c r="N66" s="10" t="n">
        <v>0</v>
      </c>
    </row>
    <row r="67" customFormat="false" ht="12.8" hidden="false" customHeight="true" outlineLevel="0" collapsed="false">
      <c r="B67" s="8" t="s">
        <v>69</v>
      </c>
      <c r="C67" s="8"/>
      <c r="D67" s="8"/>
      <c r="E67" s="8"/>
      <c r="F67" s="8"/>
      <c r="G67" s="9" t="n">
        <v>92351.06</v>
      </c>
      <c r="H67" s="9" t="n">
        <v>15303.59</v>
      </c>
      <c r="I67" s="9" t="n">
        <v>6702.6</v>
      </c>
      <c r="J67" s="9" t="n">
        <v>114357.25</v>
      </c>
      <c r="K67" s="9"/>
      <c r="L67" s="9"/>
      <c r="M67" s="10" t="n">
        <v>5.86</v>
      </c>
      <c r="N67" s="10" t="n">
        <v>19.24</v>
      </c>
    </row>
    <row r="68" customFormat="false" ht="12.8" hidden="false" customHeight="true" outlineLevel="0" collapsed="false">
      <c r="B68" s="8" t="s">
        <v>70</v>
      </c>
      <c r="C68" s="8"/>
      <c r="D68" s="8"/>
      <c r="E68" s="8"/>
      <c r="F68" s="8"/>
      <c r="G68" s="9" t="n">
        <v>125203.25</v>
      </c>
      <c r="H68" s="9" t="n">
        <v>18922.11</v>
      </c>
      <c r="I68" s="9" t="n">
        <v>1064.77</v>
      </c>
      <c r="J68" s="9" t="n">
        <v>145190.13</v>
      </c>
      <c r="K68" s="9"/>
      <c r="L68" s="9"/>
      <c r="M68" s="10" t="n">
        <v>0.73</v>
      </c>
      <c r="N68" s="10" t="n">
        <v>13.77</v>
      </c>
    </row>
    <row r="69" customFormat="false" ht="12.8" hidden="false" customHeight="true" outlineLevel="0" collapsed="false">
      <c r="B69" s="8" t="s">
        <v>71</v>
      </c>
      <c r="C69" s="8"/>
      <c r="D69" s="8"/>
      <c r="E69" s="8"/>
      <c r="F69" s="8"/>
      <c r="G69" s="9" t="n">
        <v>113161.21</v>
      </c>
      <c r="H69" s="9" t="n">
        <v>0</v>
      </c>
      <c r="I69" s="9" t="n">
        <v>0</v>
      </c>
      <c r="J69" s="9" t="n">
        <v>113161.21</v>
      </c>
      <c r="K69" s="9"/>
      <c r="L69" s="9"/>
      <c r="M69" s="10" t="n">
        <v>0</v>
      </c>
      <c r="N69" s="10" t="n">
        <v>0</v>
      </c>
    </row>
    <row r="70" customFormat="false" ht="12.8" hidden="false" customHeight="true" outlineLevel="0" collapsed="false">
      <c r="B70" s="8" t="s">
        <v>72</v>
      </c>
      <c r="C70" s="8"/>
      <c r="D70" s="8"/>
      <c r="E70" s="8"/>
      <c r="F70" s="8"/>
      <c r="G70" s="9" t="n">
        <v>83707.79</v>
      </c>
      <c r="H70" s="9" t="n">
        <v>12735.74</v>
      </c>
      <c r="I70" s="9" t="n">
        <v>4839.51</v>
      </c>
      <c r="J70" s="9" t="n">
        <v>101283.04</v>
      </c>
      <c r="K70" s="9"/>
      <c r="L70" s="9"/>
      <c r="M70" s="10" t="n">
        <v>4.78</v>
      </c>
      <c r="N70" s="10" t="n">
        <v>17.35</v>
      </c>
    </row>
    <row r="71" customFormat="false" ht="12.8" hidden="false" customHeight="true" outlineLevel="0" collapsed="false">
      <c r="B71" s="8" t="s">
        <v>73</v>
      </c>
      <c r="C71" s="8"/>
      <c r="D71" s="8"/>
      <c r="E71" s="8"/>
      <c r="F71" s="8"/>
      <c r="G71" s="9" t="n">
        <v>58618.4</v>
      </c>
      <c r="H71" s="9" t="n">
        <v>0</v>
      </c>
      <c r="I71" s="9" t="n">
        <v>0</v>
      </c>
      <c r="J71" s="9" t="n">
        <v>58618.4</v>
      </c>
      <c r="K71" s="9"/>
      <c r="L71" s="9"/>
      <c r="M71" s="10" t="n">
        <v>0</v>
      </c>
      <c r="N71" s="10" t="n">
        <v>0</v>
      </c>
    </row>
    <row r="72" customFormat="false" ht="12.8" hidden="false" customHeight="true" outlineLevel="0" collapsed="false">
      <c r="B72" s="8" t="s">
        <v>74</v>
      </c>
      <c r="C72" s="8"/>
      <c r="D72" s="8"/>
      <c r="E72" s="8"/>
      <c r="F72" s="8"/>
      <c r="G72" s="9" t="n">
        <v>190078.49</v>
      </c>
      <c r="H72" s="9" t="n">
        <v>0</v>
      </c>
      <c r="I72" s="9" t="n">
        <v>0</v>
      </c>
      <c r="J72" s="9" t="n">
        <v>190078.49</v>
      </c>
      <c r="K72" s="9"/>
      <c r="L72" s="9"/>
      <c r="M72" s="10" t="n">
        <v>0</v>
      </c>
      <c r="N72" s="10" t="n">
        <v>0</v>
      </c>
    </row>
    <row r="73" customFormat="false" ht="12.8" hidden="false" customHeight="true" outlineLevel="0" collapsed="false">
      <c r="B73" s="8" t="s">
        <v>75</v>
      </c>
      <c r="C73" s="8"/>
      <c r="D73" s="8"/>
      <c r="E73" s="8"/>
      <c r="F73" s="8"/>
      <c r="G73" s="9" t="n">
        <v>55960.14</v>
      </c>
      <c r="H73" s="9" t="n">
        <v>0</v>
      </c>
      <c r="I73" s="9" t="n">
        <v>0</v>
      </c>
      <c r="J73" s="9" t="n">
        <v>55960.14</v>
      </c>
      <c r="K73" s="9"/>
      <c r="L73" s="9"/>
      <c r="M73" s="10" t="n">
        <v>0</v>
      </c>
      <c r="N73" s="10" t="n">
        <v>0</v>
      </c>
    </row>
    <row r="74" customFormat="false" ht="12.8" hidden="false" customHeight="true" outlineLevel="0" collapsed="false">
      <c r="B74" s="8" t="s">
        <v>76</v>
      </c>
      <c r="C74" s="8"/>
      <c r="D74" s="8"/>
      <c r="E74" s="8"/>
      <c r="F74" s="8"/>
      <c r="G74" s="9" t="n">
        <v>97025.2</v>
      </c>
      <c r="H74" s="9" t="n">
        <v>14819.66</v>
      </c>
      <c r="I74" s="9" t="n">
        <v>286.86</v>
      </c>
      <c r="J74" s="9" t="n">
        <v>112131.72</v>
      </c>
      <c r="K74" s="9"/>
      <c r="L74" s="9"/>
      <c r="M74" s="10" t="n">
        <v>0.26</v>
      </c>
      <c r="N74" s="10" t="n">
        <v>13.47</v>
      </c>
    </row>
    <row r="75" customFormat="false" ht="12.8" hidden="false" customHeight="true" outlineLevel="0" collapsed="false">
      <c r="B75" s="8" t="s">
        <v>77</v>
      </c>
      <c r="C75" s="8"/>
      <c r="D75" s="8"/>
      <c r="E75" s="8"/>
      <c r="F75" s="8"/>
      <c r="G75" s="9" t="n">
        <v>290432.71</v>
      </c>
      <c r="H75" s="9" t="n">
        <v>0</v>
      </c>
      <c r="I75" s="9" t="n">
        <v>0</v>
      </c>
      <c r="J75" s="9" t="n">
        <v>290432.71</v>
      </c>
      <c r="K75" s="9"/>
      <c r="L75" s="9"/>
      <c r="M75" s="10" t="n">
        <v>0</v>
      </c>
      <c r="N75" s="10" t="n">
        <v>0</v>
      </c>
    </row>
    <row r="76" customFormat="false" ht="12.8" hidden="false" customHeight="true" outlineLevel="0" collapsed="false">
      <c r="B76" s="7" t="s">
        <v>12</v>
      </c>
      <c r="C76" s="7"/>
      <c r="D76" s="7"/>
      <c r="E76" s="7"/>
      <c r="F76" s="7"/>
      <c r="G76" s="12" t="n">
        <v>18293515.08</v>
      </c>
      <c r="H76" s="12" t="n">
        <v>1405588.61</v>
      </c>
      <c r="I76" s="12" t="n">
        <v>279215.31</v>
      </c>
      <c r="J76" s="12" t="n">
        <v>19978319</v>
      </c>
      <c r="K76" s="12"/>
      <c r="L76" s="12"/>
      <c r="M76" s="13" t="n">
        <v>1.4</v>
      </c>
      <c r="N76" s="13" t="n">
        <v>8.43</v>
      </c>
    </row>
    <row r="77" customFormat="false" ht="28.5" hidden="false" customHeight="true" outlineLevel="0" collapsed="false">
      <c r="B77" s="6" t="s">
        <v>78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</row>
    <row r="79" customFormat="false" ht="12.8" hidden="false" customHeight="true" outlineLevel="0" collapsed="false">
      <c r="B79" s="7" t="s">
        <v>8</v>
      </c>
      <c r="C79" s="7"/>
      <c r="D79" s="7"/>
      <c r="E79" s="7"/>
      <c r="F79" s="7"/>
      <c r="G79" s="7" t="s">
        <v>9</v>
      </c>
      <c r="H79" s="7" t="s">
        <v>10</v>
      </c>
      <c r="I79" s="7" t="s">
        <v>11</v>
      </c>
      <c r="J79" s="7" t="s">
        <v>12</v>
      </c>
      <c r="K79" s="7"/>
      <c r="L79" s="7"/>
      <c r="M79" s="7" t="s">
        <v>13</v>
      </c>
      <c r="N79" s="7" t="s">
        <v>14</v>
      </c>
    </row>
    <row r="80" customFormat="false" ht="12.8" hidden="false" customHeight="true" outlineLevel="0" collapsed="false">
      <c r="B80" s="8" t="s">
        <v>79</v>
      </c>
      <c r="C80" s="8"/>
      <c r="D80" s="8"/>
      <c r="E80" s="8"/>
      <c r="F80" s="8"/>
      <c r="G80" s="9" t="n">
        <v>18293515.08</v>
      </c>
      <c r="H80" s="9" t="n">
        <v>1405588.61</v>
      </c>
      <c r="I80" s="9" t="n">
        <v>279215.31</v>
      </c>
      <c r="J80" s="9" t="n">
        <v>19978319</v>
      </c>
      <c r="K80" s="9"/>
      <c r="L80" s="9"/>
      <c r="M80" s="10" t="n">
        <v>1.4</v>
      </c>
      <c r="N80" s="10" t="n">
        <v>8.43</v>
      </c>
    </row>
    <row r="81" customFormat="false" ht="12.8" hidden="false" customHeight="true" outlineLevel="0" collapsed="false">
      <c r="B81" s="7" t="s">
        <v>12</v>
      </c>
      <c r="C81" s="7"/>
      <c r="D81" s="7"/>
      <c r="E81" s="7"/>
      <c r="F81" s="7"/>
      <c r="G81" s="12" t="n">
        <v>18293515.08</v>
      </c>
      <c r="H81" s="12" t="n">
        <v>1405588.61</v>
      </c>
      <c r="I81" s="12" t="n">
        <v>279215.31</v>
      </c>
      <c r="J81" s="12" t="n">
        <v>19978319</v>
      </c>
      <c r="K81" s="12"/>
      <c r="L81" s="12"/>
      <c r="M81" s="13" t="n">
        <v>1.4</v>
      </c>
      <c r="N81" s="13" t="n">
        <v>8.43</v>
      </c>
    </row>
    <row r="82" customFormat="false" ht="4.5" hidden="false" customHeight="true" outlineLevel="0" collapsed="false"/>
  </sheetData>
  <mergeCells count="134">
    <mergeCell ref="B1:D3"/>
    <mergeCell ref="F1:O1"/>
    <mergeCell ref="F3:J4"/>
    <mergeCell ref="D6:K6"/>
    <mergeCell ref="D7:K7"/>
    <mergeCell ref="D9:K9"/>
    <mergeCell ref="A12:O12"/>
    <mergeCell ref="B13:F13"/>
    <mergeCell ref="J13:L13"/>
    <mergeCell ref="B14:F14"/>
    <mergeCell ref="J14:L14"/>
    <mergeCell ref="B15:F15"/>
    <mergeCell ref="J15:L15"/>
    <mergeCell ref="B16:F16"/>
    <mergeCell ref="J16:L16"/>
    <mergeCell ref="B17:F17"/>
    <mergeCell ref="J17:L17"/>
    <mergeCell ref="B18:F18"/>
    <mergeCell ref="J18:L18"/>
    <mergeCell ref="B19:F19"/>
    <mergeCell ref="J19:L19"/>
    <mergeCell ref="B20:F20"/>
    <mergeCell ref="J20:L20"/>
    <mergeCell ref="B21:F21"/>
    <mergeCell ref="J21:L21"/>
    <mergeCell ref="B23:O23"/>
    <mergeCell ref="B25:F25"/>
    <mergeCell ref="J25:L25"/>
    <mergeCell ref="B26:F26"/>
    <mergeCell ref="J26:L26"/>
    <mergeCell ref="B27:F27"/>
    <mergeCell ref="J27:L27"/>
    <mergeCell ref="B28:F28"/>
    <mergeCell ref="J28:L28"/>
    <mergeCell ref="B29:F29"/>
    <mergeCell ref="J29:L29"/>
    <mergeCell ref="B30:F30"/>
    <mergeCell ref="J30:L30"/>
    <mergeCell ref="B31:F31"/>
    <mergeCell ref="J31:L31"/>
    <mergeCell ref="B32:F32"/>
    <mergeCell ref="J32:L32"/>
    <mergeCell ref="B33:F33"/>
    <mergeCell ref="J33:L33"/>
    <mergeCell ref="B34:O34"/>
    <mergeCell ref="B36:F36"/>
    <mergeCell ref="J36:L36"/>
    <mergeCell ref="B37:F37"/>
    <mergeCell ref="J37:L37"/>
    <mergeCell ref="B38:F38"/>
    <mergeCell ref="J38:L38"/>
    <mergeCell ref="B39:F39"/>
    <mergeCell ref="J39:L39"/>
    <mergeCell ref="B40:F40"/>
    <mergeCell ref="J40:L40"/>
    <mergeCell ref="B41:F41"/>
    <mergeCell ref="J41:L41"/>
    <mergeCell ref="B42:F42"/>
    <mergeCell ref="J42:L42"/>
    <mergeCell ref="B43:F43"/>
    <mergeCell ref="J43:L43"/>
    <mergeCell ref="B44:F44"/>
    <mergeCell ref="J44:L44"/>
    <mergeCell ref="B45:F45"/>
    <mergeCell ref="J45:L45"/>
    <mergeCell ref="B46:F46"/>
    <mergeCell ref="J46:L46"/>
    <mergeCell ref="B47:F47"/>
    <mergeCell ref="J47:L47"/>
    <mergeCell ref="B48:F48"/>
    <mergeCell ref="J48:L48"/>
    <mergeCell ref="B49:F49"/>
    <mergeCell ref="J49:L49"/>
    <mergeCell ref="B50:F50"/>
    <mergeCell ref="J50:L50"/>
    <mergeCell ref="B51:F51"/>
    <mergeCell ref="J51:L51"/>
    <mergeCell ref="B52:F52"/>
    <mergeCell ref="J52:L52"/>
    <mergeCell ref="B53:F53"/>
    <mergeCell ref="J53:L53"/>
    <mergeCell ref="B54:F54"/>
    <mergeCell ref="J54:L54"/>
    <mergeCell ref="B55:F55"/>
    <mergeCell ref="J55:L55"/>
    <mergeCell ref="B56:F56"/>
    <mergeCell ref="J56:L56"/>
    <mergeCell ref="B57:F57"/>
    <mergeCell ref="J57:L57"/>
    <mergeCell ref="B58:F58"/>
    <mergeCell ref="J58:L58"/>
    <mergeCell ref="B59:F59"/>
    <mergeCell ref="J59:L59"/>
    <mergeCell ref="B60:F60"/>
    <mergeCell ref="J60:L60"/>
    <mergeCell ref="B61:F61"/>
    <mergeCell ref="J61:L61"/>
    <mergeCell ref="B62:F62"/>
    <mergeCell ref="J62:L62"/>
    <mergeCell ref="B63:F63"/>
    <mergeCell ref="J63:L63"/>
    <mergeCell ref="B64:F64"/>
    <mergeCell ref="J64:L64"/>
    <mergeCell ref="B65:F65"/>
    <mergeCell ref="J65:L65"/>
    <mergeCell ref="B66:F66"/>
    <mergeCell ref="J66:L66"/>
    <mergeCell ref="B67:F67"/>
    <mergeCell ref="J67:L67"/>
    <mergeCell ref="B68:F68"/>
    <mergeCell ref="J68:L68"/>
    <mergeCell ref="B69:F69"/>
    <mergeCell ref="J69:L69"/>
    <mergeCell ref="B70:F70"/>
    <mergeCell ref="J70:L70"/>
    <mergeCell ref="B71:F71"/>
    <mergeCell ref="J71:L71"/>
    <mergeCell ref="B72:F72"/>
    <mergeCell ref="J72:L72"/>
    <mergeCell ref="B73:F73"/>
    <mergeCell ref="J73:L73"/>
    <mergeCell ref="B74:F74"/>
    <mergeCell ref="J74:L74"/>
    <mergeCell ref="B75:F75"/>
    <mergeCell ref="J75:L75"/>
    <mergeCell ref="B76:F76"/>
    <mergeCell ref="J76:L76"/>
    <mergeCell ref="B77:O77"/>
    <mergeCell ref="B79:F79"/>
    <mergeCell ref="J79:L79"/>
    <mergeCell ref="B80:F80"/>
    <mergeCell ref="J80:L80"/>
    <mergeCell ref="B81:F81"/>
    <mergeCell ref="J81:L81"/>
  </mergeCells>
  <printOptions headings="false" gridLines="false" gridLinesSet="true" horizontalCentered="false" verticalCentered="false"/>
  <pageMargins left="0.590277777777778" right="0.590277777777778" top="0.196527777777778" bottom="0.393055555555556" header="0.511811023622047" footer="0.196527777777778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&amp;C&amp;"Tahoma,Normal"&amp;7&amp;K000000 Oficina: LAGO AGRIO Usuario: JARAMILLO JIMENEZ CARLOS ISRAEL Fecha Sistema: 30/06/2026 &amp;R&amp;"Tahoma,Normal"&amp;7&amp;K000000&amp;P de &amp;N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es-EC</dc:language>
  <cp:lastModifiedBy/>
  <dcterms:modified xsi:type="dcterms:W3CDTF">2026-06-30T19:10:34Z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