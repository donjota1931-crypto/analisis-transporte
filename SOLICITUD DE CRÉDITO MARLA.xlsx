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drawings/vmlDrawing1.vml" ContentType="application/vnd.openxmlformats-officedocument.vmlDrawing"/>
  <Override PartName="/xl/drawings/drawing1.xml" ContentType="application/vnd.openxmlformats-officedocument.drawing+xml"/>
  <Override PartName="/xl/styles.xml" ContentType="application/vnd.openxmlformats-officedocument.spreadsheetml.style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tables/table1.xml" ContentType="application/vnd.openxmlformats-officedocument.spreadsheetml.table+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1" activeTab="1"/>
  </bookViews>
  <sheets>
    <sheet name="BASE_DE_DATOS" sheetId="1" state="hidden" r:id="rId3"/>
    <sheet name="Solicitud_de_Crédito" sheetId="2" state="visible" r:id="rId4"/>
    <sheet name="Hoja1" sheetId="3" state="hidden" r:id="rId5"/>
    <sheet name="OFICIALES_DE_NEGOCIO" sheetId="4" state="hidden" r:id="rId6"/>
  </sheets>
  <definedNames>
    <definedName function="false" hidden="false" localSheetId="1" name="_xlnm.Print_Area" vbProcedure="false">Solicitud_de_Crédito!$A$1:$AO$274</definedName>
    <definedName function="false" hidden="false" name="Alícuota" vbProcedure="false">"NA()"</definedName>
    <definedName function="false" hidden="false" name="Certificados" vbProcedure="false">"NA()"</definedName>
    <definedName function="false" hidden="false" name="Comisión" vbProcedure="false">"NA()"</definedName>
    <definedName function="false" hidden="false" name="ICC" vbProcedure="false">"NA()"</definedName>
    <definedName function="false" hidden="false" name="otros" vbProcedure="false">"NA()"</definedName>
    <definedName function="false" hidden="false" name="otros_3" vbProcedure="false">"NA()"</definedName>
    <definedName function="false" hidden="false" name="plazo" vbProcedure="false">"NA()"</definedName>
    <definedName function="false" hidden="false" name="plazo_3" vbProcedure="false">"NA()"</definedName>
    <definedName function="false" hidden="false" name="Provisión" vbProcedure="false">"NA()"</definedName>
    <definedName function="false" hidden="false" name="puntaje" vbProcedure="false">"NA()"</definedName>
    <definedName function="false" hidden="false" name="saldo" vbProcedure="false">"NA()"</definedName>
    <definedName function="false" hidden="false" name="saldo_3" vbProcedure="false">"NA()"</definedName>
    <definedName function="false" hidden="false" name="SEGURO" vbProcedure="false">"NA()"</definedName>
    <definedName function="false" hidden="false" name="SHARED_FORMULA_2_13_2_13_1" vbProcedure="false">+!#REF!/!#REF!</definedName>
    <definedName function="false" hidden="false" name="SHARED_FORMULA_2_25_2_25_1" vbProcedure="false">+!#REF!/!#REF!</definedName>
    <definedName function="false" hidden="false" name="SHARED_FORMULA_2_37_2_37_1" vbProcedure="false">+!#REF!/!#REF!</definedName>
    <definedName function="false" hidden="false" name="SHARED_FORMULA_2_49_2_49_1" vbProcedure="false">"#REF!/#REF!"</definedName>
    <definedName function="false" hidden="false" name="SHARED_FORMULA_3_13_3_13_1" vbProcedure="false">+!#REF!*!#REF!</definedName>
    <definedName function="false" hidden="false" name="SHARED_FORMULA_3_25_3_25_1" vbProcedure="false">+!#REF!*!#REF!</definedName>
    <definedName function="false" hidden="false" name="SHARED_FORMULA_3_37_3_37_1" vbProcedure="false">+!#REF!*!#REF!</definedName>
    <definedName function="false" hidden="false" name="SHARED_FORMULA_3_49_3_49_1" vbProcedure="false">"#REF!*#REF!"</definedName>
    <definedName function="false" hidden="false" name="SHARED_FORMULA_7_49_7_49_1" vbProcedure="false">"#REF!/#REF!"</definedName>
    <definedName function="false" hidden="false" name="SHARED_FORMULA_8_49_8_49_1" vbProcedure="false">"#REF!*#REF!"</definedName>
    <definedName function="false" hidden="false" name="SOLCA" vbProcedure="false">"NA()"</definedName>
    <definedName function="false" hidden="false" localSheetId="3" name="SHARED_FORMULA_2_13_2_13_1" vbProcedure="false">+!#REF!/!#REF!</definedName>
    <definedName function="false" hidden="false" localSheetId="3" name="SHARED_FORMULA_2_25_2_25_1" vbProcedure="false">+!#REF!/!#REF!</definedName>
    <definedName function="false" hidden="false" localSheetId="3" name="SHARED_FORMULA_2_37_2_37_1" vbProcedure="false">+!#REF!/!#REF!</definedName>
    <definedName function="false" hidden="false" localSheetId="3" name="SHARED_FORMULA_2_49_2_49_1" vbProcedure="false">"#REF!/#REF!"</definedName>
    <definedName function="false" hidden="false" localSheetId="3" name="SHARED_FORMULA_3_13_3_13_1" vbProcedure="false">+!#REF!*!#REF!</definedName>
    <definedName function="false" hidden="false" localSheetId="3" name="SHARED_FORMULA_3_25_3_25_1" vbProcedure="false">+!#REF!*!#REF!</definedName>
    <definedName function="false" hidden="false" localSheetId="3" name="SHARED_FORMULA_3_37_3_37_1" vbProcedure="false">+!#REF!*!#REF!</definedName>
    <definedName function="false" hidden="false" localSheetId="3" name="SHARED_FORMULA_3_49_3_49_1" vbProcedure="false">"#REF!*#REF!"</definedName>
    <definedName function="false" hidden="false" localSheetId="3" name="SHARED_FORMULA_7_49_7_49_1" vbProcedure="false">"#REF!/#REF!"</definedName>
    <definedName function="false" hidden="false" localSheetId="3" name="SHARED_FORMULA_8_49_8_49_1" vbProcedure="false">"#REF!*#REF!"</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Autoría desconocida</author>
  </authors>
  <commentList>
    <comment ref="A235" authorId="0">
      <text>
        <r>
          <rPr>
            <sz val="10"/>
            <rFont val="Arial"/>
            <family val="2"/>
          </rPr>
          <t xml:space="preserve">Activo Corriente/Pasivo Corriente
</t>
        </r>
        <r>
          <rPr>
            <sz val="9"/>
            <color rgb="FF000000"/>
            <rFont val="Calibri"/>
            <family val="2"/>
            <charset val="1"/>
          </rPr>
          <t xml:space="preserve">- Indica qué proporción de deudas a corto plazo son cubiertas por el activo, cuya conversión en dinero corresponde aproximadamente al vencimiento de las deudas. (Se expresa en %).</t>
        </r>
      </text>
    </comment>
    <comment ref="A237" authorId="0">
      <text>
        <r>
          <rPr>
            <sz val="10"/>
            <rFont val="Arial"/>
            <family val="2"/>
          </rPr>
          <t xml:space="preserve">Activo Corriente- Inventario/Pasivo Corriente
</t>
        </r>
        <r>
          <rPr>
            <sz val="9"/>
            <color rgb="FF000000"/>
            <rFont val="Calibri"/>
            <family val="2"/>
            <charset val="1"/>
          </rPr>
          <t xml:space="preserve">- Se descartan de los activos corrientes, las cuentas que no son realizables de manera fácil. Proporciona una medida más exigente de la capacidad de pago a corto plazo de una empresa. (se expresa en Veces).</t>
        </r>
      </text>
    </comment>
    <comment ref="A239" authorId="0">
      <text>
        <r>
          <rPr>
            <sz val="10"/>
            <rFont val="Arial"/>
            <family val="2"/>
          </rPr>
          <t xml:space="preserve">Activo Corriente-Pasivo Corriente
</t>
        </r>
        <r>
          <rPr>
            <sz val="9"/>
            <color rgb="FF000000"/>
            <rFont val="Calibri"/>
            <family val="2"/>
            <charset val="1"/>
          </rPr>
          <t xml:space="preserve">- Es lo que le queda a la empresa después de saldar sus deudas inmediatas. Es el dinero del que dispone la empresa para poder operar diariamente. (Se expresa en Unidades Monetarias).</t>
        </r>
      </text>
    </comment>
    <comment ref="A241" authorId="0">
      <text>
        <r>
          <rPr>
            <sz val="10"/>
            <rFont val="Arial"/>
            <family val="2"/>
          </rPr>
          <t xml:space="preserve">Cuota Propuesta/Excedente Neto</t>
        </r>
      </text>
    </comment>
    <comment ref="A245" authorId="0">
      <text>
        <r>
          <rPr>
            <sz val="10"/>
            <rFont val="Arial"/>
            <family val="2"/>
          </rPr>
          <t xml:space="preserve">Utilidad neta/Ventas netas
</t>
        </r>
        <r>
          <rPr>
            <sz val="9"/>
            <color rgb="FF000000"/>
            <rFont val="Calibri"/>
            <family val="2"/>
            <charset val="1"/>
          </rPr>
          <t xml:space="preserve">- Indica el porcentaje de utilidad que tiene el negocio, respecto a las ventas realizadas</t>
        </r>
      </text>
    </comment>
    <comment ref="A247" authorId="0">
      <text>
        <r>
          <rPr>
            <sz val="10"/>
            <rFont val="Arial"/>
            <family val="2"/>
          </rPr>
          <t xml:space="preserve">Utilidad neta/Patrimonio
</t>
        </r>
        <r>
          <rPr>
            <sz val="9"/>
            <color rgb="FF000000"/>
            <rFont val="Calibri"/>
            <family val="2"/>
            <charset val="1"/>
          </rPr>
          <t xml:space="preserve">- Refleja el retorno de la empresa en función a los recursos propios.
(ROE)</t>
        </r>
      </text>
    </comment>
    <comment ref="A249" authorId="0">
      <text>
        <r>
          <rPr>
            <sz val="10"/>
            <rFont val="Arial"/>
            <family val="2"/>
          </rPr>
          <t xml:space="preserve">Utilidad Neta/Activos Totales
</t>
        </r>
        <r>
          <rPr>
            <sz val="9"/>
            <color rgb="FF000000"/>
            <rFont val="Calibri"/>
            <family val="2"/>
            <charset val="1"/>
          </rPr>
          <t xml:space="preserve">- Indica cómo la empresa maneja los activos existentes, mientras genera ganancias o utilidad.
(ROA)</t>
        </r>
      </text>
    </comment>
    <comment ref="F172" authorId="0">
      <text>
        <r>
          <rPr>
            <sz val="10"/>
            <rFont val="Arial"/>
            <family val="2"/>
          </rPr>
          <t xml:space="preserve">Especificar caracteristicas principales del bien
</t>
        </r>
        <r>
          <rPr>
            <sz val="9"/>
            <color rgb="FF000000"/>
            <rFont val="Calibri"/>
            <family val="2"/>
            <charset val="1"/>
          </rPr>
          <t xml:space="preserve">Ejm. Casa dos piso color azul
- Obra Negra- Obra Gris</t>
        </r>
      </text>
    </comment>
    <comment ref="U235" authorId="0">
      <text>
        <r>
          <rPr>
            <sz val="10"/>
            <rFont val="Arial"/>
            <family val="2"/>
          </rPr>
          <t xml:space="preserve">Cuentas por Cobrar/(Ventas Anuales/360)
</t>
        </r>
        <r>
          <rPr>
            <sz val="9"/>
            <color rgb="FF000000"/>
            <rFont val="Calibri"/>
            <family val="2"/>
            <charset val="1"/>
          </rPr>
          <t xml:space="preserve">- Representa el número de días, que tarda el negocio en recuperar sus ventas</t>
        </r>
      </text>
    </comment>
    <comment ref="U237" authorId="0">
      <text>
        <r>
          <rPr>
            <sz val="10"/>
            <rFont val="Arial"/>
            <family val="2"/>
          </rPr>
          <t xml:space="preserve">Cuentas Por Pagar/(Compras Anuales/360)
</t>
        </r>
        <r>
          <rPr>
            <sz val="9"/>
            <color rgb="FF000000"/>
            <rFont val="Calibri"/>
            <family val="2"/>
            <charset val="1"/>
          </rPr>
          <t xml:space="preserve">- Representa el tiempo promedio que tarda el negocio en pagar sus compras a crédito</t>
        </r>
      </text>
    </comment>
    <comment ref="U239" authorId="0">
      <text>
        <r>
          <rPr>
            <sz val="10"/>
            <rFont val="Arial"/>
            <family val="2"/>
          </rPr>
          <t xml:space="preserve">Inventarios/(Costo de Ventas Anuales/360)
</t>
        </r>
        <r>
          <rPr>
            <sz val="9"/>
            <color rgb="FF000000"/>
            <rFont val="Calibri"/>
            <family val="2"/>
            <charset val="1"/>
          </rPr>
          <t xml:space="preserve">- Expresa el número promedio de días que tarda el inventario, para hacerse efectivo luego de su venta</t>
        </r>
      </text>
    </comment>
    <comment ref="U241" authorId="0">
      <text>
        <r>
          <rPr>
            <sz val="10"/>
            <rFont val="Arial"/>
            <family val="2"/>
          </rPr>
          <t xml:space="preserve">Ventas/Activos Totales
</t>
        </r>
        <r>
          <rPr>
            <sz val="9"/>
            <color rgb="FF000000"/>
            <rFont val="Calibri"/>
            <family val="2"/>
            <charset val="1"/>
          </rPr>
          <t xml:space="preserve">- Expresa el número de veces que las ventas rotan con relación a los activos totales</t>
        </r>
      </text>
    </comment>
    <comment ref="U245" authorId="0">
      <text>
        <r>
          <rPr>
            <sz val="10"/>
            <rFont val="Arial"/>
            <family val="2"/>
          </rPr>
          <t xml:space="preserve">Pasivo Corriente/Pasivo Total
</t>
        </r>
        <r>
          <rPr>
            <sz val="9"/>
            <color rgb="FF000000"/>
            <rFont val="Calibri"/>
            <family val="2"/>
            <charset val="1"/>
          </rPr>
          <t xml:space="preserve">- Indica el porcentaje de deuda a corto plazo, que se encuentra financiada por terceros, respecto a la deuda total.</t>
        </r>
      </text>
    </comment>
    <comment ref="U247" authorId="0">
      <text>
        <r>
          <rPr>
            <sz val="10"/>
            <rFont val="Arial"/>
            <family val="2"/>
          </rPr>
          <t xml:space="preserve">Pasivo Total/Activo Total
</t>
        </r>
        <r>
          <rPr>
            <sz val="9"/>
            <color rgb="FF000000"/>
            <rFont val="Calibri"/>
            <family val="2"/>
            <charset val="1"/>
          </rPr>
          <t xml:space="preserve">- Indica en qué grado y de qué forma participan los acrredores, dentro del financiamiento de la empresa.</t>
        </r>
      </text>
    </comment>
    <comment ref="U249" authorId="0">
      <text>
        <r>
          <rPr>
            <sz val="10"/>
            <rFont val="Arial"/>
            <family val="2"/>
          </rPr>
          <t xml:space="preserve">Pasivo Total/Patrimonio Total
</t>
        </r>
        <r>
          <rPr>
            <sz val="9"/>
            <color rgb="FF000000"/>
            <rFont val="Calibri"/>
            <family val="2"/>
            <charset val="1"/>
          </rPr>
          <t xml:space="preserve">- Representa el porcentaje calculado de la deuda total sobre el patrimonio, indicando el porcentaje en que se encuentra comprometido.</t>
        </r>
      </text>
    </comment>
  </commentList>
</comments>
</file>

<file path=xl/sharedStrings.xml><?xml version="1.0" encoding="utf-8"?>
<sst xmlns="http://schemas.openxmlformats.org/spreadsheetml/2006/main" count="806" uniqueCount="608">
  <si>
    <t xml:space="preserve">ETNIA</t>
  </si>
  <si>
    <t xml:space="preserve">ESTADO CIVIL</t>
  </si>
  <si>
    <t xml:space="preserve">NIVEL INSTRUCCIÓN</t>
  </si>
  <si>
    <t xml:space="preserve">TIPO VIVIENDA</t>
  </si>
  <si>
    <t xml:space="preserve">CONDICIÓN LOCAL</t>
  </si>
  <si>
    <t xml:space="preserve">Afrodescendiente</t>
  </si>
  <si>
    <t xml:space="preserve">Soltero/a</t>
  </si>
  <si>
    <t xml:space="preserve">Sin Educación</t>
  </si>
  <si>
    <t xml:space="preserve">Propia</t>
  </si>
  <si>
    <t xml:space="preserve">Propio</t>
  </si>
  <si>
    <t xml:space="preserve">Cholo/a</t>
  </si>
  <si>
    <t xml:space="preserve">Casado/a</t>
  </si>
  <si>
    <t xml:space="preserve">Prebásica</t>
  </si>
  <si>
    <t xml:space="preserve">Prestada</t>
  </si>
  <si>
    <t xml:space="preserve">Arrendado</t>
  </si>
  <si>
    <t xml:space="preserve">Indígena</t>
  </si>
  <si>
    <t xml:space="preserve">Viudo/a</t>
  </si>
  <si>
    <t xml:space="preserve">Básico</t>
  </si>
  <si>
    <t xml:space="preserve">Arrendada</t>
  </si>
  <si>
    <t xml:space="preserve">Familiares</t>
  </si>
  <si>
    <t xml:space="preserve">Mulato/a</t>
  </si>
  <si>
    <t xml:space="preserve">Divorciado/a</t>
  </si>
  <si>
    <t xml:space="preserve">Secundario</t>
  </si>
  <si>
    <t xml:space="preserve">Anticresis</t>
  </si>
  <si>
    <t xml:space="preserve">Montubio/a</t>
  </si>
  <si>
    <t xml:space="preserve">Unión Hecho</t>
  </si>
  <si>
    <t xml:space="preserve">Técnico</t>
  </si>
  <si>
    <t xml:space="preserve">No aplica</t>
  </si>
  <si>
    <t xml:space="preserve">Mestizo/a</t>
  </si>
  <si>
    <t xml:space="preserve">Cas. Disol. Cony.</t>
  </si>
  <si>
    <t xml:space="preserve">Superior</t>
  </si>
  <si>
    <t xml:space="preserve">Herederos</t>
  </si>
  <si>
    <t xml:space="preserve">Negro/a</t>
  </si>
  <si>
    <t xml:space="preserve">Postgrado</t>
  </si>
  <si>
    <t xml:space="preserve">Otro/a</t>
  </si>
  <si>
    <t xml:space="preserve">OFICINAS</t>
  </si>
  <si>
    <t xml:space="preserve">FORMA DE PAGO</t>
  </si>
  <si>
    <t xml:space="preserve">DÍAS- FORMA DE PAGO</t>
  </si>
  <si>
    <t xml:space="preserve">GARANTÍA</t>
  </si>
  <si>
    <t xml:space="preserve">ACTIVIDAD ECONÓMICA</t>
  </si>
  <si>
    <t xml:space="preserve">LUGAR DE VENTAS</t>
  </si>
  <si>
    <t xml:space="preserve">TULCAN</t>
  </si>
  <si>
    <t xml:space="preserve">Diario</t>
  </si>
  <si>
    <t xml:space="preserve">Autoliquidable</t>
  </si>
  <si>
    <t xml:space="preserve">Independiente</t>
  </si>
  <si>
    <t xml:space="preserve">Local</t>
  </si>
  <si>
    <t xml:space="preserve">SAN GABRIEL</t>
  </si>
  <si>
    <t xml:space="preserve">Semanal</t>
  </si>
  <si>
    <t xml:space="preserve">Personal</t>
  </si>
  <si>
    <t xml:space="preserve">Dependiente</t>
  </si>
  <si>
    <t xml:space="preserve">Ambulante</t>
  </si>
  <si>
    <t xml:space="preserve">BOLIVAR</t>
  </si>
  <si>
    <t xml:space="preserve">Mensual</t>
  </si>
  <si>
    <t xml:space="preserve">Hipotecaria</t>
  </si>
  <si>
    <t xml:space="preserve">No trabaja</t>
  </si>
  <si>
    <t xml:space="preserve">Puerta a puerta</t>
  </si>
  <si>
    <t xml:space="preserve">MIRA</t>
  </si>
  <si>
    <t xml:space="preserve">Trimestral</t>
  </si>
  <si>
    <t xml:space="preserve">Prendario</t>
  </si>
  <si>
    <t xml:space="preserve">IBARRA</t>
  </si>
  <si>
    <t xml:space="preserve">Semestral</t>
  </si>
  <si>
    <t xml:space="preserve">FOGEPS</t>
  </si>
  <si>
    <t xml:space="preserve">IBARRA MAYORISTA</t>
  </si>
  <si>
    <t xml:space="preserve">Al Vencimiento</t>
  </si>
  <si>
    <t xml:space="preserve">Sin Garante</t>
  </si>
  <si>
    <t xml:space="preserve">IBARRA AMAZONAS</t>
  </si>
  <si>
    <t xml:space="preserve">ATUNTAQUI</t>
  </si>
  <si>
    <t xml:space="preserve">Si</t>
  </si>
  <si>
    <t xml:space="preserve">OTAVALO</t>
  </si>
  <si>
    <t xml:space="preserve">No</t>
  </si>
  <si>
    <t xml:space="preserve">CAYAMBE</t>
  </si>
  <si>
    <t xml:space="preserve">QUITO</t>
  </si>
  <si>
    <t xml:space="preserve">GUAMANI</t>
  </si>
  <si>
    <t xml:space="preserve">TUMBACO</t>
  </si>
  <si>
    <t xml:space="preserve">LAGO AGRIO</t>
  </si>
  <si>
    <t xml:space="preserve">JULIO ANDRADE</t>
  </si>
  <si>
    <t xml:space="preserve">CUENCA</t>
  </si>
  <si>
    <t xml:space="preserve">TIPO</t>
  </si>
  <si>
    <t xml:space="preserve">PRODUCTO</t>
  </si>
  <si>
    <t xml:space="preserve">Productivo</t>
  </si>
  <si>
    <t xml:space="preserve">Mensualidad</t>
  </si>
  <si>
    <t xml:space="preserve">Product. Refinanc.</t>
  </si>
  <si>
    <t xml:space="preserve">Product. Reestruct.</t>
  </si>
  <si>
    <t xml:space="preserve">Ordinario</t>
  </si>
  <si>
    <t xml:space="preserve">Microcrédito</t>
  </si>
  <si>
    <t xml:space="preserve">Ordinario sin garante</t>
  </si>
  <si>
    <t xml:space="preserve">Micro Refinanciado</t>
  </si>
  <si>
    <t xml:space="preserve">Hipotecario</t>
  </si>
  <si>
    <t xml:space="preserve">Micro Reestruct.</t>
  </si>
  <si>
    <t xml:space="preserve">Especial instituciones</t>
  </si>
  <si>
    <t xml:space="preserve">Inmobiliario</t>
  </si>
  <si>
    <t xml:space="preserve">Especial Com. Transporte</t>
  </si>
  <si>
    <t xml:space="preserve">Inmob. Refinanc.</t>
  </si>
  <si>
    <t xml:space="preserve">Vivienda</t>
  </si>
  <si>
    <t xml:space="preserve">Inmob. Reestruct.</t>
  </si>
  <si>
    <t xml:space="preserve">Educativo</t>
  </si>
  <si>
    <t xml:space="preserve">Consumo</t>
  </si>
  <si>
    <t xml:space="preserve">Vehicular</t>
  </si>
  <si>
    <t xml:space="preserve">Consumo Refinanc.</t>
  </si>
  <si>
    <t xml:space="preserve">MIPYME</t>
  </si>
  <si>
    <t xml:space="preserve">Consumo Reestruct.</t>
  </si>
  <si>
    <t xml:space="preserve">MIPYME MUJER</t>
  </si>
  <si>
    <t xml:space="preserve">Finanzas Pop. 1 -10000</t>
  </si>
  <si>
    <t xml:space="preserve">Educativo Refinanc.</t>
  </si>
  <si>
    <t xml:space="preserve">Finanz. Pop. 10001 -20000</t>
  </si>
  <si>
    <t xml:space="preserve">Educativo Reestruct.</t>
  </si>
  <si>
    <t xml:space="preserve">Sin Gar. Fin. Pop. 1- 10000</t>
  </si>
  <si>
    <t xml:space="preserve">Sin Gar. Fin. Pop. 10001-20000</t>
  </si>
  <si>
    <t xml:space="preserve">SOLICITUD DE CRÉDITO Y LEVANTAMIENTO DE INFORMACIÓN</t>
  </si>
  <si>
    <t xml:space="preserve">PP-CL-IN 2.3.3-C</t>
  </si>
  <si>
    <t xml:space="preserve">1. DATOS DEL CRÉDITO</t>
  </si>
  <si>
    <t xml:space="preserve">Solicitante</t>
  </si>
  <si>
    <t xml:space="preserve">X</t>
  </si>
  <si>
    <t xml:space="preserve">Garante</t>
  </si>
  <si>
    <t xml:space="preserve">Oficina</t>
  </si>
  <si>
    <t xml:space="preserve">Fecha</t>
  </si>
  <si>
    <t xml:space="preserve">Oficial de Negocios</t>
  </si>
  <si>
    <t xml:space="preserve">Original</t>
  </si>
  <si>
    <t xml:space="preserve">Novado</t>
  </si>
  <si>
    <t xml:space="preserve">Refinanciado</t>
  </si>
  <si>
    <t xml:space="preserve">Reestructurado</t>
  </si>
  <si>
    <t xml:space="preserve">7-03</t>
  </si>
  <si>
    <t xml:space="preserve">Segmentación</t>
  </si>
  <si>
    <t xml:space="preserve">Tasa de Interés</t>
  </si>
  <si>
    <t xml:space="preserve">Monto</t>
  </si>
  <si>
    <t xml:space="preserve">Plazo meses</t>
  </si>
  <si>
    <t xml:space="preserve">Cuota fija</t>
  </si>
  <si>
    <t xml:space="preserve">Forma Pago</t>
  </si>
  <si>
    <t xml:space="preserve">Garantía</t>
  </si>
  <si>
    <t xml:space="preserve">Destino del Crédito</t>
  </si>
  <si>
    <t xml:space="preserve">SUSTITUCIÓN DE EXTERNOS MICRO 36.39% y SUSTITUCIÓN DE EXTERNOS CONSUMO 56.10%</t>
  </si>
  <si>
    <t xml:space="preserve">2. DATOS PERSONALES</t>
  </si>
  <si>
    <t xml:space="preserve">Socio</t>
  </si>
  <si>
    <t xml:space="preserve">Apellidos y Nombres</t>
  </si>
  <si>
    <t xml:space="preserve">ORTIZ GALLARDO MARLA IBETH</t>
  </si>
  <si>
    <t xml:space="preserve">Cédula</t>
  </si>
  <si>
    <t xml:space="preserve">Nacionalidad</t>
  </si>
  <si>
    <t xml:space="preserve">ECUATORIANA</t>
  </si>
  <si>
    <t xml:space="preserve">Lugar y Fecha de Nacimiento</t>
  </si>
  <si>
    <t xml:space="preserve">SUCUMBIOS / LAGO AGRIO</t>
  </si>
  <si>
    <t xml:space="preserve">1987/02/27</t>
  </si>
  <si>
    <t xml:space="preserve">Edad</t>
  </si>
  <si>
    <t xml:space="preserve">Est. Civil</t>
  </si>
  <si>
    <t xml:space="preserve">Género</t>
  </si>
  <si>
    <t xml:space="preserve">F</t>
  </si>
  <si>
    <t xml:space="preserve">Etnia</t>
  </si>
  <si>
    <t xml:space="preserve">Niv. Instrucción</t>
  </si>
  <si>
    <t xml:space="preserve">Profesión</t>
  </si>
  <si>
    <t xml:space="preserve">BACHILLER</t>
  </si>
  <si>
    <t xml:space="preserve">Cargas Familiares</t>
  </si>
  <si>
    <t xml:space="preserve">3. DATOS DOMICILIO</t>
  </si>
  <si>
    <t xml:space="preserve">Provincia</t>
  </si>
  <si>
    <t xml:space="preserve">SUCUMBIOS</t>
  </si>
  <si>
    <t xml:space="preserve">Cantón</t>
  </si>
  <si>
    <t xml:space="preserve">Parroquia</t>
  </si>
  <si>
    <t xml:space="preserve">NUEVA LOJA</t>
  </si>
  <si>
    <t xml:space="preserve">Sector o barrio</t>
  </si>
  <si>
    <t xml:space="preserve">JUAN MONTALVO</t>
  </si>
  <si>
    <t xml:space="preserve">Calle principal</t>
  </si>
  <si>
    <t xml:space="preserve">PUERTO RICO</t>
  </si>
  <si>
    <t xml:space="preserve">Calle secundaria</t>
  </si>
  <si>
    <t xml:space="preserve">SN</t>
  </si>
  <si>
    <t xml:space="preserve">Ref.</t>
  </si>
  <si>
    <t xml:space="preserve">TRAS EL HOTEL AMAZONAS</t>
  </si>
  <si>
    <t xml:space="preserve">Tipo vivienda</t>
  </si>
  <si>
    <t xml:space="preserve">Propietario</t>
  </si>
  <si>
    <t xml:space="preserve">Tfno. Fijo</t>
  </si>
  <si>
    <t xml:space="preserve">Celular</t>
  </si>
  <si>
    <t xml:space="preserve">Años Resid.</t>
  </si>
  <si>
    <t xml:space="preserve"> </t>
  </si>
  <si>
    <t xml:space="preserve">Tfno. Fijo socio</t>
  </si>
  <si>
    <t xml:space="preserve">Celular Socio</t>
  </si>
  <si>
    <t xml:space="preserve">Correo Electrónico</t>
  </si>
  <si>
    <t xml:space="preserve">marlitaortiz@hotmail.com</t>
  </si>
  <si>
    <t xml:space="preserve">4. DATOS CÓNYUGE O CONVIVIENTE</t>
  </si>
  <si>
    <t xml:space="preserve">DIAZ CHUQUIRIMA JORGE VICENTE</t>
  </si>
  <si>
    <t xml:space="preserve">LOJA / CALVAS 07/06/1965</t>
  </si>
  <si>
    <t xml:space="preserve">M</t>
  </si>
  <si>
    <t xml:space="preserve">nn@nn.nn</t>
  </si>
  <si>
    <t xml:space="preserve">5. ACTIVIDAD ECONÓMICA (Situación Laboral)</t>
  </si>
  <si>
    <t xml:space="preserve">Cónyuge</t>
  </si>
  <si>
    <t xml:space="preserve">6. ACTIVIDAD DEPENDIENTE</t>
  </si>
  <si>
    <t xml:space="preserve">Nombre de la empresa</t>
  </si>
  <si>
    <t xml:space="preserve">GAD PROVINCIAL DE MORONA SANTIAGO</t>
  </si>
  <si>
    <t xml:space="preserve">Provincia/ Cantón/ Ciudad</t>
  </si>
  <si>
    <t xml:space="preserve">MORONA SANTIAGO – MACAS - ECUADOR</t>
  </si>
  <si>
    <t xml:space="preserve">Dirección de Trabajo</t>
  </si>
  <si>
    <t xml:space="preserve">Simón Bolivar y 24 de Mayo </t>
  </si>
  <si>
    <t xml:space="preserve">Teléfono de trabajo</t>
  </si>
  <si>
    <t xml:space="preserve">072700116 - 072742430 </t>
  </si>
  <si>
    <t xml:space="preserve">Cargo</t>
  </si>
  <si>
    <t xml:space="preserve">TOPÓGRAFO</t>
  </si>
  <si>
    <t xml:space="preserve">Fecha de ingreso empleo</t>
  </si>
  <si>
    <t xml:space="preserve">08/1996</t>
  </si>
  <si>
    <t xml:space="preserve">Ingreso mensual</t>
  </si>
  <si>
    <t xml:space="preserve">763.45 USD</t>
  </si>
  <si>
    <t xml:space="preserve">Afiliado al IESS</t>
  </si>
  <si>
    <t xml:space="preserve">SI</t>
  </si>
  <si>
    <t xml:space="preserve">NO</t>
  </si>
  <si>
    <t xml:space="preserve">x</t>
  </si>
  <si>
    <t xml:space="preserve">7. ACTIVIDAD INDEPENDIENTE</t>
  </si>
  <si>
    <t xml:space="preserve">Nombre de la Microempresa</t>
  </si>
  <si>
    <t xml:space="preserve">MUNDO DISNEY </t>
  </si>
  <si>
    <t xml:space="preserve">Actividad Económica</t>
  </si>
  <si>
    <t xml:space="preserve">COMERCIO DE PRENDAS DE VESTIR</t>
  </si>
  <si>
    <t xml:space="preserve">Antigüedad (años)</t>
  </si>
  <si>
    <t xml:space="preserve">Número empleados</t>
  </si>
  <si>
    <t xml:space="preserve">Dirección Microempresa</t>
  </si>
  <si>
    <t xml:space="preserve">BARRIO CENTRAL</t>
  </si>
  <si>
    <t xml:space="preserve">Condición local</t>
  </si>
  <si>
    <t xml:space="preserve">Lugar de Ventas</t>
  </si>
  <si>
    <t xml:space="preserve">CENTRAL</t>
  </si>
  <si>
    <t xml:space="preserve">Calle Principal</t>
  </si>
  <si>
    <t xml:space="preserve">VIA QUITO</t>
  </si>
  <si>
    <t xml:space="preserve">Calle Secundaria</t>
  </si>
  <si>
    <t xml:space="preserve">MANABI</t>
  </si>
  <si>
    <t xml:space="preserve">A LADO DE ALMACÉN CHIMBORAZO</t>
  </si>
  <si>
    <t xml:space="preserve">8. REFERENCIAS PERSONALES Y FAMILIARES</t>
  </si>
  <si>
    <t xml:space="preserve">Nombre</t>
  </si>
  <si>
    <t xml:space="preserve">Dirección</t>
  </si>
  <si>
    <t xml:space="preserve">Teléfono</t>
  </si>
  <si>
    <t xml:space="preserve">Parentesco</t>
  </si>
  <si>
    <t xml:space="preserve">CATIA ORTIZ</t>
  </si>
  <si>
    <t xml:space="preserve">B JUAN MONTALVO</t>
  </si>
  <si>
    <t xml:space="preserve">AMIGA</t>
  </si>
  <si>
    <t xml:space="preserve">MARISELI ORTIZ</t>
  </si>
  <si>
    <t xml:space="preserve">B LAS GARZAS</t>
  </si>
  <si>
    <t xml:space="preserve">HERMANO</t>
  </si>
  <si>
    <t xml:space="preserve">FANNY MOLINA</t>
  </si>
  <si>
    <t xml:space="preserve">AMIGO</t>
  </si>
  <si>
    <t xml:space="preserve">9. CROQUIS O COORDENADAS DOMICILIO</t>
  </si>
  <si>
    <t xml:space="preserve">10. CROQUIS O COORDENADAS NEGOCIO</t>
  </si>
  <si>
    <t xml:space="preserve">0.07848120283979226, -76.89569867357349</t>
  </si>
  <si>
    <t xml:space="preserve">0.08255730509098418, -76.88198149036359</t>
  </si>
  <si>
    <t xml:space="preserve">Autorizo (amos) expresa e irrevocablemente a la Cooperativa de Ahorro y Crédito Pablo Muñoz Vega Ltda., , para que obtenga cuantas veces lo requiera, y de cualquier fuente de información incluido Buros de crédito, información Histórica crediticia relacionada con el comportamiento de mis cuentas, operaciones, etc, y en general sobre el cumplimiento de las obligaciones e información referente a los activos, pasivos y contingentes. Así mismo declaro que la Cooperativa Pablo Muñoz Vega Ltda., , queda expresamente autorizada para que en cualquier momento pueda utilizar, transferir o entregar aquella información a Autoridades competentes, organismos de control, Burós de Información crediticia u otras entidades autorizadas. Declaro (amos) bajo juramento que toda la información proporcionada en esta solicitud es verdadera y exacta. La cooperativa podrá realizar las verificaciones que estime oportunas sobre información aquí detallada. Autorizo (amos) a la cooperativa Pablo Muñoz Vega Ltda., a debitar de mis (nuestros) ahorros, los valores necesarios para cancelar este préstamo. Declaro (amos) que la firma que hago (hacemos) constar en esta solicitud es la que utilizo (amos) en todos mis (nuestros) actos públicos y privados. Me (nos) comprometo a efectuar un ahorro mensual de acuerdo a las disposiciones de la institución.
Por otra parte, manifiesto y autorizo de manera libre y voluntaria a la Cooperativa de Ahorro y Crédito Pablo Muñoz Vega Ltda., para que realice el tratamiento de mis datos y/o de mi representada de acuerdo a lo que establece la ley orgánica de protección de datos personal del Ecuador. Así mismo manifiesto mi consentimiento y autorizo tratar y mantener mis datos y/o información o los de mi representada, lo que fuera del caso, incluso una vez finalizada cualquier relación contractual y/o de prestación de servicios, en los plazos establecidos por la ley.
</t>
  </si>
  <si>
    <t xml:space="preserve">ESPACIO RESERVADO PARA LA COOPERATIVA</t>
  </si>
  <si>
    <t xml:space="preserve">UAFE</t>
  </si>
  <si>
    <t xml:space="preserve">PEP´S</t>
  </si>
  <si>
    <t xml:space="preserve">SINDICADOS</t>
  </si>
  <si>
    <t xml:space="preserve">FIRMA SOLICITANTE (GARANTE)</t>
  </si>
  <si>
    <t xml:space="preserve">FIRMA CÓNYUGE O CODEUDOR</t>
  </si>
  <si>
    <t xml:space="preserve">Revisado por:</t>
  </si>
  <si>
    <t xml:space="preserve">ANÁLISIS ECONÓMICO</t>
  </si>
  <si>
    <t xml:space="preserve">11. Actividad Independiente</t>
  </si>
  <si>
    <t xml:space="preserve">11.1. Actividades de Comercio</t>
  </si>
  <si>
    <t xml:space="preserve">Producto</t>
  </si>
  <si>
    <t xml:space="preserve">1.Uni. Vend.</t>
  </si>
  <si>
    <t xml:space="preserve">2.Unid. Verif</t>
  </si>
  <si>
    <t xml:space="preserve">3.Cost Unit.</t>
  </si>
  <si>
    <t xml:space="preserve">4.Precio Vent</t>
  </si>
  <si>
    <t xml:space="preserve">5.Ventas (1*4)</t>
  </si>
  <si>
    <t xml:space="preserve">6.Cost (1*3)</t>
  </si>
  <si>
    <t xml:space="preserve">7.Invent (2*3)</t>
  </si>
  <si>
    <t xml:space="preserve">8.Utilidad</t>
  </si>
  <si>
    <t xml:space="preserve">9.% Rentabilidad</t>
  </si>
  <si>
    <t xml:space="preserve">VESTIDOS</t>
  </si>
  <si>
    <t xml:space="preserve">PANTALONES </t>
  </si>
  <si>
    <t xml:space="preserve">GORRAS </t>
  </si>
  <si>
    <t xml:space="preserve">CAMISETAS</t>
  </si>
  <si>
    <t xml:space="preserve">MEDIAS </t>
  </si>
  <si>
    <t xml:space="preserve">BVD</t>
  </si>
  <si>
    <t xml:space="preserve">ROPA INTERIOR</t>
  </si>
  <si>
    <t xml:space="preserve">ZAPATOS NIÑO</t>
  </si>
  <si>
    <t xml:space="preserve">ARRIENDO MAS SERV BAS</t>
  </si>
  <si>
    <t xml:space="preserve">TOTALES</t>
  </si>
  <si>
    <t xml:space="preserve">11.2 Actividad de Servicios</t>
  </si>
  <si>
    <t xml:space="preserve">Ventas Mensuales</t>
  </si>
  <si>
    <t xml:space="preserve">Compras Mensuales</t>
  </si>
  <si>
    <t xml:space="preserve">Tipo de servicio</t>
  </si>
  <si>
    <t xml:space="preserve">Cantidad</t>
  </si>
  <si>
    <t xml:space="preserve">Valor Unit.</t>
  </si>
  <si>
    <t xml:space="preserve">Valor Tot.</t>
  </si>
  <si>
    <t xml:space="preserve">Detalle</t>
  </si>
  <si>
    <t xml:space="preserve">VENTAS TOTALES</t>
  </si>
  <si>
    <t xml:space="preserve">COMPRAS TOTALES</t>
  </si>
  <si>
    <t xml:space="preserve">UTILIDAD BRUTA</t>
  </si>
  <si>
    <t xml:space="preserve">11.3 Actividades de Producción</t>
  </si>
  <si>
    <t xml:space="preserve">Producto 1</t>
  </si>
  <si>
    <t xml:space="preserve">Producto 2</t>
  </si>
  <si>
    <t xml:space="preserve">Insumos</t>
  </si>
  <si>
    <t xml:space="preserve">Cost. Unit.</t>
  </si>
  <si>
    <t xml:space="preserve">Total</t>
  </si>
  <si>
    <t xml:space="preserve">Costo total</t>
  </si>
  <si>
    <t xml:space="preserve">Unidades Producidas</t>
  </si>
  <si>
    <t xml:space="preserve">Unidades vendidas</t>
  </si>
  <si>
    <t xml:space="preserve">Precio</t>
  </si>
  <si>
    <t xml:space="preserve">Ventas</t>
  </si>
  <si>
    <t xml:space="preserve">Costo</t>
  </si>
  <si>
    <t xml:space="preserve">Utilidad</t>
  </si>
  <si>
    <t xml:space="preserve">11.4 Actividades de Transporte</t>
  </si>
  <si>
    <t xml:space="preserve">Tipo</t>
  </si>
  <si>
    <t xml:space="preserve">N° Disco</t>
  </si>
  <si>
    <t xml:space="preserve">Placas</t>
  </si>
  <si>
    <t xml:space="preserve">Marca</t>
  </si>
  <si>
    <t xml:space="preserve">Año</t>
  </si>
  <si>
    <t xml:space="preserve">Cap. de Pasajeros</t>
  </si>
  <si>
    <t xml:space="preserve">Ruta</t>
  </si>
  <si>
    <t xml:space="preserve">Horario</t>
  </si>
  <si>
    <t xml:space="preserve">Cra. Pasaje. Flete</t>
  </si>
  <si>
    <t xml:space="preserve">Días lab.</t>
  </si>
  <si>
    <t xml:space="preserve">Vtas. Diarias</t>
  </si>
  <si>
    <t xml:space="preserve">Total Ingresos</t>
  </si>
  <si>
    <t xml:space="preserve">Combustible</t>
  </si>
  <si>
    <t xml:space="preserve">Mantenimient</t>
  </si>
  <si>
    <t xml:space="preserve">Prov. Llantas</t>
  </si>
  <si>
    <t xml:space="preserve">Chofer</t>
  </si>
  <si>
    <t xml:space="preserve">Ayudante</t>
  </si>
  <si>
    <t xml:space="preserve">Aportes</t>
  </si>
  <si>
    <t xml:space="preserve">Peajes</t>
  </si>
  <si>
    <t xml:space="preserve">Otros</t>
  </si>
  <si>
    <t xml:space="preserve">Total Gastos</t>
  </si>
  <si>
    <t xml:space="preserve">Utilidad Neta</t>
  </si>
  <si>
    <t xml:space="preserve">12. Para Dependiente e Independiente</t>
  </si>
  <si>
    <t xml:space="preserve">12.1 . AUXILIAR DE ACTIVOS</t>
  </si>
  <si>
    <t xml:space="preserve">Detalle del Bien</t>
  </si>
  <si>
    <t xml:space="preserve"> Dirección</t>
  </si>
  <si>
    <t xml:space="preserve">Valor</t>
  </si>
  <si>
    <t xml:space="preserve">Hipotecado</t>
  </si>
  <si>
    <t xml:space="preserve">Institución</t>
  </si>
  <si>
    <t xml:space="preserve">Casa</t>
  </si>
  <si>
    <t xml:space="preserve">casa de cemento</t>
  </si>
  <si>
    <t xml:space="preserve">NA</t>
  </si>
  <si>
    <t xml:space="preserve">12.2. AUXILIAR PASIVOS</t>
  </si>
  <si>
    <t xml:space="preserve">Plazo</t>
  </si>
  <si>
    <t xml:space="preserve">Cuota</t>
  </si>
  <si>
    <t xml:space="preserve">Saldo</t>
  </si>
  <si>
    <t xml:space="preserve">Destino</t>
  </si>
  <si>
    <t xml:space="preserve">PICHINCHA VISA</t>
  </si>
  <si>
    <t xml:space="preserve">CONSUMO</t>
  </si>
  <si>
    <t xml:space="preserve">BANECUADOR</t>
  </si>
  <si>
    <t xml:space="preserve">MICROCREDITO</t>
  </si>
  <si>
    <t xml:space="preserve">PICHINCHA</t>
  </si>
  <si>
    <t xml:space="preserve">COOP POLICIA NACIONAL</t>
  </si>
  <si>
    <t xml:space="preserve">CPMV</t>
  </si>
  <si>
    <t xml:space="preserve">13. INFORMACIÓN ECONÓMICA FINANCIERA</t>
  </si>
  <si>
    <t xml:space="preserve">ACTIVOS</t>
  </si>
  <si>
    <t xml:space="preserve">VALOR</t>
  </si>
  <si>
    <t xml:space="preserve">PASIVOS</t>
  </si>
  <si>
    <t xml:space="preserve">Dinero en Efectivo</t>
  </si>
  <si>
    <t xml:space="preserve">Cuentas por Pagar a Corto Plazo</t>
  </si>
  <si>
    <t xml:space="preserve">Depósitos en esta Cooperativa</t>
  </si>
  <si>
    <t xml:space="preserve">Deudas Consumo Menor a un año</t>
  </si>
  <si>
    <t xml:space="preserve">Depósitos en otras Instituciones</t>
  </si>
  <si>
    <t xml:space="preserve">Deudas Micro Menor a un año</t>
  </si>
  <si>
    <t xml:space="preserve">Dinero por cobrar</t>
  </si>
  <si>
    <t xml:space="preserve">Otras Deudas a Corto Plazo</t>
  </si>
  <si>
    <t xml:space="preserve">Inventario de Mercadería</t>
  </si>
  <si>
    <t xml:space="preserve">Total Pasivo a Corto Plazo</t>
  </si>
  <si>
    <t xml:space="preserve">Total Activo Corriente</t>
  </si>
  <si>
    <t xml:space="preserve">Deudas Consumo Mayor a un año</t>
  </si>
  <si>
    <t xml:space="preserve">Inversión en Cultivos</t>
  </si>
  <si>
    <t xml:space="preserve">Deudas Micro Mayor a un año</t>
  </si>
  <si>
    <t xml:space="preserve">Inversión en Ganado</t>
  </si>
  <si>
    <t xml:space="preserve">Deudas por Pagar a largo Plazo</t>
  </si>
  <si>
    <t xml:space="preserve">Muebles y Electrodomésticos</t>
  </si>
  <si>
    <t xml:space="preserve">Total Pasivo a Largo Plazo</t>
  </si>
  <si>
    <t xml:space="preserve">Total Inversiones</t>
  </si>
  <si>
    <t xml:space="preserve">Herramientas y Maquinaria de trabajo</t>
  </si>
  <si>
    <t xml:space="preserve">TOTAL PASIVOS</t>
  </si>
  <si>
    <t xml:space="preserve">Vehículos</t>
  </si>
  <si>
    <t xml:space="preserve">Casa o construcciones</t>
  </si>
  <si>
    <t xml:space="preserve">Terrenos</t>
  </si>
  <si>
    <t xml:space="preserve">PATRIMONIO</t>
  </si>
  <si>
    <t xml:space="preserve">Otros-Detallar activo:</t>
  </si>
  <si>
    <t xml:space="preserve">Total Activo Fijo</t>
  </si>
  <si>
    <t xml:space="preserve">TOTAL ACTIVOS</t>
  </si>
  <si>
    <t xml:space="preserve">TOTAL PASIVOS + PATRIMONIO</t>
  </si>
  <si>
    <t xml:space="preserve">INGRESOS MENSUALES</t>
  </si>
  <si>
    <t xml:space="preserve">GASTOS MENSUALES (PROMEDIO)</t>
  </si>
  <si>
    <t xml:space="preserve">ANÁLISIS FINANCIERO</t>
  </si>
  <si>
    <t xml:space="preserve">Sueldo del socio</t>
  </si>
  <si>
    <t xml:space="preserve">Por alimentación</t>
  </si>
  <si>
    <t xml:space="preserve">(+)Ventas mensuales</t>
  </si>
  <si>
    <t xml:space="preserve">Sueldo del cónyuge</t>
  </si>
  <si>
    <t xml:space="preserve">Por arriendos</t>
  </si>
  <si>
    <t xml:space="preserve">(-) Costos mensuales</t>
  </si>
  <si>
    <t xml:space="preserve">Ganancias por comercio</t>
  </si>
  <si>
    <t xml:space="preserve">Por servicios básicos: agua, luz, etc.</t>
  </si>
  <si>
    <t xml:space="preserve">(=) UTILIDAD BRUTA</t>
  </si>
  <si>
    <t xml:space="preserve">Ganancias de la agricultura</t>
  </si>
  <si>
    <t xml:space="preserve">Por educación</t>
  </si>
  <si>
    <t xml:space="preserve">(-) Pago deudas micro</t>
  </si>
  <si>
    <t xml:space="preserve">Ganancias de la ganadería</t>
  </si>
  <si>
    <t xml:space="preserve">Por salud</t>
  </si>
  <si>
    <t xml:space="preserve">(=) UTILIDAD NETA</t>
  </si>
  <si>
    <t xml:space="preserve">Por arriendos recibidos</t>
  </si>
  <si>
    <t xml:space="preserve">Deudas micro</t>
  </si>
  <si>
    <t xml:space="preserve">(-) Gastos Familiares</t>
  </si>
  <si>
    <t xml:space="preserve">Por alquiler de vehículos</t>
  </si>
  <si>
    <t xml:space="preserve">Por vestuario</t>
  </si>
  <si>
    <t xml:space="preserve">(+) Otros ingresos</t>
  </si>
  <si>
    <t xml:space="preserve">Por pensiones recibidas</t>
  </si>
  <si>
    <t xml:space="preserve">Pago de pensiones</t>
  </si>
  <si>
    <t xml:space="preserve">(=) EXCEDENTE NETO</t>
  </si>
  <si>
    <t xml:space="preserve">Otros ingresos</t>
  </si>
  <si>
    <t xml:space="preserve">Por transporte</t>
  </si>
  <si>
    <t xml:space="preserve">Otros gastos</t>
  </si>
  <si>
    <t xml:space="preserve">CUOTA (CASTIGO 30%)</t>
  </si>
  <si>
    <t xml:space="preserve">TOTAL INGRESOS</t>
  </si>
  <si>
    <t xml:space="preserve">TOTAL GASTOS</t>
  </si>
  <si>
    <t xml:space="preserve">CUOTA (CASTIGO 50%)</t>
  </si>
  <si>
    <t xml:space="preserve">INDICADORES FINANCIEROS</t>
  </si>
  <si>
    <t xml:space="preserve">INDICADORES DE LIQUIDEZ</t>
  </si>
  <si>
    <t xml:space="preserve">INDICADORES DE GESTIÓN- ACTIVIDAD</t>
  </si>
  <si>
    <t xml:space="preserve">Razón Circulante</t>
  </si>
  <si>
    <t xml:space="preserve">Rotación Cuentas por Cobrar</t>
  </si>
  <si>
    <t xml:space="preserve">Prueba Ácida</t>
  </si>
  <si>
    <t xml:space="preserve">Rotación Cuentas por Pagar</t>
  </si>
  <si>
    <t xml:space="preserve">Capital de Trabajo</t>
  </si>
  <si>
    <t xml:space="preserve">Rotación de Inventarios</t>
  </si>
  <si>
    <t xml:space="preserve">Comportamiento Cuota</t>
  </si>
  <si>
    <t xml:space="preserve">Rotación de Activos Totales</t>
  </si>
  <si>
    <t xml:space="preserve">INDICADORES DE RENTABILIDAD</t>
  </si>
  <si>
    <t xml:space="preserve">INDICADORES DE ENDEUDAMIENTO</t>
  </si>
  <si>
    <t xml:space="preserve">Rentabilidad Comercial</t>
  </si>
  <si>
    <t xml:space="preserve">Endeudamiento a Corto plazo</t>
  </si>
  <si>
    <t xml:space="preserve">Rentabilidad sobre Patrimonio</t>
  </si>
  <si>
    <t xml:space="preserve">Razón de Endeudamiento</t>
  </si>
  <si>
    <t xml:space="preserve">Rendimiento Sobre Activos</t>
  </si>
  <si>
    <t xml:space="preserve">Endeudamiento Patrimonial</t>
  </si>
  <si>
    <t xml:space="preserve">Comentarios del Oficial de Negocios:</t>
  </si>
  <si>
    <t xml:space="preserve">El/la socio/a cumple con los parámetros del Manual de Crédito, manteniendo capacidad de pago y un nivel de endeudamiento razonable.</t>
  </si>
  <si>
    <t xml:space="preserve">Se recomienda la aprobación en los términos solicitados. </t>
  </si>
  <si>
    <t xml:space="preserve">FIRMA OFICIAL DE NEGOCIOS</t>
  </si>
  <si>
    <t xml:space="preserve">FECHA LEVANTAMIENTO DE INFORMACIÓN</t>
  </si>
  <si>
    <t xml:space="preserve">Nº</t>
  </si>
  <si>
    <t xml:space="preserve">OFICINA</t>
  </si>
  <si>
    <t xml:space="preserve">CÓDIGO</t>
  </si>
  <si>
    <t xml:space="preserve">CÓDIGO OFICIAL DE NEG.</t>
  </si>
  <si>
    <t xml:space="preserve">NOMBRES Y APELLIDOS</t>
  </si>
  <si>
    <t xml:space="preserve">1-01</t>
  </si>
  <si>
    <t xml:space="preserve">CHIRIBOGA VALENCIA SOFIA CAROLINA</t>
  </si>
  <si>
    <t xml:space="preserve">1-02</t>
  </si>
  <si>
    <t xml:space="preserve">GUZMAN TATES JOHANA LICETH</t>
  </si>
  <si>
    <t xml:space="preserve">1-03</t>
  </si>
  <si>
    <t xml:space="preserve">ENRIQUEZ MERA DARWIN JAVIER</t>
  </si>
  <si>
    <t xml:space="preserve">1-04</t>
  </si>
  <si>
    <t xml:space="preserve">FUEL CHINGAL ANA KAREN</t>
  </si>
  <si>
    <t xml:space="preserve">1-05</t>
  </si>
  <si>
    <t xml:space="preserve">ERAZO DEL CASTILLO DIANA MILENA</t>
  </si>
  <si>
    <t xml:space="preserve">1-06</t>
  </si>
  <si>
    <t xml:space="preserve">POZO MORILLO JIMMY FERNANDO</t>
  </si>
  <si>
    <t xml:space="preserve">1-07</t>
  </si>
  <si>
    <t xml:space="preserve">FUENTES BOLAÑOS JENNIFFER JOHANNA</t>
  </si>
  <si>
    <t xml:space="preserve">1-08</t>
  </si>
  <si>
    <t xml:space="preserve">HERNANDEZ HERNANDEZ JIMMY JAIR</t>
  </si>
  <si>
    <t xml:space="preserve">1-09</t>
  </si>
  <si>
    <t xml:space="preserve">MONTENEGRO TOBAR LISSETH ANALIA</t>
  </si>
  <si>
    <t xml:space="preserve">1-10</t>
  </si>
  <si>
    <t xml:space="preserve">DISPONIBLE</t>
  </si>
  <si>
    <t xml:space="preserve">1-11</t>
  </si>
  <si>
    <t xml:space="preserve">1-12</t>
  </si>
  <si>
    <t xml:space="preserve">1-13</t>
  </si>
  <si>
    <t xml:space="preserve">1-14</t>
  </si>
  <si>
    <t xml:space="preserve">DIAZ TUPE MILTON JAVIER</t>
  </si>
  <si>
    <t xml:space="preserve">1-15</t>
  </si>
  <si>
    <t xml:space="preserve">1-16</t>
  </si>
  <si>
    <t xml:space="preserve">2-01</t>
  </si>
  <si>
    <t xml:space="preserve">AGUILAR ROMO JOSE MIGUEL</t>
  </si>
  <si>
    <t xml:space="preserve">2-02</t>
  </si>
  <si>
    <t xml:space="preserve">LUNA CHULDE RODRIGO LEONARDO</t>
  </si>
  <si>
    <t xml:space="preserve">2-03</t>
  </si>
  <si>
    <t xml:space="preserve">PANTOJA RODRIGUEZ EDISON MAURICIO</t>
  </si>
  <si>
    <t xml:space="preserve">2-04</t>
  </si>
  <si>
    <t xml:space="preserve">CHUGA PARRA GERSON ARLEY</t>
  </si>
  <si>
    <t xml:space="preserve">2-05</t>
  </si>
  <si>
    <t xml:space="preserve">MEJIA ROMERO PAULO DAVID</t>
  </si>
  <si>
    <t xml:space="preserve">2-06</t>
  </si>
  <si>
    <t xml:space="preserve">CHAMORRO ARTEAGA LUIS GEOVANNY</t>
  </si>
  <si>
    <t xml:space="preserve">BOLÍVAR</t>
  </si>
  <si>
    <t xml:space="preserve">3-01</t>
  </si>
  <si>
    <t xml:space="preserve">MERA AREVALO EDISON JAVIER</t>
  </si>
  <si>
    <t xml:space="preserve">3-02</t>
  </si>
  <si>
    <t xml:space="preserve">VALENZUELA COBA FERNANDA DE JESUS</t>
  </si>
  <si>
    <t xml:space="preserve">4-01</t>
  </si>
  <si>
    <t xml:space="preserve">4-02</t>
  </si>
  <si>
    <t xml:space="preserve">MUNALA ORTEGA DANIELA PAOLA</t>
  </si>
  <si>
    <t xml:space="preserve">4-03</t>
  </si>
  <si>
    <t xml:space="preserve">PAVON PAVON FERNANDO GREGORIO</t>
  </si>
  <si>
    <t xml:space="preserve">4-04</t>
  </si>
  <si>
    <t xml:space="preserve">REINA BRACHO LIDIA ANGELICA</t>
  </si>
  <si>
    <t xml:space="preserve">4-05</t>
  </si>
  <si>
    <t xml:space="preserve">NAVARRETE ANGULO LIZBETH ALEJANDRA</t>
  </si>
  <si>
    <t xml:space="preserve">5-01</t>
  </si>
  <si>
    <t xml:space="preserve">CUAMACAS POZO LAURA ELIZABETH</t>
  </si>
  <si>
    <t xml:space="preserve">5-02</t>
  </si>
  <si>
    <t xml:space="preserve">CHICAIZA YEPEZ VIVIANA  JAQUELINE</t>
  </si>
  <si>
    <t xml:space="preserve">5-03</t>
  </si>
  <si>
    <t xml:space="preserve">AREVALO TELLO MARIA EUGENIA</t>
  </si>
  <si>
    <t xml:space="preserve">5-04</t>
  </si>
  <si>
    <t xml:space="preserve">MORILLO CARDENAS ANITA ELISABETH</t>
  </si>
  <si>
    <t xml:space="preserve">5-05</t>
  </si>
  <si>
    <t xml:space="preserve">TERAN ARREAGA LUIS ANTONIO</t>
  </si>
  <si>
    <t xml:space="preserve">5-06</t>
  </si>
  <si>
    <t xml:space="preserve">FLORES ORMAZA EVELYN TATIANA</t>
  </si>
  <si>
    <t xml:space="preserve">5-08</t>
  </si>
  <si>
    <t xml:space="preserve">ARAGON VALENCIA CARLOS ALEXANDER</t>
  </si>
  <si>
    <t xml:space="preserve">5-09</t>
  </si>
  <si>
    <t xml:space="preserve">MOLINA BURI ROCIO DE LOS ANGELES</t>
  </si>
  <si>
    <t xml:space="preserve">6-01</t>
  </si>
  <si>
    <t xml:space="preserve">REINOSO EGAS ERIKA PATRICIA</t>
  </si>
  <si>
    <t xml:space="preserve">6-02</t>
  </si>
  <si>
    <t xml:space="preserve">DELGADO APUANGO PAULINA JACQUELINE</t>
  </si>
  <si>
    <t xml:space="preserve">6-03</t>
  </si>
  <si>
    <t xml:space="preserve">HERRERA CAMACHO JANETH KATERINE</t>
  </si>
  <si>
    <t xml:space="preserve">6-04</t>
  </si>
  <si>
    <t xml:space="preserve">MENDOZA NARVAEZ GISELLA GERMANIA</t>
  </si>
  <si>
    <t xml:space="preserve">6-05</t>
  </si>
  <si>
    <t xml:space="preserve">CAIZA CRUZ CHRISTIAN FERNANDO</t>
  </si>
  <si>
    <t xml:space="preserve">6-06</t>
  </si>
  <si>
    <t xml:space="preserve">VARGAS SUAREZ MARIA FERNANDA</t>
  </si>
  <si>
    <t xml:space="preserve">6-07</t>
  </si>
  <si>
    <t xml:space="preserve">PILLAJO LAMIÑA EDITH NOHEMI</t>
  </si>
  <si>
    <t xml:space="preserve">6-08</t>
  </si>
  <si>
    <t xml:space="preserve">6-09</t>
  </si>
  <si>
    <t xml:space="preserve">6-10</t>
  </si>
  <si>
    <t xml:space="preserve">RUANO FLORES ROSA VIRGINIA</t>
  </si>
  <si>
    <t xml:space="preserve">6-11</t>
  </si>
  <si>
    <t xml:space="preserve">7-01</t>
  </si>
  <si>
    <t xml:space="preserve">MOJARRANGO MERA MONICA MIREYA</t>
  </si>
  <si>
    <t xml:space="preserve">7-02</t>
  </si>
  <si>
    <t xml:space="preserve">MENDIETA VELEZ TANYI MARIA</t>
  </si>
  <si>
    <t xml:space="preserve">JARAMILLO JIMENEZ CARLOS ISRAEL</t>
  </si>
  <si>
    <t xml:space="preserve">7-04</t>
  </si>
  <si>
    <t xml:space="preserve">CHANGO CAMACHO MARCIA VERONICA</t>
  </si>
  <si>
    <t xml:space="preserve">8-01</t>
  </si>
  <si>
    <t xml:space="preserve">FIALLOS GRIJALVA BLANCA RUBY</t>
  </si>
  <si>
    <t xml:space="preserve">8-02</t>
  </si>
  <si>
    <t xml:space="preserve">GINES CALDERON LUIS LEONARDO</t>
  </si>
  <si>
    <t xml:space="preserve">8-03</t>
  </si>
  <si>
    <t xml:space="preserve">RODRIGUEZ IBARRA CATALINA LUCIA</t>
  </si>
  <si>
    <t xml:space="preserve">8-04</t>
  </si>
  <si>
    <t xml:space="preserve">MONTENEGRO VALVERDE MICHAEL DAVID</t>
  </si>
  <si>
    <t xml:space="preserve">8-05</t>
  </si>
  <si>
    <t xml:space="preserve">CRIOLLO SANDOVAL LUISA GIOCONDA</t>
  </si>
  <si>
    <t xml:space="preserve">8-06</t>
  </si>
  <si>
    <t xml:space="preserve">TOBAR REINA MARIA BELEN</t>
  </si>
  <si>
    <t xml:space="preserve">8-07</t>
  </si>
  <si>
    <t xml:space="preserve">CAICEDO ALMEIDA GILSON ANDRES</t>
  </si>
  <si>
    <t xml:space="preserve">8-08</t>
  </si>
  <si>
    <t xml:space="preserve">CONDOR TUTILLO MAYRA ALEJANDRA</t>
  </si>
  <si>
    <t xml:space="preserve">9-01</t>
  </si>
  <si>
    <t xml:space="preserve">MORILLO POZO IRENE PATRICIA</t>
  </si>
  <si>
    <t xml:space="preserve">9-02</t>
  </si>
  <si>
    <t xml:space="preserve">BOLAÑOS ITAS ESTEBAN FABRICIO</t>
  </si>
  <si>
    <t xml:space="preserve">10-01</t>
  </si>
  <si>
    <t xml:space="preserve">ARTIEDA CHUMA KARINA GABRIELA</t>
  </si>
  <si>
    <t xml:space="preserve">10-02</t>
  </si>
  <si>
    <t xml:space="preserve">MONTALVO ENDARA MARCO  ANTONIO</t>
  </si>
  <si>
    <t xml:space="preserve">10-03</t>
  </si>
  <si>
    <t xml:space="preserve">MEDINA QUITAMA ANGELA ADAMARI</t>
  </si>
  <si>
    <t xml:space="preserve">10-04</t>
  </si>
  <si>
    <t xml:space="preserve">TERAN POSSO SILVIA VANESSA</t>
  </si>
  <si>
    <t xml:space="preserve">10-05</t>
  </si>
  <si>
    <t xml:space="preserve">IBADANGO SANCHEZ SONIA MARLENE</t>
  </si>
  <si>
    <t xml:space="preserve">11-01</t>
  </si>
  <si>
    <t xml:space="preserve">BENALCAZAR CHULDE EDWIN RENE</t>
  </si>
  <si>
    <t xml:space="preserve">11-02</t>
  </si>
  <si>
    <t xml:space="preserve">PAREDES GRANIZO MARCO PATRICIO</t>
  </si>
  <si>
    <t xml:space="preserve">11-03</t>
  </si>
  <si>
    <t xml:space="preserve">LOPEZ CAMUENDO CRISTINA DEL CARMEN</t>
  </si>
  <si>
    <t xml:space="preserve">11-04</t>
  </si>
  <si>
    <t xml:space="preserve">PAREDES ALMEIDA LUIS ANDRES</t>
  </si>
  <si>
    <t xml:space="preserve">11-05</t>
  </si>
  <si>
    <t xml:space="preserve">FLORES BETANCOURT DIANA CAROLINA</t>
  </si>
  <si>
    <t xml:space="preserve">12-01</t>
  </si>
  <si>
    <t xml:space="preserve">ULCUANGO OBANDO BLADIMIR LENIN</t>
  </si>
  <si>
    <t xml:space="preserve">12-02</t>
  </si>
  <si>
    <t xml:space="preserve">CEVALLOS HERRERA CESAR MAURICIO</t>
  </si>
  <si>
    <t xml:space="preserve">12-03</t>
  </si>
  <si>
    <t xml:space="preserve">CADENA TAMBA EDGAR MARCELO</t>
  </si>
  <si>
    <t xml:space="preserve">12-04</t>
  </si>
  <si>
    <t xml:space="preserve">SANCHEZ CHINCHUÑA SHEYLA YADIRA</t>
  </si>
  <si>
    <t xml:space="preserve">12-05</t>
  </si>
  <si>
    <t xml:space="preserve">CABEZAS NOVOA MILTON FABIAN</t>
  </si>
  <si>
    <t xml:space="preserve">13-01</t>
  </si>
  <si>
    <t xml:space="preserve">PEREZ CAMINO SOFIA JAZMIN</t>
  </si>
  <si>
    <t xml:space="preserve">13-02</t>
  </si>
  <si>
    <t xml:space="preserve">LOPEZ HERNANDEZ DAVID ANDRES</t>
  </si>
  <si>
    <t xml:space="preserve">13-03</t>
  </si>
  <si>
    <t xml:space="preserve">VILLOTA MALDONADO JACKSON ANDRES</t>
  </si>
  <si>
    <t xml:space="preserve">13-04</t>
  </si>
  <si>
    <t xml:space="preserve">SINCHI QUINTE FRANKLIN EDISON</t>
  </si>
  <si>
    <t xml:space="preserve">13-05</t>
  </si>
  <si>
    <t xml:space="preserve">14-01</t>
  </si>
  <si>
    <t xml:space="preserve">14-02</t>
  </si>
  <si>
    <t xml:space="preserve">GUERRERO VELASQUEZ EVELYN KARINA</t>
  </si>
  <si>
    <t xml:space="preserve">14-03</t>
  </si>
  <si>
    <t xml:space="preserve">VALLEJO RUIZ SANDRA ELIZABETH</t>
  </si>
  <si>
    <t xml:space="preserve">14-04</t>
  </si>
  <si>
    <t xml:space="preserve">CARDENAS MOSQUERA MONICA ALEXANDRA</t>
  </si>
  <si>
    <t xml:space="preserve">14-05</t>
  </si>
  <si>
    <t xml:space="preserve">CONTRERAS CONTRERAS LAURO PATRICIO</t>
  </si>
  <si>
    <t xml:space="preserve">14-06</t>
  </si>
  <si>
    <t xml:space="preserve">ORDOÑEZ SANCHEZ KATHERINE ELIZABETH</t>
  </si>
  <si>
    <t xml:space="preserve">14-07</t>
  </si>
  <si>
    <t xml:space="preserve">14-08</t>
  </si>
  <si>
    <t xml:space="preserve">ALMEIDA PIEDRA JOSSELIN FERNANDA</t>
  </si>
  <si>
    <t xml:space="preserve">14-09</t>
  </si>
  <si>
    <t xml:space="preserve">15-01</t>
  </si>
  <si>
    <t xml:space="preserve">QUIÑONEZ MONTERO MARGOTH KATHERINE</t>
  </si>
  <si>
    <t xml:space="preserve">15-02</t>
  </si>
  <si>
    <t xml:space="preserve">QUELAL TABANGO ANALIA DOLORES</t>
  </si>
  <si>
    <t xml:space="preserve">16-01</t>
  </si>
  <si>
    <t xml:space="preserve">CAMPOS PEREZ DAVID MARCELO</t>
  </si>
  <si>
    <t xml:space="preserve">16-02</t>
  </si>
  <si>
    <t xml:space="preserve">MUNZON JIMBO MONICA GABRIELA</t>
  </si>
  <si>
    <t xml:space="preserve">TOTAL OFICIALES</t>
  </si>
</sst>
</file>

<file path=xl/styles.xml><?xml version="1.0" encoding="utf-8"?>
<styleSheet xmlns="http://schemas.openxmlformats.org/spreadsheetml/2006/main">
  <numFmts count="15">
    <numFmt numFmtId="164" formatCode="General"/>
    <numFmt numFmtId="165" formatCode="#,##0.00\ ;\-#,##0.00\ ;\-#\ ;@\ "/>
    <numFmt numFmtId="166" formatCode="0\ %"/>
    <numFmt numFmtId="167" formatCode="0.00\ %"/>
    <numFmt numFmtId="168" formatCode="dd/mm/yyyy"/>
    <numFmt numFmtId="169" formatCode="@"/>
    <numFmt numFmtId="170" formatCode="[$$-300A]#,##0.00"/>
    <numFmt numFmtId="171" formatCode="0000000000"/>
    <numFmt numFmtId="172" formatCode="0"/>
    <numFmt numFmtId="173" formatCode="000000000"/>
    <numFmt numFmtId="174" formatCode="dd/mm/yy"/>
    <numFmt numFmtId="175" formatCode="\$#,##0.00\ ;&quot;$-&quot;#,##0.00\ ;&quot;$-&quot;#\ ;@\ "/>
    <numFmt numFmtId="176" formatCode="[$$-300A]#,##0"/>
    <numFmt numFmtId="177" formatCode="0.00"/>
    <numFmt numFmtId="178" formatCode="[$-300A]dddd&quot;, &quot;mmmm\ dd&quot;, &quot;yyyy"/>
  </numFmts>
  <fonts count="40">
    <font>
      <sz val="11"/>
      <color rgb="FF000000"/>
      <name val="Calibri"/>
      <family val="2"/>
      <charset val="1"/>
    </font>
    <font>
      <sz val="10"/>
      <name val="Arial"/>
      <family val="0"/>
    </font>
    <font>
      <sz val="10"/>
      <name val="Arial"/>
      <family val="0"/>
    </font>
    <font>
      <sz val="10"/>
      <name val="Arial"/>
      <family val="0"/>
    </font>
    <font>
      <b val="true"/>
      <sz val="11"/>
      <color rgb="FFFFFFFF"/>
      <name val="Calibri"/>
      <family val="2"/>
      <charset val="1"/>
    </font>
    <font>
      <b val="true"/>
      <sz val="11"/>
      <color rgb="FF000000"/>
      <name val="Calibri"/>
      <family val="2"/>
      <charset val="1"/>
    </font>
    <font>
      <sz val="11"/>
      <color rgb="FFCC0000"/>
      <name val="Calibri"/>
      <family val="2"/>
      <charset val="1"/>
    </font>
    <font>
      <i val="true"/>
      <sz val="11"/>
      <color rgb="FF808080"/>
      <name val="Calibri"/>
      <family val="2"/>
      <charset val="1"/>
    </font>
    <font>
      <sz val="11"/>
      <color rgb="FF006600"/>
      <name val="Calibri"/>
      <family val="2"/>
      <charset val="1"/>
    </font>
    <font>
      <b val="true"/>
      <sz val="18"/>
      <color rgb="FF000000"/>
      <name val="Calibri"/>
      <family val="2"/>
      <charset val="1"/>
    </font>
    <font>
      <b val="true"/>
      <sz val="24"/>
      <color rgb="FF000000"/>
      <name val="Calibri"/>
      <family val="2"/>
      <charset val="1"/>
    </font>
    <font>
      <b val="true"/>
      <sz val="12"/>
      <color rgb="FF000000"/>
      <name val="Calibri"/>
      <family val="2"/>
      <charset val="1"/>
    </font>
    <font>
      <u val="single"/>
      <sz val="11"/>
      <color rgb="FF0563C1"/>
      <name val="Calibri"/>
      <family val="2"/>
      <charset val="1"/>
    </font>
    <font>
      <u val="single"/>
      <sz val="11"/>
      <color rgb="FF0000EE"/>
      <name val="Calibri"/>
      <family val="2"/>
      <charset val="1"/>
    </font>
    <font>
      <sz val="10"/>
      <color rgb="FF000000"/>
      <name val="Arial"/>
      <family val="2"/>
      <charset val="1"/>
    </font>
    <font>
      <sz val="11"/>
      <color rgb="FF333333"/>
      <name val="Calibri"/>
      <family val="2"/>
      <charset val="1"/>
    </font>
    <font>
      <b val="true"/>
      <i val="true"/>
      <u val="single"/>
      <sz val="11"/>
      <color rgb="FF000000"/>
      <name val="Calibri"/>
      <family val="2"/>
      <charset val="1"/>
    </font>
    <font>
      <sz val="8"/>
      <color rgb="FF000000"/>
      <name val="Arial"/>
      <family val="2"/>
      <charset val="1"/>
    </font>
    <font>
      <b val="true"/>
      <sz val="8"/>
      <color rgb="FF000000"/>
      <name val="Arial"/>
      <family val="2"/>
      <charset val="1"/>
    </font>
    <font>
      <b val="true"/>
      <sz val="12"/>
      <color rgb="FF000000"/>
      <name val="Arial"/>
      <family val="2"/>
      <charset val="1"/>
    </font>
    <font>
      <sz val="5.5"/>
      <color rgb="FF000000"/>
      <name val="Arial"/>
      <family val="2"/>
      <charset val="1"/>
    </font>
    <font>
      <sz val="8"/>
      <color rgb="FF000000"/>
      <name val="Times New Roman"/>
      <family val="1"/>
      <charset val="1"/>
    </font>
    <font>
      <b val="true"/>
      <i val="true"/>
      <sz val="8"/>
      <color rgb="FF000000"/>
      <name val="Arial"/>
      <family val="2"/>
      <charset val="1"/>
    </font>
    <font>
      <sz val="10"/>
      <color rgb="FF000000"/>
      <name val="Times New Roman"/>
      <family val="1"/>
      <charset val="1"/>
    </font>
    <font>
      <sz val="5"/>
      <color rgb="FF000000"/>
      <name val="Arial"/>
      <family val="2"/>
      <charset val="1"/>
    </font>
    <font>
      <b val="true"/>
      <sz val="7"/>
      <color rgb="FF000000"/>
      <name val="Arial"/>
      <family val="2"/>
      <charset val="1"/>
    </font>
    <font>
      <sz val="7"/>
      <color rgb="FF000000"/>
      <name val="Arial"/>
      <family val="2"/>
      <charset val="1"/>
    </font>
    <font>
      <b val="true"/>
      <sz val="5"/>
      <color rgb="FF000000"/>
      <name val="Arial"/>
      <family val="2"/>
      <charset val="1"/>
    </font>
    <font>
      <b val="true"/>
      <sz val="6"/>
      <color rgb="FF000000"/>
      <name val="Arial"/>
      <family val="2"/>
      <charset val="1"/>
    </font>
    <font>
      <sz val="8"/>
      <name val="Times New Roman"/>
      <family val="1"/>
      <charset val="1"/>
    </font>
    <font>
      <sz val="9"/>
      <color rgb="FF000000"/>
      <name val="Times New Roman"/>
      <family val="1"/>
      <charset val="1"/>
    </font>
    <font>
      <sz val="10"/>
      <name val="Arial"/>
      <family val="2"/>
    </font>
    <font>
      <sz val="9"/>
      <color rgb="FF000000"/>
      <name val="Calibri"/>
      <family val="2"/>
      <charset val="1"/>
    </font>
    <font>
      <sz val="11"/>
      <color rgb="FF000000"/>
      <name val="Arial"/>
      <family val="2"/>
      <charset val="1"/>
    </font>
    <font>
      <b val="true"/>
      <sz val="11"/>
      <color rgb="FF000000"/>
      <name val="Arial"/>
      <family val="2"/>
      <charset val="1"/>
    </font>
    <font>
      <b val="true"/>
      <sz val="10"/>
      <color rgb="FF000000"/>
      <name val="Arial"/>
      <family val="2"/>
      <charset val="1"/>
    </font>
    <font>
      <sz val="11"/>
      <color rgb="FF800080"/>
      <name val="Calibri"/>
      <family val="2"/>
      <charset val="1"/>
    </font>
    <font>
      <sz val="10"/>
      <color rgb="FF800080"/>
      <name val="Arial"/>
      <family val="2"/>
      <charset val="1"/>
    </font>
    <font>
      <sz val="11"/>
      <name val="Calibri"/>
      <family val="2"/>
      <charset val="1"/>
    </font>
    <font>
      <b val="true"/>
      <sz val="11"/>
      <color rgb="FFFF0000"/>
      <name val="Calibri"/>
      <family val="2"/>
      <charset val="1"/>
    </font>
  </fonts>
  <fills count="14">
    <fill>
      <patternFill patternType="none"/>
    </fill>
    <fill>
      <patternFill patternType="gray125"/>
    </fill>
    <fill>
      <patternFill patternType="solid">
        <fgColor rgb="FF000000"/>
        <bgColor rgb="FF003300"/>
      </patternFill>
    </fill>
    <fill>
      <patternFill patternType="solid">
        <fgColor rgb="FF808080"/>
        <bgColor rgb="FF969696"/>
      </patternFill>
    </fill>
    <fill>
      <patternFill patternType="solid">
        <fgColor rgb="FFDDDDDD"/>
        <bgColor rgb="FFD9D9D9"/>
      </patternFill>
    </fill>
    <fill>
      <patternFill patternType="solid">
        <fgColor rgb="FFFFCCCC"/>
        <bgColor rgb="FFDDDDDD"/>
      </patternFill>
    </fill>
    <fill>
      <patternFill patternType="solid">
        <fgColor rgb="FFCC0000"/>
        <bgColor rgb="FFFF0000"/>
      </patternFill>
    </fill>
    <fill>
      <patternFill patternType="solid">
        <fgColor rgb="FFCCFFCC"/>
        <bgColor rgb="FFCCFFFF"/>
      </patternFill>
    </fill>
    <fill>
      <patternFill patternType="solid">
        <fgColor rgb="FFFFFFCC"/>
        <bgColor rgb="FFFFFFFF"/>
      </patternFill>
    </fill>
    <fill>
      <patternFill patternType="solid">
        <fgColor rgb="FFFFFFFF"/>
        <bgColor rgb="FFFFFFCC"/>
      </patternFill>
    </fill>
    <fill>
      <patternFill patternType="solid">
        <fgColor rgb="FFE2EFDA"/>
        <bgColor rgb="FFDDDDDD"/>
      </patternFill>
    </fill>
    <fill>
      <patternFill patternType="solid">
        <fgColor rgb="FFFFFF00"/>
        <bgColor rgb="FFFFFF00"/>
      </patternFill>
    </fill>
    <fill>
      <patternFill patternType="solid">
        <fgColor rgb="FFFFC000"/>
        <bgColor rgb="FFFF9900"/>
      </patternFill>
    </fill>
    <fill>
      <patternFill patternType="solid">
        <fgColor rgb="FFD9D9D9"/>
        <bgColor rgb="FFDDDDDD"/>
      </patternFill>
    </fill>
  </fills>
  <borders count="78">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right/>
      <top/>
      <bottom/>
      <diagonal/>
    </border>
    <border diagonalUp="false" diagonalDown="false">
      <left/>
      <right/>
      <top style="thin"/>
      <bottom/>
      <diagonal/>
    </border>
    <border diagonalUp="false" diagonalDown="false">
      <left/>
      <right/>
      <top/>
      <bottom style="medium">
        <color rgb="FF00B050"/>
      </bottom>
      <diagonal/>
    </border>
    <border diagonalUp="false" diagonalDown="false">
      <left style="medium">
        <color rgb="FF00B050"/>
      </left>
      <right/>
      <top style="medium">
        <color rgb="FF00B050"/>
      </top>
      <bottom/>
      <diagonal/>
    </border>
    <border diagonalUp="false" diagonalDown="false">
      <left/>
      <right/>
      <top style="medium">
        <color rgb="FF00B050"/>
      </top>
      <bottom/>
      <diagonal/>
    </border>
    <border diagonalUp="false" diagonalDown="false">
      <left/>
      <right style="medium">
        <color rgb="FF00B050"/>
      </right>
      <top style="medium">
        <color rgb="FF00B050"/>
      </top>
      <bottom style="thin">
        <color rgb="FF00B050"/>
      </bottom>
      <diagonal/>
    </border>
    <border diagonalUp="false" diagonalDown="false">
      <left style="medium">
        <color rgb="FF00B050"/>
      </left>
      <right style="thin">
        <color rgb="FF00B050"/>
      </right>
      <top/>
      <bottom/>
      <diagonal/>
    </border>
    <border diagonalUp="false" diagonalDown="false">
      <left style="thin">
        <color rgb="FF00B050"/>
      </left>
      <right style="thin">
        <color rgb="FF00B050"/>
      </right>
      <top style="thin">
        <color rgb="FF00B050"/>
      </top>
      <bottom style="thin">
        <color rgb="FF00B050"/>
      </bottom>
      <diagonal/>
    </border>
    <border diagonalUp="false" diagonalDown="false">
      <left style="thin">
        <color rgb="FF00B050"/>
      </left>
      <right style="medium">
        <color rgb="FF00B050"/>
      </right>
      <top style="thin">
        <color rgb="FF00B050"/>
      </top>
      <bottom style="thin">
        <color rgb="FF00B050"/>
      </bottom>
      <diagonal/>
    </border>
    <border diagonalUp="false" diagonalDown="false">
      <left style="medium">
        <color rgb="FF00B050"/>
      </left>
      <right/>
      <top/>
      <bottom/>
      <diagonal/>
    </border>
    <border diagonalUp="false" diagonalDown="false">
      <left/>
      <right style="medium">
        <color rgb="FF00B050"/>
      </right>
      <top/>
      <bottom/>
      <diagonal/>
    </border>
    <border diagonalUp="false" diagonalDown="false">
      <left style="thin">
        <color rgb="FF00B050"/>
      </left>
      <right style="thin">
        <color rgb="FF00B050"/>
      </right>
      <top/>
      <bottom/>
      <diagonal/>
    </border>
    <border diagonalUp="false" diagonalDown="false">
      <left style="medium">
        <color rgb="FF00B050"/>
      </left>
      <right style="thin">
        <color rgb="FF00B050"/>
      </right>
      <top style="thin">
        <color rgb="FF00B050"/>
      </top>
      <bottom style="thin">
        <color rgb="FF00B050"/>
      </bottom>
      <diagonal/>
    </border>
    <border diagonalUp="false" diagonalDown="false">
      <left/>
      <right/>
      <top/>
      <bottom style="thin">
        <color rgb="FF00B050"/>
      </bottom>
      <diagonal/>
    </border>
    <border diagonalUp="false" diagonalDown="false">
      <left style="medium">
        <color rgb="FF00B050"/>
      </left>
      <right/>
      <top/>
      <bottom style="medium">
        <color rgb="FF00B050"/>
      </bottom>
      <diagonal/>
    </border>
    <border diagonalUp="false" diagonalDown="false">
      <left/>
      <right style="medium">
        <color rgb="FF00B050"/>
      </right>
      <top/>
      <bottom style="medium">
        <color rgb="FF00B050"/>
      </bottom>
      <diagonal/>
    </border>
    <border diagonalUp="false" diagonalDown="false">
      <left style="medium">
        <color rgb="FF00B050"/>
      </left>
      <right style="medium">
        <color rgb="FF00B050"/>
      </right>
      <top style="medium">
        <color rgb="FF00B050"/>
      </top>
      <bottom style="medium">
        <color rgb="FF00B050"/>
      </bottom>
      <diagonal/>
    </border>
    <border diagonalUp="false" diagonalDown="false">
      <left/>
      <right style="medium">
        <color rgb="FF00B050"/>
      </right>
      <top style="medium">
        <color rgb="FF00B050"/>
      </top>
      <bottom/>
      <diagonal/>
    </border>
    <border diagonalUp="false" diagonalDown="false">
      <left style="medium">
        <color rgb="FF00B050"/>
      </left>
      <right style="thin">
        <color rgb="FF00B050"/>
      </right>
      <top/>
      <bottom style="medium">
        <color rgb="FF00B050"/>
      </bottom>
      <diagonal/>
    </border>
    <border diagonalUp="false" diagonalDown="false">
      <left style="thin">
        <color rgb="FF00B050"/>
      </left>
      <right style="thin">
        <color rgb="FF00B050"/>
      </right>
      <top style="thin">
        <color rgb="FF00B050"/>
      </top>
      <bottom style="medium">
        <color rgb="FF00B050"/>
      </bottom>
      <diagonal/>
    </border>
    <border diagonalUp="false" diagonalDown="false">
      <left style="thin">
        <color rgb="FF00B050"/>
      </left>
      <right style="thin">
        <color rgb="FF00B050"/>
      </right>
      <top/>
      <bottom style="medium">
        <color rgb="FF00B050"/>
      </bottom>
      <diagonal/>
    </border>
    <border diagonalUp="false" diagonalDown="false">
      <left style="thin">
        <color rgb="FF00B050"/>
      </left>
      <right style="medium">
        <color rgb="FF00B050"/>
      </right>
      <top style="thin">
        <color rgb="FF00B050"/>
      </top>
      <bottom style="medium">
        <color rgb="FF00B050"/>
      </bottom>
      <diagonal/>
    </border>
    <border diagonalUp="false" diagonalDown="false">
      <left/>
      <right style="thin">
        <color rgb="FF00B050"/>
      </right>
      <top/>
      <bottom style="medium">
        <color rgb="FF00B050"/>
      </bottom>
      <diagonal/>
    </border>
    <border diagonalUp="false" diagonalDown="false">
      <left style="medium">
        <color rgb="FF00B050"/>
      </left>
      <right/>
      <top/>
      <bottom style="thin">
        <color rgb="FF92D050"/>
      </bottom>
      <diagonal/>
    </border>
    <border diagonalUp="false" diagonalDown="false">
      <left/>
      <right/>
      <top/>
      <bottom style="thin">
        <color rgb="FF92D050"/>
      </bottom>
      <diagonal/>
    </border>
    <border diagonalUp="false" diagonalDown="false">
      <left/>
      <right style="medium">
        <color rgb="FF00B050"/>
      </right>
      <top/>
      <bottom style="thin">
        <color rgb="FF92D050"/>
      </bottom>
      <diagonal/>
    </border>
    <border diagonalUp="false" diagonalDown="false">
      <left style="medium">
        <color rgb="FF00B050"/>
      </left>
      <right style="thin">
        <color rgb="FF00B050"/>
      </right>
      <top style="medium">
        <color rgb="FF00B050"/>
      </top>
      <bottom/>
      <diagonal/>
    </border>
    <border diagonalUp="false" diagonalDown="false">
      <left style="thin">
        <color rgb="FF00B050"/>
      </left>
      <right style="medium">
        <color rgb="FF00B050"/>
      </right>
      <top style="medium">
        <color rgb="FF00B050"/>
      </top>
      <bottom style="thin">
        <color rgb="FF00B050"/>
      </bottom>
      <diagonal/>
    </border>
    <border diagonalUp="false" diagonalDown="false">
      <left/>
      <right style="medium">
        <color rgb="FF00B050"/>
      </right>
      <top/>
      <bottom style="thin">
        <color rgb="FF00B050"/>
      </bottom>
      <diagonal/>
    </border>
    <border diagonalUp="false" diagonalDown="false">
      <left style="medium">
        <color rgb="FF00B050"/>
      </left>
      <right style="medium">
        <color rgb="FF00B050"/>
      </right>
      <top style="medium">
        <color rgb="FF00B050"/>
      </top>
      <bottom style="thin">
        <color rgb="FF00B050"/>
      </bottom>
      <diagonal/>
    </border>
    <border diagonalUp="false" diagonalDown="false">
      <left style="medium">
        <color rgb="FF00B050"/>
      </left>
      <right style="thin">
        <color rgb="FF00B050"/>
      </right>
      <top style="thin">
        <color rgb="FF00B050"/>
      </top>
      <bottom style="medium">
        <color rgb="FF00B050"/>
      </bottom>
      <diagonal/>
    </border>
    <border diagonalUp="false" diagonalDown="false">
      <left style="medium">
        <color rgb="FF00B050"/>
      </left>
      <right style="thin">
        <color rgb="FF92D050"/>
      </right>
      <top style="medium">
        <color rgb="FF00B050"/>
      </top>
      <bottom style="thin">
        <color rgb="FF92D050"/>
      </bottom>
      <diagonal/>
    </border>
    <border diagonalUp="false" diagonalDown="false">
      <left style="thin">
        <color rgb="FF92D050"/>
      </left>
      <right style="thin">
        <color rgb="FF92D050"/>
      </right>
      <top style="medium">
        <color rgb="FF00B050"/>
      </top>
      <bottom style="thin">
        <color rgb="FF92D050"/>
      </bottom>
      <diagonal/>
    </border>
    <border diagonalUp="false" diagonalDown="false">
      <left style="thin">
        <color rgb="FF92D050"/>
      </left>
      <right style="medium">
        <color rgb="FF00B050"/>
      </right>
      <top style="medium">
        <color rgb="FF00B050"/>
      </top>
      <bottom style="thin">
        <color rgb="FF92D050"/>
      </bottom>
      <diagonal/>
    </border>
    <border diagonalUp="false" diagonalDown="false">
      <left style="medium">
        <color rgb="FF00B050"/>
      </left>
      <right style="thin">
        <color rgb="FF92D050"/>
      </right>
      <top style="thin">
        <color rgb="FF92D050"/>
      </top>
      <bottom style="thin">
        <color rgb="FF92D050"/>
      </bottom>
      <diagonal/>
    </border>
    <border diagonalUp="false" diagonalDown="false">
      <left style="thin">
        <color rgb="FF92D050"/>
      </left>
      <right style="thin">
        <color rgb="FF92D050"/>
      </right>
      <top style="thin">
        <color rgb="FF92D050"/>
      </top>
      <bottom style="thin">
        <color rgb="FF92D050"/>
      </bottom>
      <diagonal/>
    </border>
    <border diagonalUp="false" diagonalDown="false">
      <left style="thin">
        <color rgb="FF92D050"/>
      </left>
      <right style="medium">
        <color rgb="FF00B050"/>
      </right>
      <top style="thin">
        <color rgb="FF92D050"/>
      </top>
      <bottom style="thin">
        <color rgb="FF92D050"/>
      </bottom>
      <diagonal/>
    </border>
    <border diagonalUp="false" diagonalDown="false">
      <left style="thin">
        <color rgb="FF92D050"/>
      </left>
      <right style="medium">
        <color rgb="FF00B050"/>
      </right>
      <top style="thin">
        <color rgb="FF92D050"/>
      </top>
      <bottom/>
      <diagonal/>
    </border>
    <border diagonalUp="false" diagonalDown="false">
      <left style="medium">
        <color rgb="FF00B050"/>
      </left>
      <right style="thin">
        <color rgb="FF92D050"/>
      </right>
      <top style="thin">
        <color rgb="FF92D050"/>
      </top>
      <bottom style="medium">
        <color rgb="FF00B050"/>
      </bottom>
      <diagonal/>
    </border>
    <border diagonalUp="false" diagonalDown="false">
      <left style="thin">
        <color rgb="FF92D050"/>
      </left>
      <right style="thin">
        <color rgb="FF92D050"/>
      </right>
      <top style="thin">
        <color rgb="FF92D050"/>
      </top>
      <bottom style="medium">
        <color rgb="FF00B050"/>
      </bottom>
      <diagonal/>
    </border>
    <border diagonalUp="false" diagonalDown="false">
      <left style="thin">
        <color rgb="FF92D050"/>
      </left>
      <right style="medium">
        <color rgb="FF00B050"/>
      </right>
      <top style="thin">
        <color rgb="FF00B050"/>
      </top>
      <bottom style="medium">
        <color rgb="FF00B050"/>
      </bottom>
      <diagonal/>
    </border>
    <border diagonalUp="false" diagonalDown="false">
      <left style="thin">
        <color rgb="FF92D050"/>
      </left>
      <right style="medium">
        <color rgb="FF00B050"/>
      </right>
      <top style="thin">
        <color rgb="FF92D050"/>
      </top>
      <bottom style="medium">
        <color rgb="FF00B050"/>
      </bottom>
      <diagonal/>
    </border>
    <border diagonalUp="false" diagonalDown="false">
      <left style="medium">
        <color rgb="FF00B050"/>
      </left>
      <right style="medium">
        <color rgb="FF00B050"/>
      </right>
      <top/>
      <bottom style="medium">
        <color rgb="FF00B050"/>
      </bottom>
      <diagonal/>
    </border>
    <border diagonalUp="false" diagonalDown="false">
      <left style="medium">
        <color rgb="FF00B050"/>
      </left>
      <right style="medium">
        <color rgb="FF00B050"/>
      </right>
      <top style="medium">
        <color rgb="FF00B050"/>
      </top>
      <bottom/>
      <diagonal/>
    </border>
    <border diagonalUp="false" diagonalDown="false">
      <left style="medium">
        <color rgb="FF00B050"/>
      </left>
      <right style="medium">
        <color rgb="FF00B050"/>
      </right>
      <top/>
      <bottom/>
      <diagonal/>
    </border>
    <border diagonalUp="false" diagonalDown="false">
      <left/>
      <right/>
      <top style="thin">
        <color rgb="FF00B050"/>
      </top>
      <bottom/>
      <diagonal/>
    </border>
    <border diagonalUp="false" diagonalDown="false">
      <left/>
      <right style="medium">
        <color rgb="FF00B050"/>
      </right>
      <top style="thin">
        <color rgb="FF00B050"/>
      </top>
      <bottom style="medium">
        <color rgb="FF00B050"/>
      </bottom>
      <diagonal/>
    </border>
    <border diagonalUp="false" diagonalDown="false">
      <left style="medium">
        <color rgb="FF00B050"/>
      </left>
      <right style="thin">
        <color rgb="FF00B050"/>
      </right>
      <top style="medium">
        <color rgb="FF00B050"/>
      </top>
      <bottom style="thin">
        <color rgb="FF00B050"/>
      </bottom>
      <diagonal/>
    </border>
    <border diagonalUp="false" diagonalDown="false">
      <left style="thin">
        <color rgb="FF00B050"/>
      </left>
      <right style="thin">
        <color rgb="FF00B050"/>
      </right>
      <top style="medium">
        <color rgb="FF00B050"/>
      </top>
      <bottom style="thin">
        <color rgb="FF00B050"/>
      </bottom>
      <diagonal/>
    </border>
    <border diagonalUp="false" diagonalDown="false">
      <left style="medium">
        <color rgb="FF00B050"/>
      </left>
      <right style="medium">
        <color rgb="FF00B050"/>
      </right>
      <top style="thin">
        <color rgb="FF00B050"/>
      </top>
      <bottom style="thin">
        <color rgb="FF00B050"/>
      </bottom>
      <diagonal/>
    </border>
    <border diagonalUp="false" diagonalDown="false">
      <left style="medium">
        <color rgb="FF00B050"/>
      </left>
      <right style="medium">
        <color rgb="FF00B050"/>
      </right>
      <top style="thin">
        <color rgb="FF00B050"/>
      </top>
      <bottom style="medium">
        <color rgb="FF00B050"/>
      </bottom>
      <diagonal/>
    </border>
    <border diagonalUp="false" diagonalDown="false">
      <left style="medium">
        <color rgb="FF00B050"/>
      </left>
      <right style="thin">
        <color rgb="FF00B050"/>
      </right>
      <top style="medium">
        <color rgb="FF00B050"/>
      </top>
      <bottom style="medium">
        <color rgb="FF00B050"/>
      </bottom>
      <diagonal/>
    </border>
    <border diagonalUp="false" diagonalDown="false">
      <left/>
      <right/>
      <top style="medium">
        <color rgb="FF00B050"/>
      </top>
      <bottom style="thin">
        <color rgb="FF92D050"/>
      </bottom>
      <diagonal/>
    </border>
    <border diagonalUp="false" diagonalDown="false">
      <left style="thin">
        <color rgb="FF00B050"/>
      </left>
      <right style="medium">
        <color rgb="FF00B050"/>
      </right>
      <top style="medium">
        <color rgb="FF00B050"/>
      </top>
      <bottom style="medium">
        <color rgb="FF00B050"/>
      </bottom>
      <diagonal/>
    </border>
    <border diagonalUp="false" diagonalDown="false">
      <left style="thin">
        <color rgb="FF00B050"/>
      </left>
      <right style="thin">
        <color rgb="FF00B050"/>
      </right>
      <top style="medium">
        <color rgb="FF00B050"/>
      </top>
      <bottom style="medium">
        <color rgb="FF00B050"/>
      </bottom>
      <diagonal/>
    </border>
    <border diagonalUp="false" diagonalDown="false">
      <left/>
      <right/>
      <top style="medium">
        <color rgb="FF00B050"/>
      </top>
      <bottom style="medium">
        <color rgb="FF00B050"/>
      </bottom>
      <diagonal/>
    </border>
    <border diagonalUp="false" diagonalDown="false">
      <left style="medium">
        <color rgb="FF00B050"/>
      </left>
      <right style="thin">
        <color rgb="FF00B050"/>
      </right>
      <top/>
      <bottom style="thin">
        <color rgb="FF00B050"/>
      </bottom>
      <diagonal/>
    </border>
    <border diagonalUp="false" diagonalDown="false">
      <left style="thin">
        <color rgb="FF00B050"/>
      </left>
      <right style="thin">
        <color rgb="FF00B050"/>
      </right>
      <top/>
      <bottom style="thin">
        <color rgb="FF00B050"/>
      </bottom>
      <diagonal/>
    </border>
    <border diagonalUp="false" diagonalDown="false">
      <left/>
      <right/>
      <top style="thin">
        <color rgb="FF00B050"/>
      </top>
      <bottom style="thin">
        <color rgb="FF00B050"/>
      </bottom>
      <diagonal/>
    </border>
    <border diagonalUp="false" diagonalDown="false">
      <left/>
      <right style="medium">
        <color rgb="FF00B050"/>
      </right>
      <top style="thin">
        <color rgb="FF00B050"/>
      </top>
      <bottom/>
      <diagonal/>
    </border>
    <border diagonalUp="false" diagonalDown="false">
      <left style="thin">
        <color rgb="FF00B050"/>
      </left>
      <right style="medium">
        <color rgb="FF00B050"/>
      </right>
      <top/>
      <bottom style="medium">
        <color rgb="FF00B050"/>
      </bottom>
      <diagonal/>
    </border>
    <border diagonalUp="false" diagonalDown="false">
      <left style="medium">
        <color rgb="FF00B050"/>
      </left>
      <right style="thin">
        <color rgb="FF92D050"/>
      </right>
      <top style="medium">
        <color rgb="FF00B050"/>
      </top>
      <bottom/>
      <diagonal/>
    </border>
    <border diagonalUp="false" diagonalDown="false">
      <left style="thin">
        <color rgb="FF92D050"/>
      </left>
      <right style="thin">
        <color rgb="FF92D050"/>
      </right>
      <top style="medium">
        <color rgb="FF00B050"/>
      </top>
      <bottom/>
      <diagonal/>
    </border>
    <border diagonalUp="false" diagonalDown="false">
      <left/>
      <right/>
      <top style="thin">
        <color rgb="FF92D050"/>
      </top>
      <bottom style="thin">
        <color rgb="FF00B050"/>
      </bottom>
      <diagonal/>
    </border>
    <border diagonalUp="false" diagonalDown="false">
      <left style="thin">
        <color rgb="FF00B050"/>
      </left>
      <right/>
      <top/>
      <bottom style="medium">
        <color rgb="FF00B050"/>
      </bottom>
      <diagonal/>
    </border>
    <border diagonalUp="false" diagonalDown="false">
      <left/>
      <right style="medium">
        <color rgb="FF00B050"/>
      </right>
      <top style="medium">
        <color rgb="FF00B050"/>
      </top>
      <bottom style="medium">
        <color rgb="FF00B050"/>
      </bottom>
      <diagonal/>
    </border>
    <border diagonalUp="false" diagonalDown="false">
      <left style="thin"/>
      <right style="thin">
        <color rgb="FF92D050"/>
      </right>
      <top style="medium">
        <color rgb="FF00B050"/>
      </top>
      <bottom style="medium">
        <color rgb="FF00B050"/>
      </bottom>
      <diagonal/>
    </border>
    <border diagonalUp="false" diagonalDown="false">
      <left style="medium">
        <color rgb="FF00B050"/>
      </left>
      <right style="thin">
        <color rgb="FF92D050"/>
      </right>
      <top style="thin">
        <color rgb="FF00B050"/>
      </top>
      <bottom style="medium">
        <color rgb="FF00B050"/>
      </bottom>
      <diagonal/>
    </border>
    <border diagonalUp="false" diagonalDown="false">
      <left style="thin">
        <color rgb="FF92D050"/>
      </left>
      <right style="medium">
        <color rgb="FF00B050"/>
      </right>
      <top/>
      <bottom/>
      <diagonal/>
    </border>
    <border diagonalUp="false" diagonalDown="false">
      <left style="medium">
        <color rgb="FF00B050"/>
      </left>
      <right style="thin">
        <color rgb="FF92D050"/>
      </right>
      <top style="medium">
        <color rgb="FF00B050"/>
      </top>
      <bottom style="medium">
        <color rgb="FF00B050"/>
      </bottom>
      <diagonal/>
    </border>
    <border diagonalUp="false" diagonalDown="false">
      <left style="thin"/>
      <right style="medium">
        <color rgb="FF00B050"/>
      </right>
      <top style="medium">
        <color rgb="FF00B050"/>
      </top>
      <bottom style="medium">
        <color rgb="FF00B050"/>
      </bottom>
      <diagonal/>
    </border>
    <border diagonalUp="false" diagonalDown="false">
      <left style="medium">
        <color rgb="FF00B050"/>
      </left>
      <right style="thin">
        <color rgb="FF92D050"/>
      </right>
      <top style="thin">
        <color rgb="FF00B050"/>
      </top>
      <bottom style="thin">
        <color rgb="FF00B050"/>
      </bottom>
      <diagonal/>
    </border>
    <border diagonalUp="false" diagonalDown="false">
      <left style="thin">
        <color rgb="FF92D050"/>
      </left>
      <right style="medium">
        <color rgb="FF00B050"/>
      </right>
      <top style="thin">
        <color rgb="FF00B050"/>
      </top>
      <bottom style="thin">
        <color rgb="FF00B050"/>
      </bottom>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thin"/>
      <right style="thin"/>
      <top/>
      <bottom style="thin"/>
      <diagonal/>
    </border>
  </borders>
  <cellStyleXfs count="4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7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5" fillId="4" borderId="0" applyFont="true" applyBorder="false" applyAlignment="true" applyProtection="false">
      <alignment horizontal="general" vertical="bottom" textRotation="0" wrapText="false" indent="0" shrinkToFit="false"/>
    </xf>
    <xf numFmtId="164" fontId="5" fillId="0" borderId="0" applyFont="true" applyBorder="false" applyAlignment="true" applyProtection="false">
      <alignment horizontal="general" vertical="bottom" textRotation="0" wrapText="false" indent="0" shrinkToFit="false"/>
    </xf>
    <xf numFmtId="164" fontId="6" fillId="5" borderId="0" applyFont="true" applyBorder="false" applyAlignment="true" applyProtection="false">
      <alignment horizontal="general" vertical="bottom" textRotation="0" wrapText="false" indent="0" shrinkToFit="false"/>
    </xf>
    <xf numFmtId="164" fontId="4" fillId="6"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8" fillId="7" borderId="0" applyFont="true" applyBorder="false" applyAlignment="true" applyProtection="false">
      <alignment horizontal="general" vertical="bottom" textRotation="0" wrapText="false" indent="0" shrinkToFit="false"/>
    </xf>
    <xf numFmtId="164" fontId="9" fillId="0" borderId="0" applyFont="true" applyBorder="fals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12" fillId="0" borderId="0" applyFont="true" applyBorder="false" applyAlignment="true" applyProtection="false">
      <alignment horizontal="general" vertical="bottom" textRotation="0" wrapText="false" indent="0" shrinkToFit="false"/>
    </xf>
    <xf numFmtId="164" fontId="13" fillId="0" borderId="0" applyFont="true" applyBorder="false" applyAlignment="true" applyProtection="false">
      <alignment horizontal="general" vertical="bottom" textRotation="0" wrapText="false" indent="0" shrinkToFit="false"/>
    </xf>
    <xf numFmtId="165" fontId="14" fillId="0" borderId="0" applyFont="true" applyBorder="false" applyAlignment="true" applyProtection="false">
      <alignment horizontal="general" vertical="bottom" textRotation="0" wrapText="false" indent="0" shrinkToFit="false"/>
    </xf>
    <xf numFmtId="165" fontId="14" fillId="0" borderId="0" applyFont="true" applyBorder="false" applyAlignment="true" applyProtection="false">
      <alignment horizontal="general" vertical="bottom" textRotation="0" wrapText="false" indent="0" shrinkToFit="false"/>
    </xf>
    <xf numFmtId="164" fontId="14" fillId="0" borderId="0" applyFont="true" applyBorder="false" applyAlignment="true" applyProtection="false">
      <alignment horizontal="general" vertical="bottom" textRotation="0" wrapText="false" indent="0" shrinkToFit="false"/>
    </xf>
    <xf numFmtId="164" fontId="14" fillId="0" borderId="0" applyFont="true" applyBorder="false" applyAlignment="true" applyProtection="false">
      <alignment horizontal="general" vertical="bottom" textRotation="0" wrapText="false" indent="0" shrinkToFit="false"/>
    </xf>
    <xf numFmtId="164" fontId="15" fillId="8" borderId="1" applyFont="true" applyBorder="true" applyAlignment="true" applyProtection="false">
      <alignment horizontal="general" vertical="bottom" textRotation="0" wrapText="false" indent="0" shrinkToFit="false"/>
    </xf>
    <xf numFmtId="166" fontId="14" fillId="0" borderId="0" applyFont="true" applyBorder="false" applyAlignment="true" applyProtection="false">
      <alignment horizontal="general" vertical="bottom" textRotation="0" wrapText="false" indent="0" shrinkToFit="false"/>
    </xf>
    <xf numFmtId="166" fontId="14" fillId="0" borderId="0" applyFont="true" applyBorder="fals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cellStyleXfs>
  <cellXfs count="3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center" vertical="bottom" textRotation="0" wrapText="false" indent="0" shrinkToFit="false"/>
      <protection locked="true" hidden="false"/>
    </xf>
    <xf numFmtId="167" fontId="17" fillId="0" borderId="0" xfId="0" applyFont="true" applyBorder="false" applyAlignment="true" applyProtection="true">
      <alignment horizontal="general" vertical="bottom" textRotation="0" wrapText="false" indent="0" shrinkToFit="false"/>
      <protection locked="true" hidden="false"/>
    </xf>
    <xf numFmtId="164" fontId="17" fillId="0" borderId="2" xfId="0" applyFont="true" applyBorder="true" applyAlignment="true" applyProtection="true">
      <alignment horizontal="general" vertical="center" textRotation="0" wrapText="false" indent="0" shrinkToFit="false"/>
      <protection locked="true" hidden="false"/>
    </xf>
    <xf numFmtId="164" fontId="17"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true" applyAlignment="true" applyProtection="true">
      <alignment horizontal="center"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7" fillId="0" borderId="0" xfId="0" applyFont="true" applyBorder="false" applyAlignment="true" applyProtection="true">
      <alignment horizontal="center" vertical="center" textRotation="0" wrapText="false" indent="0" shrinkToFit="false"/>
      <protection locked="true" hidden="false"/>
    </xf>
    <xf numFmtId="164" fontId="17" fillId="0" borderId="3" xfId="0" applyFont="true" applyBorder="true" applyAlignment="true" applyProtection="true">
      <alignment horizontal="general" vertical="center" textRotation="0" wrapText="false" indent="0" shrinkToFit="false"/>
      <protection locked="true" hidden="false"/>
    </xf>
    <xf numFmtId="164" fontId="17" fillId="0" borderId="3" xfId="0" applyFont="true" applyBorder="true" applyAlignment="true" applyProtection="true">
      <alignment horizontal="general" vertical="bottom" textRotation="0" wrapText="false" indent="0" shrinkToFit="false"/>
      <protection locked="true" hidden="false"/>
    </xf>
    <xf numFmtId="164" fontId="17" fillId="0" borderId="0" xfId="0" applyFont="true" applyBorder="true" applyAlignment="true" applyProtection="true">
      <alignment horizontal="center" vertical="center" textRotation="0" wrapText="false" indent="0" shrinkToFit="false"/>
      <protection locked="true" hidden="false"/>
    </xf>
    <xf numFmtId="164" fontId="18" fillId="0" borderId="4"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4" fontId="18" fillId="0" borderId="6" xfId="0" applyFont="true" applyBorder="true" applyAlignment="true" applyProtection="true">
      <alignment horizontal="left" vertical="center" textRotation="0" wrapText="false" indent="0" shrinkToFit="false"/>
      <protection locked="true" hidden="false"/>
    </xf>
    <xf numFmtId="164" fontId="18" fillId="0" borderId="7" xfId="0" applyFont="true" applyBorder="true" applyAlignment="true" applyProtection="true">
      <alignment horizontal="left" vertical="center" textRotation="0" wrapText="false" indent="0" shrinkToFit="false"/>
      <protection locked="true" hidden="false"/>
    </xf>
    <xf numFmtId="164" fontId="18" fillId="0" borderId="8" xfId="0" applyFont="true" applyBorder="true" applyAlignment="true" applyProtection="true">
      <alignment horizontal="left" vertical="center" textRotation="0" wrapText="false" indent="0" shrinkToFit="false"/>
      <protection locked="true" hidden="false"/>
    </xf>
    <xf numFmtId="164" fontId="18" fillId="0" borderId="9" xfId="0" applyFont="true" applyBorder="true" applyAlignment="true" applyProtection="true">
      <alignment horizontal="center" vertical="center" textRotation="0" wrapText="false" indent="0" shrinkToFit="false"/>
      <protection locked="fals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18" fillId="0" borderId="0" xfId="0" applyFont="true" applyBorder="true" applyAlignment="true" applyProtection="true">
      <alignment horizontal="center" vertical="center" textRotation="0" wrapText="false" indent="0" shrinkToFit="false"/>
      <protection locked="true" hidden="false"/>
    </xf>
    <xf numFmtId="164" fontId="18" fillId="0" borderId="9" xfId="0" applyFont="true" applyBorder="true" applyAlignment="true" applyProtection="true">
      <alignment horizontal="general" vertical="center" textRotation="0" wrapText="false" indent="0" shrinkToFit="false"/>
      <protection locked="false" hidden="false"/>
    </xf>
    <xf numFmtId="164" fontId="17" fillId="0" borderId="9" xfId="0" applyFont="true" applyBorder="true" applyAlignment="true" applyProtection="true">
      <alignment horizontal="center" vertical="center" textRotation="0" wrapText="false" indent="0" shrinkToFit="false"/>
      <protection locked="false" hidden="false"/>
    </xf>
    <xf numFmtId="168" fontId="17" fillId="0" borderId="10" xfId="0" applyFont="true" applyBorder="true" applyAlignment="true" applyProtection="true">
      <alignment horizontal="center" vertical="center" textRotation="0" wrapText="false" indent="0" shrinkToFit="false"/>
      <protection locked="false" hidden="false"/>
    </xf>
    <xf numFmtId="164" fontId="18" fillId="0" borderId="11" xfId="0" applyFont="true" applyBorder="true" applyAlignment="true" applyProtection="true">
      <alignment horizontal="right" vertical="center" textRotation="0" wrapText="false" indent="0" shrinkToFit="false"/>
      <protection locked="true" hidden="false"/>
    </xf>
    <xf numFmtId="164" fontId="18" fillId="0" borderId="0" xfId="0" applyFont="true" applyBorder="false" applyAlignment="true" applyProtection="true">
      <alignment horizontal="right" vertical="center"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7" fillId="0" borderId="0" xfId="0" applyFont="true" applyBorder="false" applyAlignment="true" applyProtection="true">
      <alignment horizontal="left" vertical="center" textRotation="0" wrapText="false" indent="0" shrinkToFit="false"/>
      <protection locked="true" hidden="false"/>
    </xf>
    <xf numFmtId="164" fontId="17" fillId="0" borderId="12" xfId="0" applyFont="true" applyBorder="true" applyAlignment="true" applyProtection="true">
      <alignment horizontal="center" vertical="center" textRotation="0" wrapText="false" indent="0" shrinkToFit="false"/>
      <protection locked="true" hidden="false"/>
    </xf>
    <xf numFmtId="164" fontId="18" fillId="0" borderId="11" xfId="0" applyFont="true" applyBorder="true" applyAlignment="true" applyProtection="true">
      <alignment horizontal="left" vertical="center" textRotation="0" wrapText="false" indent="0" shrinkToFit="false"/>
      <protection locked="true" hidden="false"/>
    </xf>
    <xf numFmtId="164" fontId="18" fillId="0" borderId="13" xfId="0" applyFont="true" applyBorder="true" applyAlignment="true" applyProtection="true">
      <alignment horizontal="center" vertical="center" textRotation="0" wrapText="false" indent="0" shrinkToFit="false"/>
      <protection locked="true" hidden="false"/>
    </xf>
    <xf numFmtId="164" fontId="18" fillId="0" borderId="12" xfId="0" applyFont="true" applyBorder="true" applyAlignment="true" applyProtection="true">
      <alignment horizontal="center" vertical="center" textRotation="0" wrapText="false" indent="0" shrinkToFit="false"/>
      <protection locked="true" hidden="false"/>
    </xf>
    <xf numFmtId="164" fontId="17" fillId="0" borderId="11" xfId="0" applyFont="true" applyBorder="true" applyAlignment="true" applyProtection="true">
      <alignment horizontal="center" vertical="center" textRotation="0" wrapText="false" indent="0" shrinkToFit="false"/>
      <protection locked="true" hidden="false"/>
    </xf>
    <xf numFmtId="169" fontId="17" fillId="0" borderId="14" xfId="0" applyFont="true" applyBorder="true" applyAlignment="true" applyProtection="true">
      <alignment horizontal="center" vertical="center" textRotation="0" wrapText="false" indent="0" shrinkToFit="false"/>
      <protection locked="false" hidden="false"/>
    </xf>
    <xf numFmtId="164" fontId="17" fillId="0" borderId="9" xfId="0" applyFont="true" applyBorder="true" applyAlignment="true" applyProtection="true">
      <alignment horizontal="center" vertical="center" textRotation="0" wrapText="false" indent="0" shrinkToFit="false"/>
      <protection locked="true" hidden="false"/>
    </xf>
    <xf numFmtId="164" fontId="17" fillId="0" borderId="9" xfId="0" applyFont="true" applyBorder="true" applyAlignment="true" applyProtection="true">
      <alignment horizontal="general" vertical="center" textRotation="0" wrapText="false" indent="0" shrinkToFit="false"/>
      <protection locked="false" hidden="false"/>
    </xf>
    <xf numFmtId="167" fontId="17" fillId="0" borderId="10" xfId="0" applyFont="true" applyBorder="true" applyAlignment="true" applyProtection="true">
      <alignment horizontal="center" vertical="center" textRotation="0" wrapText="false" indent="0" shrinkToFit="false"/>
      <protection locked="false" hidden="false"/>
    </xf>
    <xf numFmtId="164" fontId="17" fillId="0" borderId="11" xfId="0" applyFont="true" applyBorder="true" applyAlignment="true" applyProtection="true">
      <alignment horizontal="general" vertical="center" textRotation="0" wrapText="false" indent="0" shrinkToFit="false"/>
      <protection locked="true" hidden="false"/>
    </xf>
    <xf numFmtId="164" fontId="17" fillId="0" borderId="15" xfId="0" applyFont="true" applyBorder="true" applyAlignment="true" applyProtection="true">
      <alignment horizontal="general" vertical="center" textRotation="0" wrapText="false" indent="0" shrinkToFit="false"/>
      <protection locked="true" hidden="false"/>
    </xf>
    <xf numFmtId="164" fontId="17" fillId="0" borderId="12" xfId="0" applyFont="true" applyBorder="true" applyAlignment="true" applyProtection="true">
      <alignment horizontal="general" vertical="center" textRotation="0" wrapText="false" indent="0" shrinkToFit="false"/>
      <protection locked="true" hidden="false"/>
    </xf>
    <xf numFmtId="170" fontId="17" fillId="0" borderId="9" xfId="0" applyFont="true" applyBorder="true" applyAlignment="true" applyProtection="true">
      <alignment horizontal="center" vertical="center" textRotation="0" wrapText="false" indent="0" shrinkToFit="false"/>
      <protection locked="false" hidden="false"/>
    </xf>
    <xf numFmtId="170" fontId="17" fillId="0" borderId="9" xfId="0" applyFont="true" applyBorder="true" applyAlignment="true" applyProtection="true">
      <alignment horizontal="center" vertical="center" textRotation="0" wrapText="false" indent="0" shrinkToFit="false"/>
      <protection locked="true" hidden="false"/>
    </xf>
    <xf numFmtId="164" fontId="17" fillId="0" borderId="10" xfId="0" applyFont="true" applyBorder="true" applyAlignment="true" applyProtection="true">
      <alignment horizontal="center" vertical="center" textRotation="0" wrapText="false" indent="0" shrinkToFit="false"/>
      <protection locked="false" hidden="false"/>
    </xf>
    <xf numFmtId="164" fontId="20" fillId="0" borderId="10" xfId="0" applyFont="true" applyBorder="true" applyAlignment="true" applyProtection="true">
      <alignment horizontal="general" vertical="bottom" textRotation="0" wrapText="false" indent="0" shrinkToFit="false"/>
      <protection locked="false" hidden="false"/>
    </xf>
    <xf numFmtId="164" fontId="17" fillId="0" borderId="16" xfId="0" applyFont="true" applyBorder="true" applyAlignment="true" applyProtection="true">
      <alignment horizontal="general" vertical="center" textRotation="0" wrapText="false" indent="0" shrinkToFit="false"/>
      <protection locked="true" hidden="false"/>
    </xf>
    <xf numFmtId="164" fontId="17" fillId="0" borderId="4" xfId="0" applyFont="true" applyBorder="true" applyAlignment="true" applyProtection="true">
      <alignment horizontal="general" vertical="center" textRotation="0" wrapText="false" indent="0" shrinkToFit="false"/>
      <protection locked="true" hidden="false"/>
    </xf>
    <xf numFmtId="164" fontId="17" fillId="0" borderId="17" xfId="0" applyFont="true" applyBorder="true" applyAlignment="true" applyProtection="true">
      <alignment horizontal="general" vertical="center" textRotation="0" wrapText="false" indent="0" shrinkToFit="false"/>
      <protection locked="true" hidden="false"/>
    </xf>
    <xf numFmtId="164" fontId="18" fillId="0" borderId="18" xfId="0" applyFont="true" applyBorder="true" applyAlignment="true" applyProtection="true">
      <alignment horizontal="left" vertical="center" textRotation="0" wrapText="false" indent="0" shrinkToFit="false"/>
      <protection locked="true" hidden="false"/>
    </xf>
    <xf numFmtId="164" fontId="18" fillId="0" borderId="19" xfId="0" applyFont="true" applyBorder="true" applyAlignment="true" applyProtection="true">
      <alignment horizontal="left" vertical="center" textRotation="0" wrapText="false" indent="0" shrinkToFit="false"/>
      <protection locked="true" hidden="false"/>
    </xf>
    <xf numFmtId="164" fontId="17" fillId="0" borderId="9" xfId="0" applyFont="true" applyBorder="true" applyAlignment="true" applyProtection="true">
      <alignment horizontal="general" vertical="bottom" textRotation="0" wrapText="false" indent="0" shrinkToFit="false"/>
      <protection locked="false" hidden="false"/>
    </xf>
    <xf numFmtId="164" fontId="18" fillId="0" borderId="13" xfId="0" applyFont="true" applyBorder="true" applyAlignment="true" applyProtection="true">
      <alignment horizontal="right" vertical="center" textRotation="0" wrapText="false" indent="0" shrinkToFit="false"/>
      <protection locked="true" hidden="false"/>
    </xf>
    <xf numFmtId="164" fontId="18" fillId="0" borderId="0" xfId="0" applyFont="true" applyBorder="true" applyAlignment="true" applyProtection="true">
      <alignment horizontal="right" vertical="center" textRotation="0" wrapText="false" indent="0" shrinkToFit="false"/>
      <protection locked="true" hidden="false"/>
    </xf>
    <xf numFmtId="171" fontId="17" fillId="0" borderId="10" xfId="0" applyFont="true" applyBorder="true" applyAlignment="true" applyProtection="true">
      <alignment horizontal="general" vertical="bottom" textRotation="0" wrapText="false" indent="0" shrinkToFit="false"/>
      <protection locked="false" hidden="false"/>
    </xf>
    <xf numFmtId="164" fontId="17" fillId="0" borderId="9" xfId="0" applyFont="true" applyBorder="true" applyAlignment="true" applyProtection="true">
      <alignment horizontal="general" vertical="bottom" textRotation="0" wrapText="false" indent="0" shrinkToFit="true"/>
      <protection locked="false" hidden="false"/>
    </xf>
    <xf numFmtId="168" fontId="17" fillId="0" borderId="9" xfId="0" applyFont="true" applyBorder="true" applyAlignment="true" applyProtection="true">
      <alignment horizontal="general" vertical="bottom" textRotation="0" wrapText="false" indent="0" shrinkToFit="true"/>
      <protection locked="false" hidden="false"/>
    </xf>
    <xf numFmtId="172" fontId="17" fillId="0" borderId="9" xfId="0" applyFont="true" applyBorder="true" applyAlignment="true" applyProtection="true">
      <alignment horizontal="center" vertical="center" textRotation="0" wrapText="false" indent="0" shrinkToFit="false"/>
      <protection locked="false" hidden="false"/>
    </xf>
    <xf numFmtId="172" fontId="17" fillId="0" borderId="12" xfId="0" applyFont="true" applyBorder="true" applyAlignment="true" applyProtection="true">
      <alignment horizontal="center" vertical="center" textRotation="0" wrapText="false" indent="0" shrinkToFit="false"/>
      <protection locked="true" hidden="false"/>
    </xf>
    <xf numFmtId="164" fontId="17" fillId="0" borderId="10" xfId="0" applyFont="true" applyBorder="true" applyAlignment="true" applyProtection="true">
      <alignment horizontal="general" vertical="bottom" textRotation="0" wrapText="false" indent="0" shrinkToFit="false"/>
      <protection locked="false" hidden="false"/>
    </xf>
    <xf numFmtId="164" fontId="18" fillId="0" borderId="8" xfId="0" applyFont="true" applyBorder="true" applyAlignment="true" applyProtection="true">
      <alignment horizontal="general" vertical="center" textRotation="0" wrapText="false" indent="0" shrinkToFit="false"/>
      <protection locked="true" hidden="false"/>
    </xf>
    <xf numFmtId="173" fontId="17" fillId="0" borderId="9" xfId="0" applyFont="true" applyBorder="true" applyAlignment="true" applyProtection="true">
      <alignment horizontal="general" vertical="bottom" textRotation="0" wrapText="false" indent="0" shrinkToFit="false"/>
      <protection locked="false" hidden="false"/>
    </xf>
    <xf numFmtId="171" fontId="17" fillId="0" borderId="9" xfId="0" applyFont="true" applyBorder="true" applyAlignment="true" applyProtection="true">
      <alignment horizontal="general" vertical="bottom" textRotation="0" wrapText="false" indent="0" shrinkToFit="false"/>
      <protection locked="false" hidden="false"/>
    </xf>
    <xf numFmtId="164" fontId="18" fillId="0" borderId="20" xfId="0" applyFont="true" applyBorder="true" applyAlignment="true" applyProtection="true">
      <alignment horizontal="left" vertical="center" textRotation="0" wrapText="false" indent="0" shrinkToFit="false"/>
      <protection locked="true" hidden="false"/>
    </xf>
    <xf numFmtId="173" fontId="17" fillId="0" borderId="21" xfId="0" applyFont="true" applyBorder="true" applyAlignment="true" applyProtection="true">
      <alignment horizontal="general" vertical="bottom" textRotation="0" wrapText="false" indent="0" shrinkToFit="false"/>
      <protection locked="false" hidden="false"/>
    </xf>
    <xf numFmtId="164" fontId="18" fillId="0" borderId="22" xfId="31" applyFont="true" applyBorder="true" applyAlignment="true" applyProtection="true">
      <alignment horizontal="right" vertical="center" textRotation="0" wrapText="false" indent="0" shrinkToFit="false"/>
      <protection locked="true" hidden="false"/>
    </xf>
    <xf numFmtId="171" fontId="17" fillId="0" borderId="21" xfId="0" applyFont="true" applyBorder="true" applyAlignment="true" applyProtection="true">
      <alignment horizontal="general" vertical="bottom" textRotation="0" wrapText="false" indent="0" shrinkToFit="false"/>
      <protection locked="false" hidden="false"/>
    </xf>
    <xf numFmtId="164" fontId="17" fillId="0" borderId="23" xfId="0" applyFont="true" applyBorder="true" applyAlignment="true" applyProtection="true">
      <alignment horizontal="general" vertical="bottom" textRotation="0" wrapText="false" indent="0" shrinkToFit="false"/>
      <protection locked="false" hidden="false"/>
    </xf>
    <xf numFmtId="164" fontId="17" fillId="0" borderId="21" xfId="0" applyFont="true" applyBorder="true" applyAlignment="true" applyProtection="true">
      <alignment horizontal="center" vertical="center" textRotation="0" wrapText="false" indent="0" shrinkToFit="false"/>
      <protection locked="false" hidden="false"/>
    </xf>
    <xf numFmtId="164" fontId="18" fillId="0" borderId="24" xfId="0" applyFont="true" applyBorder="true" applyAlignment="true" applyProtection="true">
      <alignment horizontal="right" vertical="center" textRotation="0" wrapText="false" indent="0" shrinkToFit="false"/>
      <protection locked="true" hidden="false"/>
    </xf>
    <xf numFmtId="164" fontId="17" fillId="0" borderId="25" xfId="0" applyFont="true" applyBorder="true" applyAlignment="true" applyProtection="true">
      <alignment horizontal="general" vertical="center" textRotation="0" wrapText="false" indent="0" shrinkToFit="false"/>
      <protection locked="true" hidden="false"/>
    </xf>
    <xf numFmtId="164" fontId="17" fillId="0" borderId="26" xfId="0" applyFont="true" applyBorder="true" applyAlignment="true" applyProtection="true">
      <alignment horizontal="general" vertical="center" textRotation="0" wrapText="false" indent="0" shrinkToFit="false"/>
      <protection locked="true" hidden="false"/>
    </xf>
    <xf numFmtId="164" fontId="17" fillId="0" borderId="27" xfId="0" applyFont="true" applyBorder="true" applyAlignment="true" applyProtection="true">
      <alignment horizontal="general" vertical="center" textRotation="0" wrapText="false" indent="0" shrinkToFit="false"/>
      <protection locked="true" hidden="false"/>
    </xf>
    <xf numFmtId="164" fontId="18" fillId="0" borderId="18" xfId="0" applyFont="true" applyBorder="true" applyAlignment="true" applyProtection="true">
      <alignment horizontal="center" vertical="center" textRotation="0" wrapText="false" indent="0" shrinkToFit="false"/>
      <protection locked="true" hidden="false"/>
    </xf>
    <xf numFmtId="164" fontId="17" fillId="0" borderId="5" xfId="0" applyFont="true" applyBorder="true" applyAlignment="true" applyProtection="true">
      <alignment horizontal="general" vertical="center" textRotation="0" wrapText="false" indent="0" shrinkToFit="false"/>
      <protection locked="true" hidden="false"/>
    </xf>
    <xf numFmtId="164" fontId="17" fillId="0" borderId="6" xfId="0" applyFont="true" applyBorder="true" applyAlignment="true" applyProtection="true">
      <alignment horizontal="general" vertical="center" textRotation="0" wrapText="false" indent="0" shrinkToFit="false"/>
      <protection locked="true" hidden="false"/>
    </xf>
    <xf numFmtId="164" fontId="17" fillId="0" borderId="19" xfId="0" applyFont="true" applyBorder="tru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18" fillId="0" borderId="9" xfId="0" applyFont="true" applyBorder="true" applyAlignment="true" applyProtection="true">
      <alignment horizontal="center" vertical="center" textRotation="0" wrapText="false" indent="0" shrinkToFit="false"/>
      <protection locked="true" hidden="false"/>
    </xf>
    <xf numFmtId="164" fontId="18" fillId="0" borderId="10" xfId="0" applyFont="true" applyBorder="true" applyAlignment="true" applyProtection="true">
      <alignment horizontal="center" vertical="center" textRotation="0" wrapText="false" indent="0" shrinkToFit="false"/>
      <protection locked="true" hidden="false"/>
    </xf>
    <xf numFmtId="164" fontId="18" fillId="0" borderId="14" xfId="0" applyFont="true" applyBorder="true" applyAlignment="true" applyProtection="true">
      <alignment horizontal="left" vertical="center" textRotation="0" wrapText="false" indent="0" shrinkToFit="false"/>
      <protection locked="true" hidden="false"/>
    </xf>
    <xf numFmtId="164" fontId="21" fillId="0" borderId="9" xfId="0" applyFont="true" applyBorder="true" applyAlignment="true" applyProtection="true">
      <alignment horizontal="center" vertical="bottom" textRotation="0" wrapText="false" indent="0" shrinkToFit="false"/>
      <protection locked="false" hidden="false"/>
    </xf>
    <xf numFmtId="164" fontId="17" fillId="0" borderId="10" xfId="0" applyFont="true" applyBorder="true" applyAlignment="true" applyProtection="true">
      <alignment horizontal="center" vertical="bottom" textRotation="0" wrapText="false" indent="0" shrinkToFit="false"/>
      <protection locked="false" hidden="false"/>
    </xf>
    <xf numFmtId="169" fontId="21" fillId="0" borderId="9" xfId="0" applyFont="true" applyBorder="true" applyAlignment="true" applyProtection="true">
      <alignment horizontal="center" vertical="bottom" textRotation="0" wrapText="false" indent="0" shrinkToFit="false"/>
      <protection locked="false" hidden="false"/>
    </xf>
    <xf numFmtId="174" fontId="17" fillId="0" borderId="10" xfId="0" applyFont="true" applyBorder="true" applyAlignment="true" applyProtection="true">
      <alignment horizontal="center" vertical="bottom" textRotation="0" wrapText="false" indent="0" shrinkToFit="false"/>
      <protection locked="false" hidden="false"/>
    </xf>
    <xf numFmtId="164" fontId="18" fillId="0" borderId="0" xfId="0" applyFont="true" applyBorder="false" applyAlignment="true" applyProtection="true">
      <alignment horizontal="left" vertical="center" textRotation="0" wrapText="false" indent="0" shrinkToFit="false"/>
      <protection locked="true" hidden="false"/>
    </xf>
    <xf numFmtId="170" fontId="17" fillId="0" borderId="0" xfId="0" applyFont="true" applyBorder="false" applyAlignment="true" applyProtection="true">
      <alignment horizontal="center" vertical="center" textRotation="0" wrapText="false" indent="0" shrinkToFit="false"/>
      <protection locked="true" hidden="false"/>
    </xf>
    <xf numFmtId="170" fontId="17" fillId="0" borderId="12" xfId="0" applyFont="true" applyBorder="true" applyAlignment="true" applyProtection="true">
      <alignment horizontal="center" vertical="center" textRotation="0" wrapText="false" indent="0" shrinkToFit="false"/>
      <protection locked="true" hidden="false"/>
    </xf>
    <xf numFmtId="164" fontId="18" fillId="0" borderId="9" xfId="0" applyFont="true" applyBorder="true" applyAlignment="true" applyProtection="true">
      <alignment horizontal="center" vertical="bottom" textRotation="0" wrapText="false" indent="0" shrinkToFit="false"/>
      <protection locked="false" hidden="false"/>
    </xf>
    <xf numFmtId="164" fontId="18" fillId="0" borderId="28" xfId="0" applyFont="true" applyBorder="true" applyAlignment="true" applyProtection="true">
      <alignment horizontal="left" vertical="center" textRotation="0" wrapText="false" indent="0" shrinkToFit="false"/>
      <protection locked="true" hidden="false"/>
    </xf>
    <xf numFmtId="164" fontId="17" fillId="0" borderId="29" xfId="0" applyFont="true" applyBorder="true" applyAlignment="true" applyProtection="true">
      <alignment horizontal="center" vertical="center" textRotation="0" wrapText="false" indent="0" shrinkToFit="false"/>
      <protection locked="fals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12" xfId="0" applyFont="false" applyBorder="true" applyAlignment="true" applyProtection="true">
      <alignment horizontal="general" vertical="center" textRotation="0" wrapText="false" indent="0" shrinkToFit="false"/>
      <protection locked="true" hidden="false"/>
    </xf>
    <xf numFmtId="164" fontId="17" fillId="0" borderId="30" xfId="0" applyFont="true" applyBorder="true" applyAlignment="true" applyProtection="true">
      <alignment horizontal="general" vertical="center" textRotation="0" wrapText="false" indent="0" shrinkToFit="false"/>
      <protection locked="true" hidden="false"/>
    </xf>
    <xf numFmtId="164" fontId="17" fillId="0" borderId="21" xfId="0" applyFont="true" applyBorder="true" applyAlignment="true" applyProtection="true">
      <alignment horizontal="general" vertical="bottom" textRotation="0" wrapText="false" indent="0" shrinkToFit="false"/>
      <protection locked="false" hidden="false"/>
    </xf>
    <xf numFmtId="164" fontId="18" fillId="0" borderId="22" xfId="0" applyFont="true" applyBorder="true" applyAlignment="true" applyProtection="true">
      <alignment horizontal="right" vertical="center" textRotation="0" wrapText="false" indent="0" shrinkToFit="false"/>
      <protection locked="true" hidden="false"/>
    </xf>
    <xf numFmtId="164" fontId="17" fillId="0" borderId="0" xfId="31" applyFont="true" applyBorder="true" applyAlignment="true" applyProtection="true">
      <alignment horizontal="center" vertical="center" textRotation="0" wrapText="false" indent="0" shrinkToFit="false"/>
      <protection locked="true" hidden="false"/>
    </xf>
    <xf numFmtId="164" fontId="17" fillId="0" borderId="12" xfId="31" applyFont="true" applyBorder="true" applyAlignment="true" applyProtection="true">
      <alignment horizontal="center" vertical="center" textRotation="0" wrapText="false" indent="0" shrinkToFit="false"/>
      <protection locked="true" hidden="false"/>
    </xf>
    <xf numFmtId="164" fontId="18" fillId="0" borderId="31" xfId="0" applyFont="true" applyBorder="true" applyAlignment="true" applyProtection="true">
      <alignment horizontal="left" vertical="center" textRotation="0" wrapText="false" indent="0" shrinkToFit="false"/>
      <protection locked="true" hidden="false"/>
    </xf>
    <xf numFmtId="164" fontId="18" fillId="0" borderId="14" xfId="0" applyFont="true" applyBorder="true" applyAlignment="true" applyProtection="true">
      <alignment horizontal="center" vertical="center" textRotation="0" wrapText="false" indent="0" shrinkToFit="false"/>
      <protection locked="true" hidden="false"/>
    </xf>
    <xf numFmtId="164" fontId="17" fillId="0" borderId="14" xfId="0" applyFont="true" applyBorder="true" applyAlignment="true" applyProtection="true">
      <alignment horizontal="general" vertical="bottom" textRotation="0" wrapText="false" indent="0" shrinkToFit="false"/>
      <protection locked="false" hidden="false"/>
    </xf>
    <xf numFmtId="164" fontId="17" fillId="0" borderId="32" xfId="0" applyFont="true" applyBorder="true" applyAlignment="true" applyProtection="true">
      <alignment horizontal="general" vertical="bottom" textRotation="0" wrapText="false" indent="0" shrinkToFit="false"/>
      <protection locked="false" hidden="false"/>
    </xf>
    <xf numFmtId="164" fontId="17" fillId="0" borderId="33" xfId="0" applyFont="true" applyBorder="true" applyAlignment="true" applyProtection="true">
      <alignment horizontal="general" vertical="center" textRotation="0" wrapText="false" indent="0" shrinkToFit="false"/>
      <protection locked="false" hidden="false"/>
    </xf>
    <xf numFmtId="164" fontId="22" fillId="0" borderId="34" xfId="0" applyFont="true" applyBorder="true" applyAlignment="true" applyProtection="true">
      <alignment horizontal="general" vertical="center" textRotation="0" wrapText="false" indent="0" shrinkToFit="false"/>
      <protection locked="false" hidden="false"/>
    </xf>
    <xf numFmtId="164" fontId="17" fillId="0" borderId="34" xfId="0" applyFont="true" applyBorder="true" applyAlignment="true" applyProtection="true">
      <alignment horizontal="general" vertical="center" textRotation="0" wrapText="false" indent="0" shrinkToFit="false"/>
      <protection locked="false" hidden="false"/>
    </xf>
    <xf numFmtId="164" fontId="17" fillId="0" borderId="35" xfId="0" applyFont="true" applyBorder="true" applyAlignment="true" applyProtection="true">
      <alignment horizontal="general" vertical="center" textRotation="0" wrapText="false" indent="0" shrinkToFit="false"/>
      <protection locked="false" hidden="false"/>
    </xf>
    <xf numFmtId="164" fontId="17" fillId="0" borderId="36" xfId="0" applyFont="true" applyBorder="true" applyAlignment="true" applyProtection="true">
      <alignment horizontal="general" vertical="center" textRotation="0" wrapText="false" indent="0" shrinkToFit="false"/>
      <protection locked="false" hidden="false"/>
    </xf>
    <xf numFmtId="164" fontId="23" fillId="0" borderId="37" xfId="0" applyFont="true" applyBorder="true" applyAlignment="true" applyProtection="true">
      <alignment horizontal="general" vertical="center" textRotation="0" wrapText="false" indent="0" shrinkToFit="false"/>
      <protection locked="false" hidden="false"/>
    </xf>
    <xf numFmtId="164" fontId="17" fillId="0" borderId="37" xfId="0" applyFont="true" applyBorder="true" applyAlignment="true" applyProtection="true">
      <alignment horizontal="general" vertical="center" textRotation="0" wrapText="false" indent="0" shrinkToFit="false"/>
      <protection locked="false" hidden="false"/>
    </xf>
    <xf numFmtId="164" fontId="17" fillId="0" borderId="38" xfId="0" applyFont="true" applyBorder="true" applyAlignment="true" applyProtection="true">
      <alignment horizontal="general" vertical="center" textRotation="0" wrapText="false" indent="0" shrinkToFit="false"/>
      <protection locked="false" hidden="false"/>
    </xf>
    <xf numFmtId="164" fontId="21" fillId="0" borderId="37" xfId="0" applyFont="true" applyBorder="true" applyAlignment="true" applyProtection="true">
      <alignment horizontal="general" vertical="center" textRotation="0" wrapText="false" indent="0" shrinkToFit="false"/>
      <protection locked="false" hidden="false"/>
    </xf>
    <xf numFmtId="164" fontId="17" fillId="0" borderId="39" xfId="0" applyFont="true" applyBorder="true" applyAlignment="true" applyProtection="true">
      <alignment horizontal="general" vertical="center" textRotation="0" wrapText="false" indent="0" shrinkToFit="false"/>
      <protection locked="false" hidden="false"/>
    </xf>
    <xf numFmtId="164" fontId="17" fillId="0" borderId="40" xfId="0" applyFont="true" applyBorder="true" applyAlignment="true" applyProtection="true">
      <alignment horizontal="general" vertical="center" textRotation="0" wrapText="false" indent="0" shrinkToFit="false"/>
      <protection locked="false" hidden="false"/>
    </xf>
    <xf numFmtId="164" fontId="17" fillId="0" borderId="41" xfId="0" applyFont="true" applyBorder="true" applyAlignment="true" applyProtection="true">
      <alignment horizontal="general" vertical="center" textRotation="0" wrapText="false" indent="0" shrinkToFit="false"/>
      <protection locked="false" hidden="false"/>
    </xf>
    <xf numFmtId="164" fontId="17" fillId="0" borderId="42" xfId="0" applyFont="true" applyBorder="true" applyAlignment="true" applyProtection="true">
      <alignment horizontal="general" vertical="center" textRotation="0" wrapText="false" indent="0" shrinkToFit="false"/>
      <protection locked="false" hidden="false"/>
    </xf>
    <xf numFmtId="164" fontId="17" fillId="0" borderId="43" xfId="0" applyFont="true" applyBorder="true" applyAlignment="true" applyProtection="true">
      <alignment horizontal="general" vertical="center" textRotation="0" wrapText="false" indent="0" shrinkToFit="false"/>
      <protection locked="false" hidden="false"/>
    </xf>
    <xf numFmtId="164" fontId="24" fillId="0" borderId="44" xfId="0" applyFont="true" applyBorder="true" applyAlignment="true" applyProtection="true">
      <alignment horizontal="left" vertical="center" textRotation="0" wrapText="true" indent="0" shrinkToFit="false"/>
      <protection locked="true" hidden="false"/>
    </xf>
    <xf numFmtId="164" fontId="25" fillId="0" borderId="45" xfId="0" applyFont="true" applyBorder="true" applyAlignment="true" applyProtection="true">
      <alignment horizontal="center" vertical="center" textRotation="0" wrapText="true" indent="0" shrinkToFit="false"/>
      <protection locked="true" hidden="false"/>
    </xf>
    <xf numFmtId="164" fontId="26" fillId="0" borderId="11" xfId="0" applyFont="true" applyBorder="true" applyAlignment="true" applyProtection="true">
      <alignment horizontal="center" vertical="center" textRotation="0" wrapText="false" indent="0" shrinkToFit="false"/>
      <protection locked="true" hidden="false"/>
    </xf>
    <xf numFmtId="164" fontId="26" fillId="0" borderId="0" xfId="0" applyFont="true" applyBorder="false" applyAlignment="true" applyProtection="true">
      <alignment horizontal="center" vertical="center" textRotation="0" wrapText="false" indent="0" shrinkToFit="false"/>
      <protection locked="true" hidden="false"/>
    </xf>
    <xf numFmtId="164" fontId="26" fillId="0" borderId="12" xfId="0" applyFont="true" applyBorder="true" applyAlignment="true" applyProtection="true">
      <alignment horizontal="center" vertical="center" textRotation="0" wrapText="false" indent="0" shrinkToFit="false"/>
      <protection locked="true" hidden="false"/>
    </xf>
    <xf numFmtId="164" fontId="27" fillId="9" borderId="46" xfId="0" applyFont="true" applyBorder="true" applyAlignment="true" applyProtection="true">
      <alignment horizontal="right" vertical="center" textRotation="0" wrapText="true" indent="0" shrinkToFit="false"/>
      <protection locked="true" hidden="false"/>
    </xf>
    <xf numFmtId="164" fontId="17" fillId="0" borderId="18" xfId="0" applyFont="true" applyBorder="true" applyAlignment="true" applyProtection="true">
      <alignment horizontal="general" vertical="center" textRotation="0" wrapText="false" indent="0" shrinkToFit="false"/>
      <protection locked="false" hidden="false"/>
    </xf>
    <xf numFmtId="164" fontId="27" fillId="9" borderId="12" xfId="0" applyFont="true" applyBorder="true" applyAlignment="true" applyProtection="true">
      <alignment horizontal="right" vertical="center" textRotation="0" wrapText="true" indent="0" shrinkToFit="false"/>
      <protection locked="true" hidden="false"/>
    </xf>
    <xf numFmtId="164" fontId="18" fillId="9" borderId="18" xfId="0" applyFont="true" applyBorder="true" applyAlignment="true" applyProtection="true">
      <alignment horizontal="left" vertical="center" textRotation="0" wrapText="false" indent="0" shrinkToFit="false"/>
      <protection locked="false" hidden="false"/>
    </xf>
    <xf numFmtId="164" fontId="0" fillId="9" borderId="11" xfId="0" applyFont="false" applyBorder="true" applyAlignment="true" applyProtection="true">
      <alignment horizontal="general" vertical="center" textRotation="0" wrapText="false" indent="0" shrinkToFit="false"/>
      <protection locked="true" hidden="false"/>
    </xf>
    <xf numFmtId="164" fontId="0" fillId="9" borderId="12" xfId="0" applyFont="false" applyBorder="true" applyAlignment="true" applyProtection="true">
      <alignment horizontal="general" vertical="center" textRotation="0" wrapText="false" indent="0" shrinkToFit="false"/>
      <protection locked="true" hidden="false"/>
    </xf>
    <xf numFmtId="164" fontId="18" fillId="9" borderId="0" xfId="0" applyFont="true" applyBorder="false" applyAlignment="true" applyProtection="true">
      <alignment horizontal="general" vertical="center" textRotation="0" wrapText="false" indent="0" shrinkToFit="false"/>
      <protection locked="true" hidden="false"/>
    </xf>
    <xf numFmtId="164" fontId="18" fillId="0" borderId="47" xfId="0" applyFont="true" applyBorder="true" applyAlignment="true" applyProtection="true">
      <alignment horizontal="center" vertical="center" textRotation="0" wrapText="false" indent="0" shrinkToFit="false"/>
      <protection locked="true" hidden="false"/>
    </xf>
    <xf numFmtId="164" fontId="18" fillId="0" borderId="12" xfId="0" applyFont="true" applyBorder="true" applyAlignment="true" applyProtection="true">
      <alignment horizontal="general" vertical="center" textRotation="0" wrapText="false" indent="0" shrinkToFit="false"/>
      <protection locked="true" hidden="false"/>
    </xf>
    <xf numFmtId="164" fontId="18" fillId="0" borderId="16" xfId="0" applyFont="true" applyBorder="true" applyAlignment="true" applyProtection="true">
      <alignment horizontal="center" vertical="center" textRotation="0" wrapText="false" indent="0" shrinkToFit="false"/>
      <protection locked="true" hidden="false"/>
    </xf>
    <xf numFmtId="164" fontId="18" fillId="0" borderId="4" xfId="0" applyFont="true" applyBorder="true" applyAlignment="true" applyProtection="true">
      <alignment horizontal="center" vertical="center" textRotation="0" wrapText="false" indent="0" shrinkToFit="false"/>
      <protection locked="true" hidden="false"/>
    </xf>
    <xf numFmtId="164" fontId="18" fillId="9" borderId="16" xfId="0" applyFont="true" applyBorder="true" applyAlignment="true" applyProtection="true">
      <alignment horizontal="general" vertical="center" textRotation="0" wrapText="false" indent="0" shrinkToFit="false"/>
      <protection locked="true" hidden="false"/>
    </xf>
    <xf numFmtId="164" fontId="18" fillId="9" borderId="4" xfId="0" applyFont="true" applyBorder="true" applyAlignment="true" applyProtection="true">
      <alignment horizontal="general" vertical="center" textRotation="0" wrapText="false" indent="0" shrinkToFit="false"/>
      <protection locked="true" hidden="false"/>
    </xf>
    <xf numFmtId="164" fontId="18" fillId="9" borderId="48" xfId="0" applyFont="true" applyBorder="true" applyAlignment="true" applyProtection="true">
      <alignment horizontal="center" vertical="center" textRotation="0" wrapText="false" indent="0" shrinkToFit="false"/>
      <protection locked="true" hidden="false"/>
    </xf>
    <xf numFmtId="164" fontId="18" fillId="0" borderId="45" xfId="0" applyFont="true" applyBorder="true" applyAlignment="true" applyProtection="true">
      <alignment horizontal="left" vertical="center" textRotation="0" wrapText="false" indent="0" shrinkToFit="false"/>
      <protection locked="true" hidden="false"/>
    </xf>
    <xf numFmtId="164" fontId="18" fillId="0" borderId="16" xfId="0" applyFont="true" applyBorder="true" applyAlignment="true" applyProtection="true">
      <alignment horizontal="left" vertical="center" textRotation="0" wrapText="false" indent="0" shrinkToFit="false"/>
      <protection locked="true" hidden="false"/>
    </xf>
    <xf numFmtId="164" fontId="18" fillId="0" borderId="49" xfId="0" applyFont="true" applyBorder="true" applyAlignment="true" applyProtection="true">
      <alignment horizontal="center" vertical="center" textRotation="0" wrapText="false" indent="0" shrinkToFit="false"/>
      <protection locked="true" hidden="false"/>
    </xf>
    <xf numFmtId="164" fontId="28" fillId="0" borderId="50" xfId="0" applyFont="true" applyBorder="true" applyAlignment="true" applyProtection="true">
      <alignment horizontal="center" vertical="center" textRotation="0" wrapText="false" indent="0" shrinkToFit="false"/>
      <protection locked="true" hidden="false"/>
    </xf>
    <xf numFmtId="164" fontId="28" fillId="0" borderId="29" xfId="0" applyFont="true" applyBorder="true" applyAlignment="true" applyProtection="true">
      <alignment horizontal="center" vertical="center" textRotation="0" wrapText="false" indent="0" shrinkToFit="false"/>
      <protection locked="true" hidden="false"/>
    </xf>
    <xf numFmtId="164" fontId="28" fillId="0" borderId="31" xfId="0" applyFont="true" applyBorder="true" applyAlignment="true" applyProtection="true">
      <alignment horizontal="center" vertical="center" textRotation="0" wrapText="false" indent="0" shrinkToFit="false"/>
      <protection locked="true" hidden="false"/>
    </xf>
    <xf numFmtId="164" fontId="17" fillId="0" borderId="9" xfId="0" applyFont="true" applyBorder="true" applyAlignment="true" applyProtection="true">
      <alignment horizontal="left" vertical="bottom" textRotation="0" wrapText="false" indent="0" shrinkToFit="false"/>
      <protection locked="false" hidden="false"/>
    </xf>
    <xf numFmtId="175" fontId="17" fillId="0" borderId="9" xfId="17" applyFont="true" applyBorder="true" applyAlignment="true" applyProtection="true">
      <alignment horizontal="center" vertical="center" textRotation="0" wrapText="false" indent="0" shrinkToFit="true"/>
      <protection locked="true" hidden="false"/>
    </xf>
    <xf numFmtId="175" fontId="17" fillId="0" borderId="10" xfId="17" applyFont="true" applyBorder="true" applyAlignment="true" applyProtection="true">
      <alignment horizontal="center" vertical="center" textRotation="0" wrapText="false" indent="0" shrinkToFit="true"/>
      <protection locked="true" hidden="false"/>
    </xf>
    <xf numFmtId="166" fontId="17" fillId="0" borderId="51" xfId="19" applyFont="true" applyBorder="true" applyAlignment="true" applyProtection="true">
      <alignment horizontal="center" vertical="center" textRotation="0" wrapText="false" indent="0" shrinkToFit="false"/>
      <protection locked="true" hidden="false"/>
    </xf>
    <xf numFmtId="175" fontId="17" fillId="0" borderId="21" xfId="17" applyFont="true" applyBorder="true" applyAlignment="true" applyProtection="true">
      <alignment horizontal="center" vertical="center" textRotation="0" wrapText="false" indent="0" shrinkToFit="true"/>
      <protection locked="true" hidden="false"/>
    </xf>
    <xf numFmtId="175" fontId="17" fillId="0" borderId="23" xfId="17" applyFont="true" applyBorder="true" applyAlignment="true" applyProtection="true">
      <alignment horizontal="center" vertical="center" textRotation="0" wrapText="false" indent="0" shrinkToFit="true"/>
      <protection locked="true" hidden="false"/>
    </xf>
    <xf numFmtId="164" fontId="18" fillId="0" borderId="52" xfId="0" applyFont="true" applyBorder="true" applyAlignment="true" applyProtection="true">
      <alignment horizontal="center" vertical="center" textRotation="0" wrapText="false" indent="0" shrinkToFit="false"/>
      <protection locked="true" hidden="false"/>
    </xf>
    <xf numFmtId="175" fontId="18" fillId="0" borderId="18" xfId="17" applyFont="true" applyBorder="true" applyAlignment="true" applyProtection="true">
      <alignment horizontal="center" vertical="center" textRotation="0" wrapText="false" indent="0" shrinkToFit="true"/>
      <protection locked="true" hidden="false"/>
    </xf>
    <xf numFmtId="166" fontId="18" fillId="0" borderId="18" xfId="19" applyFont="true" applyBorder="true" applyAlignment="true" applyProtection="true">
      <alignment horizontal="center" vertical="center" textRotation="0" wrapText="false" indent="0" shrinkToFit="false"/>
      <protection locked="true" hidden="false"/>
    </xf>
    <xf numFmtId="164" fontId="18" fillId="0" borderId="11" xfId="0" applyFont="true" applyBorder="true" applyAlignment="true" applyProtection="true">
      <alignment horizontal="center" vertical="center" textRotation="0" wrapText="false" indent="0" shrinkToFit="false"/>
      <protection locked="true" hidden="false"/>
    </xf>
    <xf numFmtId="167" fontId="18" fillId="0" borderId="4" xfId="0" applyFont="true" applyBorder="true" applyAlignment="true" applyProtection="true">
      <alignment horizontal="center" vertical="center" textRotation="0" wrapText="false" indent="0" shrinkToFit="false"/>
      <protection locked="true" hidden="false"/>
    </xf>
    <xf numFmtId="167" fontId="18" fillId="0" borderId="17" xfId="0" applyFont="true" applyBorder="true" applyAlignment="true" applyProtection="true">
      <alignment horizontal="center" vertical="center" textRotation="0" wrapText="false" indent="0" shrinkToFit="false"/>
      <protection locked="true" hidden="false"/>
    </xf>
    <xf numFmtId="164" fontId="18" fillId="0" borderId="53" xfId="0" applyFont="true" applyBorder="true" applyAlignment="true" applyProtection="true">
      <alignment horizontal="center" vertical="center" textRotation="0" wrapText="false" indent="0" shrinkToFit="false"/>
      <protection locked="true" hidden="false"/>
    </xf>
    <xf numFmtId="164" fontId="0" fillId="0" borderId="54" xfId="0" applyFont="false" applyBorder="true" applyAlignment="true" applyProtection="true">
      <alignment horizontal="general" vertical="bottom" textRotation="0" wrapText="false" indent="0" shrinkToFit="false"/>
      <protection locked="true" hidden="false"/>
    </xf>
    <xf numFmtId="164" fontId="18" fillId="0" borderId="55" xfId="0" applyFont="true" applyBorder="true" applyAlignment="true" applyProtection="true">
      <alignment horizontal="center" vertical="center" textRotation="0" wrapText="false" indent="0" shrinkToFit="false"/>
      <protection locked="true" hidden="false"/>
    </xf>
    <xf numFmtId="164" fontId="18" fillId="0" borderId="56" xfId="0" applyFont="true" applyBorder="true" applyAlignment="true" applyProtection="true">
      <alignment horizontal="center" vertical="center" textRotation="0" wrapText="false" indent="0" shrinkToFit="false"/>
      <protection locked="true" hidden="false"/>
    </xf>
    <xf numFmtId="164" fontId="17" fillId="0" borderId="49" xfId="0" applyFont="true" applyBorder="true" applyAlignment="true" applyProtection="true">
      <alignment horizontal="left" vertical="center" textRotation="0" wrapText="false" indent="0" shrinkToFit="false"/>
      <protection locked="false" hidden="false"/>
    </xf>
    <xf numFmtId="164" fontId="17" fillId="0" borderId="50" xfId="0" applyFont="true" applyBorder="true" applyAlignment="true" applyProtection="true">
      <alignment horizontal="general" vertical="center" textRotation="0" wrapText="false" indent="0" shrinkToFit="true"/>
      <protection locked="false" hidden="false"/>
    </xf>
    <xf numFmtId="175" fontId="17" fillId="0" borderId="50" xfId="0" applyFont="true" applyBorder="true" applyAlignment="true" applyProtection="true">
      <alignment horizontal="general" vertical="center" textRotation="0" wrapText="false" indent="0" shrinkToFit="true"/>
      <protection locked="false" hidden="false"/>
    </xf>
    <xf numFmtId="175" fontId="17" fillId="0" borderId="50" xfId="0" applyFont="true" applyBorder="true" applyAlignment="true" applyProtection="true">
      <alignment horizontal="center" vertical="center" textRotation="0" wrapText="false" indent="0" shrinkToFit="true"/>
      <protection locked="true" hidden="false"/>
    </xf>
    <xf numFmtId="164" fontId="17" fillId="0" borderId="50" xfId="0" applyFont="true" applyBorder="true" applyAlignment="true" applyProtection="true">
      <alignment horizontal="left" vertical="center" textRotation="0" wrapText="false" indent="0" shrinkToFit="false"/>
      <protection locked="false" hidden="false"/>
    </xf>
    <xf numFmtId="164" fontId="17" fillId="0" borderId="50" xfId="0" applyFont="true" applyBorder="true" applyAlignment="true" applyProtection="true">
      <alignment horizontal="center" vertical="center" textRotation="0" wrapText="false" indent="0" shrinkToFit="true"/>
      <protection locked="false" hidden="false"/>
    </xf>
    <xf numFmtId="175" fontId="17" fillId="0" borderId="50" xfId="0" applyFont="true" applyBorder="true" applyAlignment="true" applyProtection="true">
      <alignment horizontal="center" vertical="center" textRotation="0" wrapText="false" indent="0" shrinkToFit="true"/>
      <protection locked="false" hidden="false"/>
    </xf>
    <xf numFmtId="175" fontId="17" fillId="0" borderId="29" xfId="17" applyFont="true" applyBorder="true" applyAlignment="true" applyProtection="true">
      <alignment horizontal="center" vertical="center" textRotation="0" wrapText="false" indent="0" shrinkToFit="true"/>
      <protection locked="true" hidden="false"/>
    </xf>
    <xf numFmtId="164" fontId="17" fillId="0" borderId="14" xfId="0" applyFont="true" applyBorder="true" applyAlignment="true" applyProtection="true">
      <alignment horizontal="left" vertical="center" textRotation="0" wrapText="false" indent="0" shrinkToFit="false"/>
      <protection locked="false" hidden="false"/>
    </xf>
    <xf numFmtId="164" fontId="17" fillId="0" borderId="9" xfId="0" applyFont="true" applyBorder="true" applyAlignment="true" applyProtection="true">
      <alignment horizontal="general" vertical="center" textRotation="0" wrapText="false" indent="0" shrinkToFit="true"/>
      <protection locked="false" hidden="false"/>
    </xf>
    <xf numFmtId="175" fontId="17" fillId="0" borderId="9" xfId="0" applyFont="true" applyBorder="true" applyAlignment="true" applyProtection="true">
      <alignment horizontal="general" vertical="center" textRotation="0" wrapText="false" indent="0" shrinkToFit="true"/>
      <protection locked="false" hidden="false"/>
    </xf>
    <xf numFmtId="175" fontId="17" fillId="0" borderId="9" xfId="0" applyFont="true" applyBorder="true" applyAlignment="true" applyProtection="true">
      <alignment horizontal="center" vertical="center" textRotation="0" wrapText="false" indent="0" shrinkToFit="true"/>
      <protection locked="true" hidden="false"/>
    </xf>
    <xf numFmtId="164" fontId="17" fillId="0" borderId="9" xfId="0" applyFont="true" applyBorder="true" applyAlignment="true" applyProtection="true">
      <alignment horizontal="left" vertical="center" textRotation="0" wrapText="false" indent="0" shrinkToFit="false"/>
      <protection locked="false" hidden="false"/>
    </xf>
    <xf numFmtId="164" fontId="17" fillId="0" borderId="9" xfId="0" applyFont="true" applyBorder="true" applyAlignment="true" applyProtection="true">
      <alignment horizontal="center" vertical="center" textRotation="0" wrapText="false" indent="0" shrinkToFit="true"/>
      <protection locked="false" hidden="false"/>
    </xf>
    <xf numFmtId="175" fontId="17" fillId="0" borderId="9" xfId="0" applyFont="true" applyBorder="true" applyAlignment="true" applyProtection="true">
      <alignment horizontal="center" vertical="center" textRotation="0" wrapText="false" indent="0" shrinkToFit="true"/>
      <protection locked="false" hidden="false"/>
    </xf>
    <xf numFmtId="164" fontId="17" fillId="0" borderId="32" xfId="0" applyFont="true" applyBorder="true" applyAlignment="true" applyProtection="true">
      <alignment horizontal="left" vertical="center" textRotation="0" wrapText="false" indent="0" shrinkToFit="false"/>
      <protection locked="false" hidden="false"/>
    </xf>
    <xf numFmtId="164" fontId="17" fillId="0" borderId="21" xfId="0" applyFont="true" applyBorder="true" applyAlignment="true" applyProtection="true">
      <alignment horizontal="general" vertical="center" textRotation="0" wrapText="false" indent="0" shrinkToFit="true"/>
      <protection locked="false" hidden="false"/>
    </xf>
    <xf numFmtId="175" fontId="17" fillId="0" borderId="21" xfId="0" applyFont="true" applyBorder="true" applyAlignment="true" applyProtection="true">
      <alignment horizontal="general" vertical="center" textRotation="0" wrapText="false" indent="0" shrinkToFit="true"/>
      <protection locked="false" hidden="false"/>
    </xf>
    <xf numFmtId="175" fontId="17" fillId="0" borderId="21" xfId="0" applyFont="true" applyBorder="true" applyAlignment="true" applyProtection="true">
      <alignment horizontal="center" vertical="center" textRotation="0" wrapText="false" indent="0" shrinkToFit="true"/>
      <protection locked="true" hidden="false"/>
    </xf>
    <xf numFmtId="164" fontId="17" fillId="0" borderId="21" xfId="0" applyFont="true" applyBorder="true" applyAlignment="true" applyProtection="true">
      <alignment horizontal="general" vertical="center" textRotation="0" wrapText="false" indent="0" shrinkToFit="false"/>
      <protection locked="false" hidden="false"/>
    </xf>
    <xf numFmtId="164" fontId="17" fillId="0" borderId="21" xfId="0" applyFont="true" applyBorder="true" applyAlignment="true" applyProtection="true">
      <alignment horizontal="center" vertical="center" textRotation="0" wrapText="false" indent="0" shrinkToFit="true"/>
      <protection locked="false" hidden="false"/>
    </xf>
    <xf numFmtId="175" fontId="17" fillId="0" borderId="21" xfId="0" applyFont="true" applyBorder="true" applyAlignment="true" applyProtection="true">
      <alignment horizontal="center" vertical="center" textRotation="0" wrapText="false" indent="0" shrinkToFit="true"/>
      <protection locked="false" hidden="false"/>
    </xf>
    <xf numFmtId="170" fontId="18" fillId="0" borderId="18" xfId="0" applyFont="true" applyBorder="true" applyAlignment="true" applyProtection="true">
      <alignment horizontal="center" vertical="center" textRotation="0" wrapText="false" indent="0" shrinkToFit="true"/>
      <protection locked="true" hidden="false"/>
    </xf>
    <xf numFmtId="164" fontId="18" fillId="0" borderId="17" xfId="0" applyFont="true" applyBorder="true" applyAlignment="true" applyProtection="true">
      <alignment horizontal="center" vertical="center" textRotation="0" wrapText="false" indent="0" shrinkToFit="false"/>
      <protection locked="true" hidden="false"/>
    </xf>
    <xf numFmtId="170" fontId="18" fillId="0" borderId="18" xfId="0" applyFont="true" applyBorder="true" applyAlignment="true" applyProtection="true">
      <alignment horizontal="center" vertical="center" textRotation="0" wrapText="false" indent="0" shrinkToFit="false"/>
      <protection locked="true" hidden="false"/>
    </xf>
    <xf numFmtId="170" fontId="18" fillId="0" borderId="4" xfId="0" applyFont="true" applyBorder="true" applyAlignment="true" applyProtection="true">
      <alignment horizontal="center" vertical="center" textRotation="0" wrapText="false" indent="0" shrinkToFit="false"/>
      <protection locked="true" hidden="false"/>
    </xf>
    <xf numFmtId="164" fontId="17" fillId="0" borderId="49" xfId="0" applyFont="true" applyBorder="true" applyAlignment="true" applyProtection="true">
      <alignment horizontal="center" vertical="bottom" textRotation="0" wrapText="false" indent="0" shrinkToFit="false"/>
      <protection locked="false" hidden="false"/>
    </xf>
    <xf numFmtId="164" fontId="0" fillId="0" borderId="57" xfId="0" applyFont="false" applyBorder="true" applyAlignment="true" applyProtection="true">
      <alignment horizontal="general" vertical="bottom" textRotation="0" wrapText="false" indent="0" shrinkToFit="false"/>
      <protection locked="true" hidden="false"/>
    </xf>
    <xf numFmtId="164" fontId="17" fillId="0" borderId="31" xfId="0" applyFont="true" applyBorder="true" applyAlignment="true" applyProtection="true">
      <alignment horizontal="center" vertical="center" textRotation="0" wrapText="false" indent="0" shrinkToFit="false"/>
      <protection locked="false" hidden="false"/>
    </xf>
    <xf numFmtId="164" fontId="18" fillId="0" borderId="58" xfId="0" applyFont="true" applyBorder="true" applyAlignment="true" applyProtection="true">
      <alignment horizontal="center" vertical="center" textRotation="0" wrapText="false" indent="0" shrinkToFit="false"/>
      <protection locked="true" hidden="false"/>
    </xf>
    <xf numFmtId="164" fontId="18" fillId="0" borderId="59" xfId="0" applyFont="true" applyBorder="true" applyAlignment="true" applyProtection="true">
      <alignment horizontal="center" vertical="center" textRotation="0" wrapText="false" indent="0" shrinkToFit="false"/>
      <protection locked="true" hidden="false"/>
    </xf>
    <xf numFmtId="175" fontId="17" fillId="0" borderId="10" xfId="17" applyFont="true" applyBorder="true" applyAlignment="true" applyProtection="true">
      <alignment horizontal="center" vertical="center" textRotation="0" wrapText="false" indent="0" shrinkToFit="false"/>
      <protection locked="false" hidden="false"/>
    </xf>
    <xf numFmtId="175" fontId="17" fillId="0" borderId="51" xfId="17" applyFont="true" applyBorder="true" applyAlignment="true" applyProtection="true">
      <alignment horizontal="center" vertical="center" textRotation="0" wrapText="false" indent="0" shrinkToFit="true"/>
      <protection locked="true" hidden="false"/>
    </xf>
    <xf numFmtId="175" fontId="17" fillId="0" borderId="52" xfId="17" applyFont="true" applyBorder="true" applyAlignment="true" applyProtection="true">
      <alignment horizontal="center" vertical="center" textRotation="0" wrapText="false" indent="0" shrinkToFit="true"/>
      <protection locked="true" hidden="false"/>
    </xf>
    <xf numFmtId="164" fontId="18" fillId="0" borderId="51" xfId="0" applyFont="true" applyBorder="true" applyAlignment="true" applyProtection="true">
      <alignment horizontal="right" vertical="center" textRotation="0" wrapText="false" indent="0" shrinkToFit="false"/>
      <protection locked="true" hidden="false"/>
    </xf>
    <xf numFmtId="170" fontId="17" fillId="0" borderId="31" xfId="0" applyFont="true" applyBorder="true" applyAlignment="true" applyProtection="true">
      <alignment horizontal="center" vertical="center" textRotation="0" wrapText="false" indent="0" shrinkToFit="true"/>
      <protection locked="true" hidden="false"/>
    </xf>
    <xf numFmtId="164" fontId="18" fillId="0" borderId="10" xfId="0" applyFont="true" applyBorder="true" applyAlignment="true" applyProtection="true">
      <alignment horizontal="right" vertical="center" textRotation="0" wrapText="false" indent="0" shrinkToFit="false"/>
      <protection locked="true" hidden="false"/>
    </xf>
    <xf numFmtId="164" fontId="17" fillId="10" borderId="9" xfId="0" applyFont="true" applyBorder="true" applyAlignment="true" applyProtection="true">
      <alignment horizontal="center" vertical="center" textRotation="0" wrapText="false" indent="0" shrinkToFit="true"/>
      <protection locked="false" hidden="false"/>
    </xf>
    <xf numFmtId="170" fontId="17" fillId="0" borderId="51" xfId="0" applyFont="true" applyBorder="true" applyAlignment="true" applyProtection="true">
      <alignment horizontal="center" vertical="center" textRotation="0" wrapText="false" indent="0" shrinkToFit="tru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70" fontId="17" fillId="10" borderId="51" xfId="0" applyFont="true" applyBorder="true" applyAlignment="true" applyProtection="true">
      <alignment horizontal="center" vertical="center" textRotation="0" wrapText="false" indent="0" shrinkToFit="false"/>
      <protection locked="false" hidden="false"/>
    </xf>
    <xf numFmtId="170" fontId="17" fillId="10" borderId="51" xfId="0" applyFont="true" applyBorder="true" applyAlignment="true" applyProtection="true">
      <alignment horizontal="center" vertical="center" textRotation="0" wrapText="false" indent="0" shrinkToFit="true"/>
      <protection locked="false" hidden="false"/>
    </xf>
    <xf numFmtId="164" fontId="17" fillId="0" borderId="60" xfId="0" applyFont="true" applyBorder="true" applyAlignment="true" applyProtection="true">
      <alignment horizontal="center" vertical="center" textRotation="0" wrapText="false" indent="0" shrinkToFit="false"/>
      <protection locked="true" hidden="false"/>
    </xf>
    <xf numFmtId="164" fontId="17" fillId="0" borderId="47" xfId="0" applyFont="true" applyBorder="true" applyAlignment="true" applyProtection="true">
      <alignment horizontal="center" vertical="center" textRotation="0" wrapText="false" indent="0" shrinkToFit="false"/>
      <protection locked="true" hidden="false"/>
    </xf>
    <xf numFmtId="164" fontId="17" fillId="0" borderId="61" xfId="0" applyFont="true" applyBorder="true" applyAlignment="true" applyProtection="true">
      <alignment horizontal="center" vertical="center" textRotation="0" wrapText="false" indent="0" shrinkToFit="false"/>
      <protection locked="true" hidden="false"/>
    </xf>
    <xf numFmtId="164" fontId="0" fillId="0" borderId="51" xfId="0" applyFont="false" applyBorder="true" applyAlignment="true" applyProtection="true">
      <alignment horizontal="general" vertical="bottom" textRotation="0" wrapText="false" indent="0" shrinkToFit="false"/>
      <protection locked="true" hidden="false"/>
    </xf>
    <xf numFmtId="164" fontId="17" fillId="0" borderId="16" xfId="0" applyFont="true" applyBorder="true" applyAlignment="true" applyProtection="true">
      <alignment horizontal="center" vertical="center" textRotation="0" wrapText="false" indent="0" shrinkToFit="false"/>
      <protection locked="true" hidden="false"/>
    </xf>
    <xf numFmtId="164" fontId="18" fillId="0" borderId="24" xfId="0" applyFont="true" applyBorder="true" applyAlignment="true" applyProtection="true">
      <alignment horizontal="center" vertical="center" textRotation="0" wrapText="false" indent="0" shrinkToFit="false"/>
      <protection locked="true" hidden="false"/>
    </xf>
    <xf numFmtId="176" fontId="17" fillId="0" borderId="21" xfId="0" applyFont="true" applyBorder="true" applyAlignment="true" applyProtection="true">
      <alignment horizontal="center" vertical="center" textRotation="0" wrapText="false" indent="0" shrinkToFit="true"/>
      <protection locked="true" hidden="false"/>
    </xf>
    <xf numFmtId="164" fontId="18" fillId="0" borderId="22" xfId="0" applyFont="true" applyBorder="true" applyAlignment="true" applyProtection="true">
      <alignment horizontal="center" vertical="center" textRotation="0" wrapText="false" indent="0" shrinkToFit="false"/>
      <protection locked="true" hidden="false"/>
    </xf>
    <xf numFmtId="164" fontId="18" fillId="0" borderId="62" xfId="0" applyFont="true" applyBorder="true" applyAlignment="true" applyProtection="true">
      <alignment horizontal="center" vertical="center" textRotation="0" wrapText="false" indent="0" shrinkToFit="false"/>
      <protection locked="true" hidden="false"/>
    </xf>
    <xf numFmtId="176" fontId="17" fillId="0" borderId="52" xfId="0" applyFont="true" applyBorder="true" applyAlignment="true" applyProtection="true">
      <alignment horizontal="center" vertical="center" textRotation="0" wrapText="false" indent="0" shrinkToFit="true"/>
      <protection locked="true" hidden="false"/>
    </xf>
    <xf numFmtId="164" fontId="17" fillId="0" borderId="4" xfId="0" applyFont="true" applyBorder="true" applyAlignment="true" applyProtection="true">
      <alignment horizontal="center" vertical="center" textRotation="0" wrapText="false" indent="0" shrinkToFit="false"/>
      <protection locked="true" hidden="false"/>
    </xf>
    <xf numFmtId="176" fontId="17" fillId="0" borderId="4" xfId="0" applyFont="true" applyBorder="true" applyAlignment="true" applyProtection="true">
      <alignment horizontal="center" vertical="center" textRotation="0" wrapText="false" indent="0" shrinkToFit="false"/>
      <protection locked="true" hidden="false"/>
    </xf>
    <xf numFmtId="164" fontId="17" fillId="0" borderId="17" xfId="0" applyFont="true" applyBorder="true" applyAlignment="true" applyProtection="true">
      <alignment horizontal="center" vertical="center" textRotation="0" wrapText="false" indent="0" shrinkToFit="false"/>
      <protection locked="true" hidden="false"/>
    </xf>
    <xf numFmtId="164" fontId="18" fillId="0" borderId="63" xfId="0" applyFont="true" applyBorder="true" applyAlignment="true" applyProtection="true">
      <alignment horizontal="left" vertical="center" textRotation="0" wrapText="false" indent="0" shrinkToFit="false"/>
      <protection locked="true" hidden="false"/>
    </xf>
    <xf numFmtId="164" fontId="17" fillId="0" borderId="34" xfId="0" applyFont="true" applyBorder="true" applyAlignment="true" applyProtection="true">
      <alignment horizontal="center" vertical="center" textRotation="0" wrapText="false" indent="0" shrinkToFit="false"/>
      <protection locked="false" hidden="false"/>
    </xf>
    <xf numFmtId="164" fontId="18" fillId="0" borderId="64" xfId="0" applyFont="true" applyBorder="true" applyAlignment="true" applyProtection="true">
      <alignment horizontal="center" vertical="center" textRotation="0" wrapText="false" indent="0" shrinkToFit="false"/>
      <protection locked="true" hidden="false"/>
    </xf>
    <xf numFmtId="164" fontId="17" fillId="0" borderId="35" xfId="0" applyFont="true" applyBorder="true" applyAlignment="true" applyProtection="true">
      <alignment horizontal="center" vertical="center" textRotation="0" wrapText="false" indent="0" shrinkToFit="false"/>
      <protection locked="false" hidden="false"/>
    </xf>
    <xf numFmtId="164" fontId="0" fillId="0" borderId="45" xfId="0" applyFont="false" applyBorder="true" applyAlignment="true" applyProtection="true">
      <alignment horizontal="general" vertical="bottom" textRotation="0" wrapText="false" indent="0" shrinkToFit="false"/>
      <protection locked="true" hidden="false"/>
    </xf>
    <xf numFmtId="164" fontId="17" fillId="0" borderId="65" xfId="0" applyFont="true" applyBorder="true" applyAlignment="true" applyProtection="true">
      <alignment horizontal="general" vertical="center" textRotation="0" wrapText="false" indent="0" shrinkToFit="false"/>
      <protection locked="true" hidden="false"/>
    </xf>
    <xf numFmtId="164" fontId="17" fillId="0" borderId="14" xfId="0" applyFont="true" applyBorder="true" applyAlignment="true" applyProtection="true">
      <alignment horizontal="center" vertical="center" textRotation="0" wrapText="false" indent="0" shrinkToFit="false"/>
      <protection locked="false" hidden="false"/>
    </xf>
    <xf numFmtId="164" fontId="17" fillId="0" borderId="32" xfId="0" applyFont="true" applyBorder="true" applyAlignment="true" applyProtection="true">
      <alignment horizontal="center" vertical="center" textRotation="0" wrapText="false" indent="0" shrinkToFit="false"/>
      <protection locked="false" hidden="false"/>
    </xf>
    <xf numFmtId="164" fontId="18" fillId="0" borderId="50" xfId="0" applyFont="true" applyBorder="true" applyAlignment="true" applyProtection="true">
      <alignment horizontal="center" vertical="center" textRotation="0" wrapText="false" indent="0" shrinkToFit="false"/>
      <protection locked="true" hidden="false"/>
    </xf>
    <xf numFmtId="164" fontId="18" fillId="0" borderId="29" xfId="0" applyFont="true" applyBorder="true" applyAlignment="true" applyProtection="true">
      <alignment horizontal="center" vertical="center" textRotation="0" wrapText="false" indent="0" shrinkToFit="false"/>
      <protection locked="true" hidden="false"/>
    </xf>
    <xf numFmtId="175" fontId="17" fillId="0" borderId="14" xfId="0" applyFont="true" applyBorder="true" applyAlignment="true" applyProtection="true">
      <alignment horizontal="center" vertical="center" textRotation="0" wrapText="false" indent="0" shrinkToFit="false"/>
      <protection locked="false" hidden="false"/>
    </xf>
    <xf numFmtId="175" fontId="17" fillId="0" borderId="9" xfId="0" applyFont="true" applyBorder="true" applyAlignment="true" applyProtection="true">
      <alignment horizontal="center" vertical="center" textRotation="0" wrapText="false" indent="0" shrinkToFit="false"/>
      <protection locked="false" hidden="false"/>
    </xf>
    <xf numFmtId="164" fontId="18" fillId="0" borderId="20" xfId="0" applyFont="true" applyBorder="true" applyAlignment="true" applyProtection="true">
      <alignment horizontal="right" vertical="center" textRotation="0" wrapText="false" indent="0" shrinkToFit="false"/>
      <protection locked="true" hidden="false"/>
    </xf>
    <xf numFmtId="175" fontId="18" fillId="0" borderId="21" xfId="17" applyFont="true" applyBorder="true" applyAlignment="true" applyProtection="true">
      <alignment horizontal="center" vertical="center" textRotation="0" wrapText="false" indent="0" shrinkToFit="true"/>
      <protection locked="true" hidden="false"/>
    </xf>
    <xf numFmtId="164" fontId="0" fillId="0" borderId="66" xfId="0" applyFont="false" applyBorder="true" applyAlignment="true" applyProtection="true">
      <alignment horizontal="general" vertical="bottom" textRotation="0" wrapText="false" indent="0" shrinkToFit="false"/>
      <protection locked="true" hidden="false"/>
    </xf>
    <xf numFmtId="175" fontId="18" fillId="0" borderId="23" xfId="17" applyFont="true" applyBorder="true" applyAlignment="true" applyProtection="true">
      <alignment horizontal="center" vertical="center" textRotation="0" wrapText="false" indent="0" shrinkToFit="true"/>
      <protection locked="true" hidden="false"/>
    </xf>
    <xf numFmtId="164" fontId="0" fillId="0" borderId="18" xfId="0" applyFont="false" applyBorder="true" applyAlignment="true" applyProtection="true">
      <alignment horizontal="general" vertical="bottom" textRotation="0" wrapText="false" indent="0" shrinkToFit="false"/>
      <protection locked="true" hidden="false"/>
    </xf>
    <xf numFmtId="164" fontId="17" fillId="0" borderId="10" xfId="0" applyFont="true" applyBorder="true" applyAlignment="true" applyProtection="true">
      <alignment horizontal="left" vertical="center" textRotation="0" wrapText="false" indent="0" shrinkToFit="false"/>
      <protection locked="false" hidden="false"/>
    </xf>
    <xf numFmtId="164" fontId="17" fillId="0" borderId="9" xfId="0" applyFont="true" applyBorder="true" applyAlignment="true" applyProtection="true">
      <alignment horizontal="center" vertical="bottom" textRotation="0" wrapText="false" indent="0" shrinkToFit="false"/>
      <protection locked="false" hidden="false"/>
    </xf>
    <xf numFmtId="164" fontId="0" fillId="0" borderId="9" xfId="0" applyFont="true" applyBorder="true" applyAlignment="true" applyProtection="true">
      <alignment horizontal="general" vertical="bottom" textRotation="0" wrapText="false" indent="0" shrinkToFit="false"/>
      <protection locked="false" hidden="false"/>
    </xf>
    <xf numFmtId="164" fontId="17" fillId="0" borderId="14" xfId="0" applyFont="true" applyBorder="true" applyAlignment="true" applyProtection="true">
      <alignment horizontal="center" vertical="bottom" textRotation="0" wrapText="false" indent="0" shrinkToFit="false"/>
      <protection locked="false" hidden="false"/>
    </xf>
    <xf numFmtId="164" fontId="17" fillId="0" borderId="32" xfId="0" applyFont="true" applyBorder="true" applyAlignment="true" applyProtection="true">
      <alignment horizontal="center" vertical="bottom" textRotation="0" wrapText="false" indent="0" shrinkToFit="false"/>
      <protection locked="false" hidden="false"/>
    </xf>
    <xf numFmtId="164" fontId="17" fillId="0" borderId="21" xfId="0" applyFont="true" applyBorder="true" applyAlignment="true" applyProtection="true">
      <alignment horizontal="left" vertical="center" textRotation="0" wrapText="false" indent="0" shrinkToFit="false"/>
      <protection locked="false" hidden="false"/>
    </xf>
    <xf numFmtId="164" fontId="0" fillId="0" borderId="21" xfId="0" applyFont="false" applyBorder="true" applyAlignment="true" applyProtection="true">
      <alignment horizontal="general" vertical="bottom" textRotation="0" wrapText="false" indent="0" shrinkToFit="false"/>
      <protection locked="false" hidden="false"/>
    </xf>
    <xf numFmtId="164" fontId="17" fillId="0" borderId="23" xfId="0" applyFont="true" applyBorder="true" applyAlignment="true" applyProtection="true">
      <alignment horizontal="left" vertical="center" textRotation="0" wrapText="false" indent="0" shrinkToFit="false"/>
      <protection locked="false" hidden="false"/>
    </xf>
    <xf numFmtId="164" fontId="17" fillId="11" borderId="14" xfId="0" applyFont="true" applyBorder="true" applyAlignment="true" applyProtection="true">
      <alignment horizontal="left" vertical="center" textRotation="0" wrapText="false" indent="0" shrinkToFit="false"/>
      <protection locked="false" hidden="false"/>
    </xf>
    <xf numFmtId="175" fontId="17" fillId="11" borderId="9" xfId="0" applyFont="true" applyBorder="true" applyAlignment="true" applyProtection="true">
      <alignment horizontal="center" vertical="center" textRotation="0" wrapText="false" indent="0" shrinkToFit="false"/>
      <protection locked="false" hidden="false"/>
    </xf>
    <xf numFmtId="164" fontId="17" fillId="11" borderId="9" xfId="0" applyFont="true" applyBorder="true" applyAlignment="true" applyProtection="true">
      <alignment horizontal="center" vertical="center" textRotation="0" wrapText="false" indent="0" shrinkToFit="false"/>
      <protection locked="false" hidden="false"/>
    </xf>
    <xf numFmtId="164" fontId="17" fillId="11" borderId="9" xfId="0" applyFont="true" applyBorder="true" applyAlignment="true" applyProtection="true">
      <alignment horizontal="left" vertical="center" textRotation="0" wrapText="false" indent="0" shrinkToFit="false"/>
      <protection locked="false" hidden="false"/>
    </xf>
    <xf numFmtId="164" fontId="17" fillId="11" borderId="10" xfId="0" applyFont="true" applyBorder="true" applyAlignment="true" applyProtection="true">
      <alignment horizontal="left" vertical="center" textRotation="0" wrapText="false" indent="0" shrinkToFit="false"/>
      <protection locked="false" hidden="false"/>
    </xf>
    <xf numFmtId="164" fontId="17" fillId="11" borderId="10" xfId="0" applyFont="true" applyBorder="true" applyAlignment="true" applyProtection="true">
      <alignment horizontal="general" vertical="bottom" textRotation="0" wrapText="false" indent="0" shrinkToFit="false"/>
      <protection locked="false" hidden="false"/>
    </xf>
    <xf numFmtId="175" fontId="17" fillId="0" borderId="21" xfId="0" applyFont="true" applyBorder="true" applyAlignment="true" applyProtection="true">
      <alignment horizontal="center" vertical="center" textRotation="0" wrapText="false" indent="0" shrinkToFit="false"/>
      <protection locked="false" hidden="false"/>
    </xf>
    <xf numFmtId="164" fontId="17" fillId="0" borderId="67" xfId="0" applyFont="true" applyBorder="true" applyAlignment="true" applyProtection="true">
      <alignment horizontal="general" vertical="center" textRotation="0" wrapText="false" indent="0" shrinkToFit="false"/>
      <protection locked="true" hidden="false"/>
    </xf>
    <xf numFmtId="164" fontId="0" fillId="0" borderId="68" xfId="0" applyFont="false" applyBorder="true" applyAlignment="true" applyProtection="true">
      <alignment horizontal="general" vertical="bottom" textRotation="0" wrapText="false" indent="0" shrinkToFit="false"/>
      <protection locked="true" hidden="false"/>
    </xf>
    <xf numFmtId="175" fontId="17" fillId="0" borderId="10" xfId="0" applyFont="true" applyBorder="true" applyAlignment="true" applyProtection="true">
      <alignment horizontal="center" vertical="center" textRotation="0" wrapText="false" indent="0" shrinkToFit="true"/>
      <protection locked="false" hidden="false"/>
    </xf>
    <xf numFmtId="164" fontId="18" fillId="0" borderId="32" xfId="0" applyFont="true" applyBorder="true" applyAlignment="true" applyProtection="true">
      <alignment horizontal="right" vertical="center" textRotation="0" wrapText="false" indent="0" shrinkToFit="false"/>
      <protection locked="true" hidden="false"/>
    </xf>
    <xf numFmtId="175" fontId="18" fillId="0" borderId="23" xfId="17" applyFont="true" applyBorder="true" applyAlignment="true" applyProtection="true">
      <alignment horizontal="right" vertical="center" textRotation="0" wrapText="false" indent="0" shrinkToFit="true"/>
      <protection locked="true" hidden="false"/>
    </xf>
    <xf numFmtId="164" fontId="18" fillId="0" borderId="49" xfId="0" applyFont="true" applyBorder="true" applyAlignment="true" applyProtection="true">
      <alignment horizontal="left" vertical="center" textRotation="0" wrapText="false" indent="0" shrinkToFit="false"/>
      <protection locked="true" hidden="false"/>
    </xf>
    <xf numFmtId="175" fontId="17" fillId="0" borderId="29" xfId="0" applyFont="true" applyBorder="true" applyAlignment="true" applyProtection="true">
      <alignment horizontal="center" vertical="center" textRotation="0" wrapText="false" indent="0" shrinkToFit="true"/>
      <protection locked="false" hidden="false"/>
    </xf>
    <xf numFmtId="164" fontId="18" fillId="0" borderId="69" xfId="0" applyFont="true" applyBorder="true" applyAlignment="true" applyProtection="true">
      <alignment horizontal="right" vertical="center" textRotation="0" wrapText="false" indent="0" shrinkToFit="false"/>
      <protection locked="true" hidden="false"/>
    </xf>
    <xf numFmtId="175" fontId="18" fillId="0" borderId="42" xfId="17" applyFont="true" applyBorder="true" applyAlignment="true" applyProtection="true">
      <alignment horizontal="right" vertical="center" textRotation="0" wrapText="false" indent="0" shrinkToFit="true"/>
      <protection locked="true" hidden="false"/>
    </xf>
    <xf numFmtId="164" fontId="0" fillId="0" borderId="70" xfId="0" applyFont="false" applyBorder="true" applyAlignment="true" applyProtection="true">
      <alignment horizontal="general" vertical="bottom" textRotation="0" wrapText="false" indent="0" shrinkToFit="false"/>
      <protection locked="true" hidden="false"/>
    </xf>
    <xf numFmtId="175" fontId="18" fillId="0" borderId="55" xfId="17" applyFont="true" applyBorder="true" applyAlignment="true" applyProtection="true">
      <alignment horizontal="center" vertical="center" textRotation="0" wrapText="false" indent="0" shrinkToFit="true"/>
      <protection locked="true" hidden="false"/>
    </xf>
    <xf numFmtId="164" fontId="0" fillId="0" borderId="46" xfId="0" applyFont="false" applyBorder="true" applyAlignment="true" applyProtection="true">
      <alignment horizontal="general" vertical="bottom" textRotation="0" wrapText="false" indent="0" shrinkToFit="false"/>
      <protection locked="true" hidden="false"/>
    </xf>
    <xf numFmtId="164" fontId="0" fillId="0" borderId="71" xfId="0" applyFont="false" applyBorder="true" applyAlignment="true" applyProtection="true">
      <alignment horizontal="general" vertical="bottom" textRotation="0" wrapText="false" indent="0" shrinkToFit="true"/>
      <protection locked="true" hidden="false"/>
    </xf>
    <xf numFmtId="164" fontId="18" fillId="0" borderId="66" xfId="0" applyFont="true" applyBorder="true" applyAlignment="true" applyProtection="true">
      <alignment horizontal="center" vertical="center" textRotation="0" wrapText="false" indent="0" shrinkToFit="false"/>
      <protection locked="true" hidden="false"/>
    </xf>
    <xf numFmtId="164" fontId="0" fillId="0" borderId="72" xfId="0" applyFont="false" applyBorder="true" applyAlignment="true" applyProtection="true">
      <alignment horizontal="general" vertical="bottom" textRotation="0" wrapText="false" indent="0" shrinkToFit="false"/>
      <protection locked="true" hidden="false"/>
    </xf>
    <xf numFmtId="164" fontId="18" fillId="0" borderId="31" xfId="0" applyFont="true" applyBorder="true" applyAlignment="true" applyProtection="true">
      <alignment horizontal="center" vertical="center" textRotation="0" wrapText="false" indent="0" shrinkToFit="false"/>
      <protection locked="true" hidden="false"/>
    </xf>
    <xf numFmtId="164" fontId="17" fillId="0" borderId="14" xfId="0" applyFont="true" applyBorder="true" applyAlignment="true" applyProtection="true">
      <alignment horizontal="left" vertical="center" textRotation="0" wrapText="false" indent="0" shrinkToFit="false"/>
      <protection locked="true" hidden="false"/>
    </xf>
    <xf numFmtId="175" fontId="17" fillId="10" borderId="10" xfId="0" applyFont="true" applyBorder="true" applyAlignment="true" applyProtection="true">
      <alignment horizontal="center" vertical="center" textRotation="0" wrapText="false" indent="0" shrinkToFit="true"/>
      <protection locked="false" hidden="false"/>
    </xf>
    <xf numFmtId="175" fontId="17" fillId="0" borderId="10" xfId="17" applyFont="true" applyBorder="true" applyAlignment="true" applyProtection="true">
      <alignment horizontal="center" vertical="center" textRotation="0" wrapText="false" indent="0" shrinkToFit="true"/>
      <protection locked="false" hidden="false"/>
    </xf>
    <xf numFmtId="175" fontId="18" fillId="0" borderId="10" xfId="17" applyFont="true" applyBorder="true" applyAlignment="true" applyProtection="true">
      <alignment horizontal="center" vertical="center" textRotation="0" wrapText="false" indent="0" shrinkToFit="true"/>
      <protection locked="true" hidden="false"/>
    </xf>
    <xf numFmtId="164" fontId="17" fillId="0" borderId="14" xfId="0" applyFont="true" applyBorder="true" applyAlignment="true" applyProtection="true">
      <alignment horizontal="center" vertical="center" textRotation="0" wrapText="false" indent="0" shrinkToFit="false"/>
      <protection locked="true" hidden="false"/>
    </xf>
    <xf numFmtId="175" fontId="17" fillId="10" borderId="9" xfId="0" applyFont="true" applyBorder="true" applyAlignment="true" applyProtection="true">
      <alignment horizontal="general" vertical="bottom" textRotation="0" wrapText="false" indent="0" shrinkToFit="true"/>
      <protection locked="false" hidden="false"/>
    </xf>
    <xf numFmtId="164" fontId="0" fillId="0" borderId="73" xfId="0" applyFont="false" applyBorder="true" applyAlignment="true" applyProtection="true">
      <alignment horizontal="general" vertical="bottom" textRotation="0" wrapText="false" indent="0" shrinkToFit="false"/>
      <protection locked="true" hidden="false"/>
    </xf>
    <xf numFmtId="175" fontId="17" fillId="0" borderId="74" xfId="0" applyFont="true" applyBorder="true" applyAlignment="true" applyProtection="true">
      <alignment horizontal="center" vertical="center" textRotation="0" wrapText="false" indent="0" shrinkToFit="true"/>
      <protection locked="false" hidden="false"/>
    </xf>
    <xf numFmtId="164" fontId="18" fillId="0" borderId="32" xfId="0" applyFont="true" applyBorder="true" applyAlignment="true" applyProtection="true">
      <alignment horizontal="center" vertical="center" textRotation="0" wrapText="false" indent="0" shrinkToFit="false"/>
      <protection locked="true" hidden="false"/>
    </xf>
    <xf numFmtId="164" fontId="17" fillId="0" borderId="32" xfId="0" applyFont="true" applyBorder="true" applyAlignment="true" applyProtection="true">
      <alignment horizontal="left" vertical="center" textRotation="0" wrapText="false" indent="0" shrinkToFit="false"/>
      <protection locked="true" hidden="false"/>
    </xf>
    <xf numFmtId="167" fontId="17" fillId="0" borderId="9" xfId="19" applyFont="true" applyBorder="true" applyAlignment="true" applyProtection="true">
      <alignment horizontal="center" vertical="center" textRotation="0" wrapText="false" indent="0" shrinkToFit="false"/>
      <protection locked="true" hidden="false"/>
    </xf>
    <xf numFmtId="164" fontId="17" fillId="0" borderId="9" xfId="0" applyFont="true" applyBorder="true" applyAlignment="true" applyProtection="true">
      <alignment horizontal="left" vertical="center" textRotation="0" wrapText="false" indent="0" shrinkToFit="false"/>
      <protection locked="true" hidden="false"/>
    </xf>
    <xf numFmtId="177" fontId="17" fillId="0" borderId="9" xfId="19" applyFont="true" applyBorder="true" applyAlignment="true" applyProtection="true">
      <alignment horizontal="center" vertical="center" textRotation="0" wrapText="false" indent="0" shrinkToFit="false"/>
      <protection locked="true" hidden="false"/>
    </xf>
    <xf numFmtId="164" fontId="18" fillId="0" borderId="0" xfId="0" applyFont="true" applyBorder="true" applyAlignment="true" applyProtection="true">
      <alignment horizontal="left" vertical="center" textRotation="0" wrapText="false" indent="0" shrinkToFit="false"/>
      <protection locked="true" hidden="false"/>
    </xf>
    <xf numFmtId="164" fontId="29" fillId="0" borderId="15" xfId="0" applyFont="true" applyBorder="true" applyAlignment="true" applyProtection="true">
      <alignment horizontal="general" vertical="center" textRotation="0" wrapText="false" indent="0" shrinkToFit="false"/>
      <protection locked="false" hidden="false"/>
    </xf>
    <xf numFmtId="164" fontId="17" fillId="0" borderId="15" xfId="0" applyFont="true" applyBorder="true" applyAlignment="true" applyProtection="true">
      <alignment horizontal="general" vertical="center" textRotation="0" wrapText="false" indent="0" shrinkToFit="false"/>
      <protection locked="false" hidden="false"/>
    </xf>
    <xf numFmtId="164" fontId="17" fillId="0" borderId="0" xfId="0" applyFont="true" applyBorder="false" applyAlignment="true" applyProtection="true">
      <alignment horizontal="general" vertical="center" textRotation="0" wrapText="false" indent="0" shrinkToFit="false"/>
      <protection locked="false" hidden="false"/>
    </xf>
    <xf numFmtId="164" fontId="30" fillId="0" borderId="15" xfId="0" applyFont="true" applyBorder="true" applyAlignment="true" applyProtection="true">
      <alignment horizontal="general" vertical="center" textRotation="0" wrapText="false" indent="0" shrinkToFit="false"/>
      <protection locked="false" hidden="false"/>
    </xf>
    <xf numFmtId="164" fontId="0" fillId="0" borderId="15" xfId="0" applyFont="false" applyBorder="true" applyAlignment="true" applyProtection="true">
      <alignment horizontal="general" vertical="center" textRotation="0" wrapText="false" indent="0" shrinkToFit="false"/>
      <protection locked="true" hidden="false"/>
    </xf>
    <xf numFmtId="178" fontId="17" fillId="0" borderId="15" xfId="0" applyFont="true" applyBorder="true" applyAlignment="true" applyProtection="true">
      <alignment horizontal="center" vertical="center" textRotation="0" wrapText="false" indent="0" shrinkToFit="false"/>
      <protection locked="true" hidden="false"/>
    </xf>
    <xf numFmtId="164" fontId="17" fillId="0" borderId="47" xfId="0" applyFont="true" applyBorder="true" applyAlignment="true" applyProtection="true">
      <alignment horizontal="general" vertical="center" textRotation="0" wrapText="false" indent="0" shrinkToFit="false"/>
      <protection locked="true" hidden="false"/>
    </xf>
    <xf numFmtId="164" fontId="33" fillId="0" borderId="0" xfId="36" applyFont="true" applyBorder="true" applyAlignment="true" applyProtection="true">
      <alignment horizontal="general" vertical="bottom" textRotation="0" wrapText="false" indent="0" shrinkToFit="false"/>
      <protection locked="true" hidden="false"/>
    </xf>
    <xf numFmtId="164" fontId="14" fillId="0" borderId="0" xfId="36" applyFont="true" applyBorder="true" applyAlignment="true" applyProtection="true">
      <alignment horizontal="general" vertical="bottom" textRotation="0" wrapText="false" indent="0" shrinkToFit="false"/>
      <protection locked="true" hidden="false"/>
    </xf>
    <xf numFmtId="164" fontId="34" fillId="12" borderId="75" xfId="36" applyFont="true" applyBorder="true" applyAlignment="true" applyProtection="true">
      <alignment horizontal="center" vertical="bottom" textRotation="0" wrapText="false" indent="0" shrinkToFit="false"/>
      <protection locked="true" hidden="false"/>
    </xf>
    <xf numFmtId="164" fontId="33" fillId="12" borderId="75" xfId="36" applyFont="true" applyBorder="true" applyAlignment="true" applyProtection="true">
      <alignment horizontal="center" vertical="bottom" textRotation="0" wrapText="false" indent="0" shrinkToFit="false"/>
      <protection locked="true" hidden="false"/>
    </xf>
    <xf numFmtId="169" fontId="33" fillId="12" borderId="75" xfId="36" applyFont="true" applyBorder="true" applyAlignment="true" applyProtection="true">
      <alignment horizontal="center" vertical="bottom" textRotation="0" wrapText="false" indent="0" shrinkToFit="false"/>
      <protection locked="true" hidden="false"/>
    </xf>
    <xf numFmtId="164" fontId="33" fillId="0" borderId="76" xfId="0" applyFont="true" applyBorder="true" applyAlignment="true" applyProtection="true">
      <alignment horizontal="general" vertical="bottom" textRotation="0" wrapText="false" indent="0" shrinkToFit="false"/>
      <protection locked="true" hidden="false"/>
    </xf>
    <xf numFmtId="169" fontId="33" fillId="0" borderId="76" xfId="0" applyFont="true" applyBorder="true" applyAlignment="true" applyProtection="true">
      <alignment horizontal="general" vertical="center" textRotation="0" wrapText="false" indent="0" shrinkToFit="false"/>
      <protection locked="true" hidden="false"/>
    </xf>
    <xf numFmtId="164" fontId="14" fillId="0" borderId="76" xfId="0" applyFont="true" applyBorder="true" applyAlignment="true" applyProtection="true">
      <alignment horizontal="general" vertical="center" textRotation="0" wrapText="false" indent="0" shrinkToFit="false"/>
      <protection locked="true" hidden="false"/>
    </xf>
    <xf numFmtId="169" fontId="14" fillId="0" borderId="76" xfId="0" applyFont="true" applyBorder="true" applyAlignment="true" applyProtection="true">
      <alignment horizontal="general" vertical="center" textRotation="0" wrapText="false" indent="0" shrinkToFit="false"/>
      <protection locked="true" hidden="false"/>
    </xf>
    <xf numFmtId="164" fontId="14" fillId="0" borderId="77" xfId="0" applyFont="true" applyBorder="true" applyAlignment="true" applyProtection="true">
      <alignment horizontal="general" vertical="center" textRotation="0" wrapText="false" indent="0" shrinkToFit="false"/>
      <protection locked="true" hidden="false"/>
    </xf>
    <xf numFmtId="169" fontId="14" fillId="0" borderId="77" xfId="0" applyFont="true" applyBorder="true" applyAlignment="true" applyProtection="true">
      <alignment horizontal="general" vertical="center" textRotation="0" wrapText="false" indent="0" shrinkToFit="false"/>
      <protection locked="true" hidden="false"/>
    </xf>
    <xf numFmtId="164" fontId="0" fillId="0" borderId="76" xfId="0" applyFont="true" applyBorder="true" applyAlignment="true" applyProtection="true">
      <alignment horizontal="general" vertical="bottom" textRotation="0" wrapText="false" indent="0" shrinkToFit="false"/>
      <protection locked="true" hidden="false"/>
    </xf>
    <xf numFmtId="169" fontId="5" fillId="0" borderId="76" xfId="0" applyFont="true" applyBorder="true" applyAlignment="true" applyProtection="true">
      <alignment horizontal="general" vertical="bottom" textRotation="0" wrapText="false" indent="0" shrinkToFit="false"/>
      <protection locked="true" hidden="false"/>
    </xf>
    <xf numFmtId="169" fontId="0" fillId="0" borderId="76" xfId="0" applyFont="true" applyBorder="true" applyAlignment="true" applyProtection="true">
      <alignment horizontal="general" vertical="bottom" textRotation="0" wrapText="false" indent="0" shrinkToFit="false"/>
      <protection locked="true" hidden="false"/>
    </xf>
    <xf numFmtId="164" fontId="35" fillId="0" borderId="76" xfId="0" applyFont="true" applyBorder="true" applyAlignment="true" applyProtection="true">
      <alignment horizontal="general" vertical="center" textRotation="0" wrapText="false" indent="0" shrinkToFit="false"/>
      <protection locked="true" hidden="false"/>
    </xf>
    <xf numFmtId="164" fontId="0" fillId="0" borderId="76" xfId="0" applyFont="true" applyBorder="true" applyAlignment="true" applyProtection="true">
      <alignment horizontal="general" vertical="center" textRotation="0" wrapText="false" indent="0" shrinkToFit="false"/>
      <protection locked="true" hidden="false"/>
    </xf>
    <xf numFmtId="169" fontId="14" fillId="0" borderId="76" xfId="0" applyFont="true" applyBorder="true" applyAlignment="true" applyProtection="true">
      <alignment horizontal="right" vertical="center" textRotation="0" wrapText="false" indent="0" shrinkToFit="false"/>
      <protection locked="true" hidden="false"/>
    </xf>
    <xf numFmtId="169" fontId="14" fillId="0" borderId="0" xfId="36" applyFont="true" applyBorder="true" applyAlignment="true" applyProtection="true">
      <alignment horizontal="general" vertical="center" textRotation="0" wrapText="false" indent="0" shrinkToFit="false"/>
      <protection locked="true" hidden="false"/>
    </xf>
    <xf numFmtId="164" fontId="14" fillId="0" borderId="0" xfId="36" applyFont="true" applyBorder="true" applyAlignment="true" applyProtection="true">
      <alignment horizontal="general" vertical="center" textRotation="0" wrapText="false" indent="0" shrinkToFit="false"/>
      <protection locked="true" hidden="false"/>
    </xf>
    <xf numFmtId="164" fontId="36" fillId="0" borderId="0" xfId="36" applyFont="true" applyBorder="true" applyAlignment="true" applyProtection="true">
      <alignment horizontal="general" vertical="bottom" textRotation="0" wrapText="false" indent="0" shrinkToFit="false"/>
      <protection locked="true" hidden="false"/>
    </xf>
    <xf numFmtId="169" fontId="37" fillId="0" borderId="0" xfId="36" applyFont="true" applyBorder="true" applyAlignment="true" applyProtection="true">
      <alignment horizontal="general" vertical="center" textRotation="0" wrapText="false" indent="0" shrinkToFit="false"/>
      <protection locked="true" hidden="false"/>
    </xf>
    <xf numFmtId="164" fontId="37" fillId="0" borderId="0" xfId="36" applyFont="true" applyBorder="true" applyAlignment="true" applyProtection="true">
      <alignment horizontal="general" vertical="center" textRotation="0" wrapText="false" indent="0" shrinkToFit="false"/>
      <protection locked="true" hidden="false"/>
    </xf>
    <xf numFmtId="164" fontId="38" fillId="0" borderId="76" xfId="0" applyFont="true" applyBorder="true" applyAlignment="true" applyProtection="true">
      <alignment horizontal="general" vertical="bottom" textRotation="0" wrapText="false" indent="0" shrinkToFit="false"/>
      <protection locked="true" hidden="false"/>
    </xf>
    <xf numFmtId="164" fontId="39" fillId="13" borderId="76" xfId="0" applyFont="true" applyBorder="true" applyAlignment="true" applyProtection="true">
      <alignment horizontal="general" vertical="bottom" textRotation="0" wrapText="false" indent="0" shrinkToFit="false"/>
      <protection locked="true" hidden="false"/>
    </xf>
    <xf numFmtId="164" fontId="33" fillId="0" borderId="75" xfId="0" applyFont="true" applyBorder="true" applyAlignment="true" applyProtection="true">
      <alignment horizontal="general" vertical="bottom" textRotation="0" wrapText="false" indent="0" shrinkToFit="false"/>
      <protection locked="true" hidden="false"/>
    </xf>
    <xf numFmtId="164" fontId="0" fillId="0" borderId="75" xfId="0" applyFont="false" applyBorder="true" applyAlignment="true" applyProtection="true">
      <alignment horizontal="general" vertical="bottom" textRotation="0" wrapText="false" indent="0" shrinkToFit="false"/>
      <protection locked="true" hidden="false"/>
    </xf>
    <xf numFmtId="169" fontId="14" fillId="0" borderId="75" xfId="0" applyFont="true" applyBorder="true" applyAlignment="true" applyProtection="true">
      <alignment horizontal="general" vertical="center" textRotation="0" wrapText="false" indent="0" shrinkToFit="false"/>
      <protection locked="true" hidden="false"/>
    </xf>
    <xf numFmtId="164" fontId="5" fillId="0" borderId="76" xfId="0" applyFont="true" applyBorder="true" applyAlignment="true" applyProtection="true">
      <alignment horizontal="general"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9" fontId="14" fillId="0" borderId="0" xfId="0" applyFont="true" applyBorder="false" applyAlignment="true" applyProtection="true">
      <alignment horizontal="general"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34" fillId="0" borderId="76" xfId="36" applyFont="true" applyBorder="true" applyAlignment="true" applyProtection="true">
      <alignment horizontal="general" vertical="bottom" textRotation="0" wrapText="false" indent="0" shrinkToFit="false"/>
      <protection locked="true" hidden="false"/>
    </xf>
  </cellXfs>
  <cellStyles count="30">
    <cellStyle name="Normal" xfId="0" builtinId="0"/>
    <cellStyle name="Comma" xfId="15" builtinId="3"/>
    <cellStyle name="Comma [0]" xfId="16" builtinId="6"/>
    <cellStyle name="Currency" xfId="17" builtinId="4"/>
    <cellStyle name="Currency [0]" xfId="18" builtinId="7"/>
    <cellStyle name="Percent" xfId="19" builtinId="5"/>
    <cellStyle name="Accent 1 5" xfId="20"/>
    <cellStyle name="Accent 2 6" xfId="21"/>
    <cellStyle name="Accent 3 7" xfId="22"/>
    <cellStyle name="Accent 4" xfId="23"/>
    <cellStyle name="Bad 8" xfId="24"/>
    <cellStyle name="Error 9" xfId="25"/>
    <cellStyle name="Footnote 10" xfId="26"/>
    <cellStyle name="Good 11" xfId="27"/>
    <cellStyle name="Heading 1 13" xfId="28"/>
    <cellStyle name="Heading 12" xfId="29"/>
    <cellStyle name="Heading 2 14" xfId="30"/>
    <cellStyle name="Hipervínculo" xfId="31"/>
    <cellStyle name="Hyperlink 15" xfId="32"/>
    <cellStyle name="Millares 2" xfId="33"/>
    <cellStyle name="Millares 3" xfId="34"/>
    <cellStyle name="Normal 2" xfId="35"/>
    <cellStyle name="Normal 3" xfId="36"/>
    <cellStyle name="Note 16" xfId="37"/>
    <cellStyle name="Porcentaje 2" xfId="38"/>
    <cellStyle name="Porcentaje 3" xfId="39"/>
    <cellStyle name="Result 17" xfId="40"/>
    <cellStyle name="Status 18" xfId="41"/>
    <cellStyle name="Text 19" xfId="42"/>
    <cellStyle name="Warning 20" xfId="43"/>
  </cellStyles>
  <dxfs count="5">
    <dxf>
      <fill>
        <patternFill patternType="solid">
          <fgColor rgb="FFFFC000"/>
          <bgColor rgb="FF000000"/>
        </patternFill>
      </fill>
    </dxf>
    <dxf>
      <fill>
        <patternFill patternType="solid">
          <bgColor rgb="FF000000"/>
        </patternFill>
      </fill>
    </dxf>
    <dxf>
      <fill>
        <patternFill patternType="solid">
          <fgColor rgb="FF000000"/>
          <bgColor rgb="FF000000"/>
        </patternFill>
      </fill>
    </dxf>
    <dxf>
      <fill>
        <patternFill patternType="solid">
          <fgColor rgb="FFD9D9D9"/>
          <bgColor rgb="FF000000"/>
        </patternFill>
      </fill>
    </dxf>
    <dxf>
      <fill>
        <patternFill patternType="solid">
          <fgColor rgb="FFFF0000"/>
          <bgColor rgb="FF000000"/>
        </patternFill>
      </fill>
    </dxf>
  </dxfs>
  <colors>
    <indexedColors>
      <rgbColor rgb="FF000000"/>
      <rgbColor rgb="FFFFFFFF"/>
      <rgbColor rgb="FFFF0000"/>
      <rgbColor rgb="FF00FF00"/>
      <rgbColor rgb="FF0000EE"/>
      <rgbColor rgb="FFFFFF00"/>
      <rgbColor rgb="FFFF00FF"/>
      <rgbColor rgb="FF00FFFF"/>
      <rgbColor rgb="FFCC0000"/>
      <rgbColor rgb="FF006600"/>
      <rgbColor rgb="FF000080"/>
      <rgbColor rgb="FF808000"/>
      <rgbColor rgb="FF800080"/>
      <rgbColor rgb="FF008080"/>
      <rgbColor rgb="FFDDDDDD"/>
      <rgbColor rgb="FF808080"/>
      <rgbColor rgb="FF9999FF"/>
      <rgbColor rgb="FF993366"/>
      <rgbColor rgb="FFFFFFCC"/>
      <rgbColor rgb="FFE2EFDA"/>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2D050"/>
      <rgbColor rgb="FFFFC000"/>
      <rgbColor rgb="FFFF9900"/>
      <rgbColor rgb="FFFF6600"/>
      <rgbColor rgb="FF666699"/>
      <rgbColor rgb="FF969696"/>
      <rgbColor rgb="FF003366"/>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21960</xdr:colOff>
      <xdr:row>76</xdr:row>
      <xdr:rowOff>64800</xdr:rowOff>
    </xdr:from>
    <xdr:to>
      <xdr:col>0</xdr:col>
      <xdr:colOff>59400</xdr:colOff>
      <xdr:row>76</xdr:row>
      <xdr:rowOff>131040</xdr:rowOff>
    </xdr:to>
    <xdr:sp>
      <xdr:nvSpPr>
        <xdr:cNvPr id="1" name="Flecha: hacia arriba 4"/>
        <xdr:cNvSpPr/>
      </xdr:nvSpPr>
      <xdr:spPr>
        <a:xfrm>
          <a:off x="21960" y="9084960"/>
          <a:ext cx="37440" cy="66240"/>
        </a:xfrm>
        <a:custGeom>
          <a:avLst/>
          <a:gdLst>
            <a:gd name="textAreaLeft" fmla="*/ 11880 w 37440"/>
            <a:gd name="textAreaRight" fmla="*/ 35640 w 37440"/>
            <a:gd name="textAreaTop" fmla="*/ 11880 h 66240"/>
            <a:gd name="textAreaBottom" fmla="*/ 76320 h 66240"/>
          </a:gdLst>
          <a:ahLst/>
          <a:cxnLst/>
          <a:rect l="textAreaLeft" t="textAreaTop" r="textAreaRight" b="textAreaBottom"/>
          <a:pathLst>
            <a:path w="21600" h="21600">
              <a:moveTo>
                <a:pt x="5400" y="21600"/>
              </a:moveTo>
              <a:lnTo>
                <a:pt x="5400" y="6750"/>
              </a:lnTo>
              <a:lnTo>
                <a:pt x="0" y="6750"/>
              </a:lnTo>
              <a:lnTo>
                <a:pt x="10800" y="0"/>
              </a:lnTo>
              <a:lnTo>
                <a:pt x="21600" y="6750"/>
              </a:lnTo>
              <a:lnTo>
                <a:pt x="16200" y="6750"/>
              </a:lnTo>
              <a:lnTo>
                <a:pt x="16200" y="21600"/>
              </a:lnTo>
              <a:close/>
            </a:path>
          </a:pathLst>
        </a:custGeom>
        <a:solidFill>
          <a:srgbClr val="4472c4"/>
        </a:solidFill>
        <a:ln w="12600">
          <a:solidFill>
            <a:srgbClr val="2f528f"/>
          </a:solidFill>
          <a:miter/>
        </a:ln>
      </xdr:spPr>
      <xdr:style>
        <a:lnRef idx="0"/>
        <a:fillRef idx="0"/>
        <a:effectRef idx="0"/>
        <a:fontRef idx="minor"/>
      </xdr:style>
    </xdr:sp>
    <xdr:clientData/>
  </xdr:twoCellAnchor>
  <xdr:twoCellAnchor editAs="oneCell">
    <xdr:from>
      <xdr:col>20</xdr:col>
      <xdr:colOff>21960</xdr:colOff>
      <xdr:row>76</xdr:row>
      <xdr:rowOff>64800</xdr:rowOff>
    </xdr:from>
    <xdr:to>
      <xdr:col>20</xdr:col>
      <xdr:colOff>59400</xdr:colOff>
      <xdr:row>76</xdr:row>
      <xdr:rowOff>131040</xdr:rowOff>
    </xdr:to>
    <xdr:sp>
      <xdr:nvSpPr>
        <xdr:cNvPr id="2" name="Flecha: hacia arriba 5"/>
        <xdr:cNvSpPr/>
      </xdr:nvSpPr>
      <xdr:spPr>
        <a:xfrm>
          <a:off x="3818160" y="9084960"/>
          <a:ext cx="37440" cy="66240"/>
        </a:xfrm>
        <a:custGeom>
          <a:avLst/>
          <a:gdLst>
            <a:gd name="textAreaLeft" fmla="*/ 11880 w 37440"/>
            <a:gd name="textAreaRight" fmla="*/ 35640 w 37440"/>
            <a:gd name="textAreaTop" fmla="*/ 11880 h 66240"/>
            <a:gd name="textAreaBottom" fmla="*/ 76320 h 66240"/>
          </a:gdLst>
          <a:ahLst/>
          <a:cxnLst/>
          <a:rect l="textAreaLeft" t="textAreaTop" r="textAreaRight" b="textAreaBottom"/>
          <a:pathLst>
            <a:path w="21600" h="21600">
              <a:moveTo>
                <a:pt x="5400" y="21600"/>
              </a:moveTo>
              <a:lnTo>
                <a:pt x="5400" y="6750"/>
              </a:lnTo>
              <a:lnTo>
                <a:pt x="0" y="6750"/>
              </a:lnTo>
              <a:lnTo>
                <a:pt x="10800" y="0"/>
              </a:lnTo>
              <a:lnTo>
                <a:pt x="21600" y="6750"/>
              </a:lnTo>
              <a:lnTo>
                <a:pt x="16200" y="6750"/>
              </a:lnTo>
              <a:lnTo>
                <a:pt x="16200" y="21600"/>
              </a:lnTo>
              <a:close/>
            </a:path>
          </a:pathLst>
        </a:custGeom>
        <a:solidFill>
          <a:srgbClr val="4472c4"/>
        </a:solidFill>
        <a:ln w="12600">
          <a:solidFill>
            <a:srgbClr val="2f528f"/>
          </a:solidFill>
          <a:miter/>
        </a:ln>
      </xdr:spPr>
      <xdr:style>
        <a:lnRef idx="0"/>
        <a:fillRef idx="0"/>
        <a:effectRef idx="0"/>
        <a:fontRef idx="minor"/>
      </xdr:style>
    </xdr:sp>
    <xdr:clientData/>
  </xdr:twoCellAnchor>
  <xdr:twoCellAnchor editAs="oneCell">
    <xdr:from>
      <xdr:col>30</xdr:col>
      <xdr:colOff>21960</xdr:colOff>
      <xdr:row>0</xdr:row>
      <xdr:rowOff>0</xdr:rowOff>
    </xdr:from>
    <xdr:to>
      <xdr:col>38</xdr:col>
      <xdr:colOff>161640</xdr:colOff>
      <xdr:row>3</xdr:row>
      <xdr:rowOff>47880</xdr:rowOff>
    </xdr:to>
    <xdr:pic>
      <xdr:nvPicPr>
        <xdr:cNvPr id="3" name="Imagen 6"/>
        <xdr:cNvPicPr/>
      </xdr:nvPicPr>
      <xdr:blipFill>
        <a:blip r:embed="rId1"/>
        <a:srcRect l="1041" t="0" r="1041" b="0"/>
        <a:stretch/>
      </xdr:blipFill>
      <xdr:spPr>
        <a:xfrm>
          <a:off x="5617440" y="0"/>
          <a:ext cx="1541880" cy="352800"/>
        </a:xfrm>
        <a:prstGeom prst="rect">
          <a:avLst/>
        </a:prstGeom>
        <a:noFill/>
        <a:ln w="0">
          <a:noFill/>
        </a:ln>
      </xdr:spPr>
    </xdr:pic>
    <xdr:clientData/>
  </xdr:twoCellAnchor>
</xdr:wsDr>
</file>

<file path=xl/tables/table1.xml><?xml version="1.0" encoding="utf-8"?>
<table xmlns="http://schemas.openxmlformats.org/spreadsheetml/2006/main" id="1" name="__Anonymous_Sheet_DB__2" displayName="__Anonymous_Sheet_DB__2" ref="A3:E93" headerRowCount="1" totalsRowCount="0" totalsRowShown="0">
  <autoFilter ref="A3:E93"/>
  <tableColumns count="5">
    <tableColumn id="1" name="Nº"/>
    <tableColumn id="2" name="OFICINA"/>
    <tableColumn id="3" name="CÓDIGO"/>
    <tableColumn id="4" name="CÓDIGO OFICIAL DE NEG."/>
    <tableColumn id="5" name="NOMBRES Y APELLIDOS"/>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mailto:marlitaortiz@hotmail.com" TargetMode="External"/><Relationship Id="rId3" Type="http://schemas.openxmlformats.org/officeDocument/2006/relationships/hyperlink" Target="mailto:nn@nn.nn" TargetMode="External"/><Relationship Id="rId4" Type="http://schemas.openxmlformats.org/officeDocument/2006/relationships/drawing" Target="../drawings/drawing1.xml"/><Relationship Id="rId5"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true" showRowColHeaders="true" showZeros="true" rightToLeft="false" tabSelected="false" showOutlineSymbols="true" defaultGridColor="true" view="pageBreakPreview" topLeftCell="A7" colorId="64" zoomScale="160" zoomScaleNormal="100" zoomScalePageLayoutView="160" workbookViewId="0">
      <selection pane="topLeft" activeCell="B18" activeCellId="0" sqref="B18"/>
    </sheetView>
  </sheetViews>
  <sheetFormatPr defaultColWidth="10.6796875" defaultRowHeight="14.25" customHeight="false" zeroHeight="false" outlineLevelRow="0" outlineLevelCol="0"/>
  <cols>
    <col collapsed="false" customWidth="true" hidden="false" outlineLevel="0" max="1" min="1" style="1" width="3"/>
    <col collapsed="false" customWidth="true" hidden="false" outlineLevel="0" max="2" min="2" style="2" width="17.44"/>
    <col collapsed="false" customWidth="true" hidden="false" outlineLevel="0" max="3" min="3" style="2" width="15.22"/>
    <col collapsed="false" customWidth="true" hidden="false" outlineLevel="0" max="4" min="4" style="2" width="18.34"/>
    <col collapsed="false" customWidth="true" hidden="false" outlineLevel="0" max="5" min="5" style="2" width="21.67"/>
    <col collapsed="false" customWidth="true" hidden="false" outlineLevel="0" max="6" min="6" style="2" width="22.11"/>
    <col collapsed="false" customWidth="true" hidden="false" outlineLevel="0" max="7" min="7" style="2" width="16.67"/>
    <col collapsed="false" customWidth="true" hidden="false" outlineLevel="0" max="8" min="8" style="1" width="11.56"/>
  </cols>
  <sheetData>
    <row r="1" customFormat="false" ht="14.25" hidden="false" customHeight="false" outlineLevel="0" collapsed="false">
      <c r="B1" s="3" t="s">
        <v>0</v>
      </c>
      <c r="C1" s="3" t="s">
        <v>1</v>
      </c>
      <c r="D1" s="3" t="s">
        <v>2</v>
      </c>
      <c r="E1" s="3" t="s">
        <v>3</v>
      </c>
      <c r="F1" s="3" t="s">
        <v>4</v>
      </c>
      <c r="G1" s="3"/>
    </row>
    <row r="2" customFormat="false" ht="14.25" hidden="false" customHeight="false" outlineLevel="0" collapsed="false">
      <c r="B2" s="2" t="s">
        <v>5</v>
      </c>
      <c r="C2" s="2" t="s">
        <v>6</v>
      </c>
      <c r="D2" s="2" t="s">
        <v>7</v>
      </c>
      <c r="E2" s="2" t="s">
        <v>8</v>
      </c>
      <c r="F2" s="2" t="s">
        <v>9</v>
      </c>
    </row>
    <row r="3" customFormat="false" ht="14.25" hidden="false" customHeight="false" outlineLevel="0" collapsed="false">
      <c r="B3" s="2" t="s">
        <v>10</v>
      </c>
      <c r="C3" s="2" t="s">
        <v>11</v>
      </c>
      <c r="D3" s="2" t="s">
        <v>12</v>
      </c>
      <c r="E3" s="2" t="s">
        <v>13</v>
      </c>
      <c r="F3" s="2" t="s">
        <v>14</v>
      </c>
    </row>
    <row r="4" customFormat="false" ht="14.25" hidden="false" customHeight="false" outlineLevel="0" collapsed="false">
      <c r="B4" s="2" t="s">
        <v>15</v>
      </c>
      <c r="C4" s="2" t="s">
        <v>16</v>
      </c>
      <c r="D4" s="2" t="s">
        <v>17</v>
      </c>
      <c r="E4" s="2" t="s">
        <v>18</v>
      </c>
      <c r="F4" s="2" t="s">
        <v>19</v>
      </c>
    </row>
    <row r="5" customFormat="false" ht="14.25" hidden="false" customHeight="false" outlineLevel="0" collapsed="false">
      <c r="B5" s="2" t="s">
        <v>20</v>
      </c>
      <c r="C5" s="2" t="s">
        <v>21</v>
      </c>
      <c r="D5" s="2" t="s">
        <v>22</v>
      </c>
      <c r="E5" s="2" t="s">
        <v>19</v>
      </c>
      <c r="F5" s="2" t="s">
        <v>23</v>
      </c>
    </row>
    <row r="6" customFormat="false" ht="14.25" hidden="false" customHeight="false" outlineLevel="0" collapsed="false">
      <c r="B6" s="2" t="s">
        <v>24</v>
      </c>
      <c r="C6" s="2" t="s">
        <v>25</v>
      </c>
      <c r="D6" s="2" t="s">
        <v>26</v>
      </c>
      <c r="E6" s="2" t="s">
        <v>23</v>
      </c>
      <c r="F6" s="2" t="s">
        <v>27</v>
      </c>
    </row>
    <row r="7" customFormat="false" ht="14.25" hidden="false" customHeight="false" outlineLevel="0" collapsed="false">
      <c r="B7" s="2" t="s">
        <v>28</v>
      </c>
      <c r="C7" s="2" t="s">
        <v>29</v>
      </c>
      <c r="D7" s="2" t="s">
        <v>30</v>
      </c>
      <c r="E7" s="2" t="s">
        <v>31</v>
      </c>
    </row>
    <row r="8" customFormat="false" ht="14.25" hidden="false" customHeight="false" outlineLevel="0" collapsed="false">
      <c r="B8" s="2" t="s">
        <v>32</v>
      </c>
      <c r="D8" s="2" t="s">
        <v>33</v>
      </c>
    </row>
    <row r="9" customFormat="false" ht="14.25" hidden="false" customHeight="false" outlineLevel="0" collapsed="false">
      <c r="B9" s="2" t="s">
        <v>34</v>
      </c>
    </row>
    <row r="11" customFormat="false" ht="14.25" hidden="false" customHeight="false" outlineLevel="0" collapsed="false">
      <c r="B11" s="3" t="s">
        <v>35</v>
      </c>
      <c r="C11" s="3" t="s">
        <v>36</v>
      </c>
      <c r="D11" s="3" t="s">
        <v>37</v>
      </c>
      <c r="E11" s="3" t="s">
        <v>38</v>
      </c>
      <c r="F11" s="3" t="s">
        <v>39</v>
      </c>
      <c r="G11" s="3" t="s">
        <v>40</v>
      </c>
    </row>
    <row r="12" customFormat="false" ht="14.25" hidden="false" customHeight="false" outlineLevel="0" collapsed="false">
      <c r="B12" s="2" t="s">
        <v>41</v>
      </c>
      <c r="C12" s="2" t="s">
        <v>42</v>
      </c>
      <c r="D12" s="4" t="n">
        <v>1</v>
      </c>
      <c r="E12" s="2" t="s">
        <v>43</v>
      </c>
      <c r="F12" s="2" t="s">
        <v>44</v>
      </c>
      <c r="G12" s="2" t="s">
        <v>45</v>
      </c>
    </row>
    <row r="13" customFormat="false" ht="14.25" hidden="false" customHeight="false" outlineLevel="0" collapsed="false">
      <c r="B13" s="2" t="s">
        <v>46</v>
      </c>
      <c r="C13" s="2" t="s">
        <v>47</v>
      </c>
      <c r="D13" s="4" t="n">
        <v>7</v>
      </c>
      <c r="E13" s="2" t="s">
        <v>48</v>
      </c>
      <c r="F13" s="2" t="s">
        <v>49</v>
      </c>
      <c r="G13" s="2" t="s">
        <v>50</v>
      </c>
    </row>
    <row r="14" customFormat="false" ht="14.25" hidden="false" customHeight="false" outlineLevel="0" collapsed="false">
      <c r="B14" s="2" t="s">
        <v>51</v>
      </c>
      <c r="C14" s="2" t="s">
        <v>52</v>
      </c>
      <c r="D14" s="4" t="n">
        <v>30</v>
      </c>
      <c r="E14" s="2" t="s">
        <v>53</v>
      </c>
      <c r="F14" s="2" t="s">
        <v>54</v>
      </c>
      <c r="G14" s="2" t="s">
        <v>55</v>
      </c>
    </row>
    <row r="15" customFormat="false" ht="14.25" hidden="false" customHeight="false" outlineLevel="0" collapsed="false">
      <c r="B15" s="2" t="s">
        <v>56</v>
      </c>
      <c r="C15" s="2" t="s">
        <v>57</v>
      </c>
      <c r="D15" s="4" t="n">
        <v>90</v>
      </c>
      <c r="E15" s="2" t="s">
        <v>58</v>
      </c>
    </row>
    <row r="16" customFormat="false" ht="14.25" hidden="false" customHeight="false" outlineLevel="0" collapsed="false">
      <c r="B16" s="2" t="s">
        <v>59</v>
      </c>
      <c r="C16" s="2" t="s">
        <v>60</v>
      </c>
      <c r="D16" s="4" t="n">
        <v>180</v>
      </c>
      <c r="E16" s="2" t="s">
        <v>61</v>
      </c>
    </row>
    <row r="17" customFormat="false" ht="14.25" hidden="false" customHeight="false" outlineLevel="0" collapsed="false">
      <c r="B17" s="2" t="s">
        <v>62</v>
      </c>
      <c r="C17" s="2" t="s">
        <v>63</v>
      </c>
      <c r="E17" s="2" t="s">
        <v>64</v>
      </c>
    </row>
    <row r="18" customFormat="false" ht="14.25" hidden="false" customHeight="false" outlineLevel="0" collapsed="false">
      <c r="B18" s="2" t="s">
        <v>65</v>
      </c>
    </row>
    <row r="19" customFormat="false" ht="14.25" hidden="false" customHeight="false" outlineLevel="0" collapsed="false">
      <c r="B19" s="2" t="s">
        <v>66</v>
      </c>
      <c r="C19" s="2" t="s">
        <v>67</v>
      </c>
    </row>
    <row r="20" customFormat="false" ht="14.25" hidden="false" customHeight="false" outlineLevel="0" collapsed="false">
      <c r="B20" s="2" t="s">
        <v>68</v>
      </c>
      <c r="C20" s="2" t="s">
        <v>69</v>
      </c>
      <c r="D20" s="3"/>
    </row>
    <row r="21" customFormat="false" ht="14.25" hidden="false" customHeight="false" outlineLevel="0" collapsed="false">
      <c r="B21" s="2" t="s">
        <v>70</v>
      </c>
    </row>
    <row r="22" customFormat="false" ht="14.25" hidden="false" customHeight="false" outlineLevel="0" collapsed="false">
      <c r="B22" s="2" t="s">
        <v>71</v>
      </c>
    </row>
    <row r="23" customFormat="false" ht="14.25" hidden="false" customHeight="false" outlineLevel="0" collapsed="false">
      <c r="B23" s="2" t="s">
        <v>72</v>
      </c>
    </row>
    <row r="24" customFormat="false" ht="14.25" hidden="false" customHeight="false" outlineLevel="0" collapsed="false">
      <c r="B24" s="2" t="s">
        <v>73</v>
      </c>
    </row>
    <row r="25" customFormat="false" ht="14.25" hidden="false" customHeight="false" outlineLevel="0" collapsed="false">
      <c r="B25" s="2" t="s">
        <v>74</v>
      </c>
    </row>
    <row r="26" customFormat="false" ht="14.25" hidden="false" customHeight="false" outlineLevel="0" collapsed="false">
      <c r="B26" s="2" t="s">
        <v>75</v>
      </c>
    </row>
    <row r="27" customFormat="false" ht="14.25" hidden="false" customHeight="false" outlineLevel="0" collapsed="false">
      <c r="B27" s="2" t="s">
        <v>76</v>
      </c>
    </row>
    <row r="29" customFormat="false" ht="14.25" hidden="false" customHeight="false" outlineLevel="0" collapsed="false">
      <c r="B29" s="3" t="s">
        <v>77</v>
      </c>
      <c r="C29" s="3" t="s">
        <v>78</v>
      </c>
      <c r="D29" s="3"/>
    </row>
    <row r="30" customFormat="false" ht="14.25" hidden="false" customHeight="false" outlineLevel="0" collapsed="false">
      <c r="B30" s="2" t="s">
        <v>79</v>
      </c>
      <c r="C30" s="2" t="s">
        <v>80</v>
      </c>
    </row>
    <row r="31" customFormat="false" ht="14.25" hidden="false" customHeight="false" outlineLevel="0" collapsed="false">
      <c r="B31" s="2" t="s">
        <v>81</v>
      </c>
      <c r="C31" s="2" t="s">
        <v>43</v>
      </c>
    </row>
    <row r="32" customFormat="false" ht="14.25" hidden="false" customHeight="false" outlineLevel="0" collapsed="false">
      <c r="B32" s="2" t="s">
        <v>82</v>
      </c>
      <c r="C32" s="2" t="s">
        <v>83</v>
      </c>
    </row>
    <row r="33" customFormat="false" ht="14.25" hidden="false" customHeight="false" outlineLevel="0" collapsed="false">
      <c r="B33" s="2" t="s">
        <v>84</v>
      </c>
      <c r="C33" s="2" t="s">
        <v>85</v>
      </c>
    </row>
    <row r="34" customFormat="false" ht="14.25" hidden="false" customHeight="false" outlineLevel="0" collapsed="false">
      <c r="B34" s="2" t="s">
        <v>86</v>
      </c>
      <c r="C34" s="2" t="s">
        <v>87</v>
      </c>
    </row>
    <row r="35" customFormat="false" ht="14.25" hidden="false" customHeight="false" outlineLevel="0" collapsed="false">
      <c r="B35" s="2" t="s">
        <v>88</v>
      </c>
      <c r="C35" s="2" t="s">
        <v>89</v>
      </c>
    </row>
    <row r="36" customFormat="false" ht="14.25" hidden="false" customHeight="false" outlineLevel="0" collapsed="false">
      <c r="B36" s="2" t="s">
        <v>90</v>
      </c>
      <c r="C36" s="2" t="s">
        <v>91</v>
      </c>
      <c r="D36" s="5"/>
    </row>
    <row r="37" customFormat="false" ht="14.25" hidden="false" customHeight="false" outlineLevel="0" collapsed="false">
      <c r="B37" s="2" t="s">
        <v>92</v>
      </c>
      <c r="C37" s="2" t="s">
        <v>93</v>
      </c>
    </row>
    <row r="38" customFormat="false" ht="14.25" hidden="false" customHeight="false" outlineLevel="0" collapsed="false">
      <c r="B38" s="2" t="s">
        <v>94</v>
      </c>
      <c r="C38" s="2" t="s">
        <v>95</v>
      </c>
    </row>
    <row r="39" customFormat="false" ht="14.25" hidden="false" customHeight="false" outlineLevel="0" collapsed="false">
      <c r="B39" s="2" t="s">
        <v>96</v>
      </c>
      <c r="C39" s="2" t="s">
        <v>97</v>
      </c>
      <c r="D39" s="5"/>
    </row>
    <row r="40" customFormat="false" ht="14.25" hidden="false" customHeight="false" outlineLevel="0" collapsed="false">
      <c r="B40" s="2" t="s">
        <v>98</v>
      </c>
      <c r="C40" s="2" t="s">
        <v>99</v>
      </c>
      <c r="D40" s="5"/>
    </row>
    <row r="41" customFormat="false" ht="14.25" hidden="false" customHeight="false" outlineLevel="0" collapsed="false">
      <c r="B41" s="2" t="s">
        <v>100</v>
      </c>
      <c r="C41" s="2" t="s">
        <v>101</v>
      </c>
      <c r="D41" s="5"/>
    </row>
    <row r="42" customFormat="false" ht="14.25" hidden="false" customHeight="false" outlineLevel="0" collapsed="false">
      <c r="B42" s="2" t="s">
        <v>95</v>
      </c>
      <c r="C42" s="2" t="s">
        <v>102</v>
      </c>
    </row>
    <row r="43" customFormat="false" ht="14.25" hidden="false" customHeight="false" outlineLevel="0" collapsed="false">
      <c r="B43" s="2" t="s">
        <v>103</v>
      </c>
      <c r="C43" s="2" t="s">
        <v>104</v>
      </c>
    </row>
    <row r="44" customFormat="false" ht="14.25" hidden="false" customHeight="false" outlineLevel="0" collapsed="false">
      <c r="B44" s="2" t="s">
        <v>105</v>
      </c>
      <c r="C44" s="2" t="s">
        <v>106</v>
      </c>
    </row>
    <row r="45" customFormat="false" ht="14.25" hidden="false" customHeight="false" outlineLevel="0" collapsed="false">
      <c r="C45" s="2" t="s">
        <v>107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1048576"/>
  <sheetViews>
    <sheetView showFormulas="false" showGridLines="false" showRowColHeaders="true" showZeros="true" rightToLeft="false" tabSelected="true" showOutlineSymbols="true" defaultGridColor="true" view="pageBreakPreview" topLeftCell="A211" colorId="64" zoomScale="160" zoomScaleNormal="120" zoomScalePageLayoutView="160" workbookViewId="0">
      <selection pane="topLeft" activeCell="AT32" activeCellId="0" sqref="AT32"/>
    </sheetView>
  </sheetViews>
  <sheetFormatPr defaultColWidth="10.6796875" defaultRowHeight="10.5" customHeight="false" zeroHeight="false" outlineLevelRow="0" outlineLevelCol="0"/>
  <cols>
    <col collapsed="false" customWidth="true" hidden="false" outlineLevel="0" max="1" min="1" style="6" width="2.33"/>
    <col collapsed="false" customWidth="true" hidden="false" outlineLevel="0" max="2" min="2" style="7" width="3.22"/>
    <col collapsed="false" customWidth="true" hidden="false" outlineLevel="0" max="3" min="3" style="7" width="2.33"/>
    <col collapsed="false" customWidth="true" hidden="false" outlineLevel="0" max="5" min="4" style="7" width="3"/>
    <col collapsed="false" customWidth="true" hidden="false" outlineLevel="0" max="6" min="6" style="7" width="2.44"/>
    <col collapsed="false" customWidth="true" hidden="false" outlineLevel="0" max="8" min="7" style="7" width="2.33"/>
    <col collapsed="false" customWidth="true" hidden="false" outlineLevel="0" max="9" min="9" style="7" width="2.88"/>
    <col collapsed="false" customWidth="true" hidden="false" outlineLevel="0" max="10" min="10" style="7" width="3.44"/>
    <col collapsed="false" customWidth="true" hidden="false" outlineLevel="0" max="11" min="11" style="7" width="2.33"/>
    <col collapsed="false" customWidth="true" hidden="false" outlineLevel="0" max="12" min="12" style="7" width="2.44"/>
    <col collapsed="false" customWidth="true" hidden="false" outlineLevel="0" max="13" min="13" style="7" width="2.67"/>
    <col collapsed="false" customWidth="true" hidden="false" outlineLevel="0" max="14" min="14" style="7" width="2.44"/>
    <col collapsed="false" customWidth="true" hidden="false" outlineLevel="0" max="15" min="15" style="7" width="3.56"/>
    <col collapsed="false" customWidth="true" hidden="false" outlineLevel="0" max="16" min="16" style="7" width="2.77"/>
    <col collapsed="false" customWidth="true" hidden="false" outlineLevel="0" max="17" min="17" style="7" width="2.33"/>
    <col collapsed="false" customWidth="true" hidden="false" outlineLevel="0" max="18" min="18" style="7" width="3"/>
    <col collapsed="false" customWidth="true" hidden="false" outlineLevel="0" max="19" min="19" style="7" width="2.67"/>
    <col collapsed="false" customWidth="true" hidden="false" outlineLevel="0" max="20" min="20" style="7" width="2.33"/>
    <col collapsed="false" customWidth="true" hidden="false" outlineLevel="0" max="21" min="21" style="7" width="3"/>
    <col collapsed="false" customWidth="true" hidden="false" outlineLevel="0" max="22" min="22" style="7" width="2.33"/>
    <col collapsed="false" customWidth="true" hidden="false" outlineLevel="0" max="24" min="23" style="7" width="2.77"/>
    <col collapsed="false" customWidth="true" hidden="false" outlineLevel="0" max="26" min="25" style="7" width="2.33"/>
    <col collapsed="false" customWidth="true" hidden="false" outlineLevel="0" max="27" min="27" style="7" width="3"/>
    <col collapsed="false" customWidth="true" hidden="false" outlineLevel="0" max="31" min="28" style="7" width="2.33"/>
    <col collapsed="false" customWidth="true" hidden="false" outlineLevel="0" max="32" min="32" style="7" width="3.56"/>
    <col collapsed="false" customWidth="true" hidden="false" outlineLevel="0" max="42" min="33" style="7" width="2.33"/>
    <col collapsed="false" customWidth="true" hidden="false" outlineLevel="0" max="1024" min="43" style="2" width="2.33"/>
    <col collapsed="false" customWidth="true" hidden="false" outlineLevel="0" max="1025" min="1025" style="1" width="11.56"/>
  </cols>
  <sheetData>
    <row r="1" s="12" customFormat="true" ht="10.5" hidden="false" customHeight="true" outlineLevel="0" collapsed="false">
      <c r="A1" s="8" t="s">
        <v>108</v>
      </c>
      <c r="B1" s="8"/>
      <c r="C1" s="8"/>
      <c r="D1" s="8"/>
      <c r="E1" s="8"/>
      <c r="F1" s="8"/>
      <c r="G1" s="8"/>
      <c r="H1" s="8"/>
      <c r="I1" s="8"/>
      <c r="J1" s="8"/>
      <c r="K1" s="8"/>
      <c r="L1" s="8"/>
      <c r="M1" s="8"/>
      <c r="N1" s="8"/>
      <c r="O1" s="8"/>
      <c r="P1" s="8"/>
      <c r="Q1" s="8"/>
      <c r="R1" s="8"/>
      <c r="S1" s="8"/>
      <c r="T1" s="8"/>
      <c r="U1" s="8"/>
      <c r="V1" s="8"/>
      <c r="W1" s="8"/>
      <c r="X1" s="8"/>
      <c r="Y1" s="8"/>
      <c r="Z1" s="8"/>
      <c r="AA1" s="8"/>
      <c r="AB1" s="8"/>
      <c r="AC1" s="8"/>
      <c r="AD1" s="9"/>
      <c r="AE1" s="9"/>
      <c r="AF1" s="9"/>
      <c r="AG1" s="9"/>
      <c r="AH1" s="7"/>
      <c r="AI1" s="7"/>
      <c r="AJ1" s="7"/>
      <c r="AK1" s="7"/>
      <c r="AL1" s="7"/>
      <c r="AM1" s="7"/>
      <c r="AN1" s="7"/>
      <c r="AO1" s="10"/>
      <c r="AP1" s="11"/>
    </row>
    <row r="2" customFormat="false" ht="2.25" hidden="false" customHeight="true" outlineLevel="0" collapsed="false">
      <c r="A2" s="8"/>
      <c r="B2" s="8"/>
      <c r="C2" s="8"/>
      <c r="D2" s="8"/>
      <c r="E2" s="8"/>
      <c r="F2" s="8"/>
      <c r="G2" s="8"/>
      <c r="H2" s="8"/>
      <c r="I2" s="8"/>
      <c r="J2" s="8"/>
      <c r="K2" s="8"/>
      <c r="L2" s="8"/>
      <c r="M2" s="8"/>
      <c r="N2" s="8"/>
      <c r="O2" s="8"/>
      <c r="P2" s="8"/>
      <c r="Q2" s="8"/>
      <c r="R2" s="8"/>
      <c r="S2" s="8"/>
      <c r="T2" s="8"/>
      <c r="U2" s="8"/>
      <c r="V2" s="8"/>
      <c r="W2" s="8"/>
      <c r="X2" s="8"/>
      <c r="Y2" s="8"/>
      <c r="Z2" s="8"/>
      <c r="AA2" s="8"/>
      <c r="AB2" s="8"/>
      <c r="AC2" s="8"/>
      <c r="AD2" s="9"/>
      <c r="AE2" s="9"/>
      <c r="AF2" s="9"/>
      <c r="AG2" s="9"/>
    </row>
    <row r="3" customFormat="false" ht="11.25" hidden="false" customHeight="true" outlineLevel="0" collapsed="false">
      <c r="A3" s="7"/>
      <c r="N3" s="13" t="s">
        <v>109</v>
      </c>
      <c r="O3" s="13"/>
      <c r="P3" s="13"/>
      <c r="Q3" s="13"/>
      <c r="R3" s="13"/>
      <c r="S3" s="13"/>
      <c r="T3" s="13"/>
      <c r="U3" s="13"/>
      <c r="V3" s="13"/>
      <c r="W3" s="13"/>
    </row>
    <row r="4" customFormat="false" ht="9.75" hidden="false" customHeight="true" outlineLevel="0" collapsed="false">
      <c r="A4" s="14" t="s">
        <v>110</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row>
    <row r="5" customFormat="false" ht="2.25" hidden="false" customHeight="true" outlineLevel="0" collapsed="false">
      <c r="A5" s="15"/>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7"/>
    </row>
    <row r="6" customFormat="false" ht="15" hidden="false" customHeight="true" outlineLevel="0" collapsed="false">
      <c r="A6" s="18" t="s">
        <v>111</v>
      </c>
      <c r="B6" s="18"/>
      <c r="C6" s="18"/>
      <c r="D6" s="18"/>
      <c r="E6" s="18"/>
      <c r="F6" s="19" t="s">
        <v>112</v>
      </c>
      <c r="H6" s="20"/>
      <c r="I6" s="21" t="s">
        <v>113</v>
      </c>
      <c r="J6" s="21"/>
      <c r="K6" s="21"/>
      <c r="L6" s="21"/>
      <c r="M6" s="22"/>
      <c r="N6" s="20"/>
      <c r="P6" s="21" t="s">
        <v>114</v>
      </c>
      <c r="Q6" s="21"/>
      <c r="R6" s="21"/>
      <c r="S6" s="21"/>
      <c r="T6" s="23" t="s">
        <v>74</v>
      </c>
      <c r="U6" s="23"/>
      <c r="V6" s="23"/>
      <c r="W6" s="23"/>
      <c r="X6" s="23"/>
      <c r="Y6" s="23"/>
      <c r="Z6" s="23"/>
      <c r="AC6" s="21" t="s">
        <v>115</v>
      </c>
      <c r="AD6" s="21"/>
      <c r="AE6" s="21"/>
      <c r="AF6" s="24" t="n">
        <v>46202</v>
      </c>
      <c r="AG6" s="24"/>
      <c r="AH6" s="24"/>
      <c r="AI6" s="24"/>
      <c r="AJ6" s="24"/>
      <c r="AK6" s="24"/>
      <c r="AL6" s="24"/>
      <c r="AM6" s="24"/>
      <c r="AN6" s="24"/>
      <c r="AO6" s="24"/>
    </row>
    <row r="7" customFormat="false" ht="1.5" hidden="false" customHeight="true" outlineLevel="0" collapsed="false">
      <c r="A7" s="25"/>
      <c r="B7" s="26"/>
      <c r="C7" s="26"/>
      <c r="D7" s="26"/>
      <c r="E7" s="26"/>
      <c r="G7" s="26"/>
      <c r="H7" s="26"/>
      <c r="I7" s="26"/>
      <c r="J7" s="26"/>
      <c r="M7" s="26"/>
      <c r="N7" s="26"/>
      <c r="O7" s="26"/>
      <c r="P7" s="26"/>
      <c r="S7" s="27"/>
      <c r="T7" s="27"/>
      <c r="U7" s="27"/>
      <c r="V7" s="27"/>
      <c r="W7" s="27"/>
      <c r="X7" s="27"/>
      <c r="Y7" s="27"/>
      <c r="Z7" s="28"/>
      <c r="AA7" s="28"/>
      <c r="AB7" s="28"/>
      <c r="AC7" s="28"/>
      <c r="AD7" s="28"/>
      <c r="AE7" s="28"/>
      <c r="AF7" s="28"/>
      <c r="AG7" s="28"/>
      <c r="AH7" s="28"/>
      <c r="AI7" s="27"/>
      <c r="AJ7" s="27"/>
      <c r="AK7" s="27"/>
      <c r="AL7" s="27"/>
      <c r="AM7" s="27"/>
      <c r="AN7" s="27"/>
      <c r="AO7" s="29"/>
    </row>
    <row r="8" customFormat="false" ht="15" hidden="false" customHeight="true" outlineLevel="0" collapsed="false">
      <c r="A8" s="30" t="s">
        <v>116</v>
      </c>
      <c r="B8" s="30"/>
      <c r="C8" s="30"/>
      <c r="D8" s="30"/>
      <c r="E8" s="30"/>
      <c r="F8" s="30"/>
      <c r="G8" s="30"/>
      <c r="H8" s="30"/>
      <c r="I8" s="30"/>
      <c r="J8" s="30"/>
      <c r="K8" s="30"/>
      <c r="L8" s="30"/>
      <c r="M8" s="30"/>
      <c r="N8" s="30"/>
      <c r="O8" s="30"/>
      <c r="P8" s="26"/>
      <c r="Q8" s="21" t="s">
        <v>117</v>
      </c>
      <c r="R8" s="21"/>
      <c r="S8" s="21"/>
      <c r="T8" s="19" t="s">
        <v>112</v>
      </c>
      <c r="U8" s="21" t="s">
        <v>118</v>
      </c>
      <c r="V8" s="21"/>
      <c r="W8" s="21"/>
      <c r="X8" s="23"/>
      <c r="Y8" s="21" t="s">
        <v>119</v>
      </c>
      <c r="Z8" s="21"/>
      <c r="AA8" s="21"/>
      <c r="AB8" s="21"/>
      <c r="AC8" s="21"/>
      <c r="AD8" s="23"/>
      <c r="AE8" s="31" t="s">
        <v>120</v>
      </c>
      <c r="AF8" s="31"/>
      <c r="AG8" s="31"/>
      <c r="AH8" s="31"/>
      <c r="AI8" s="31"/>
      <c r="AJ8" s="31"/>
      <c r="AK8" s="31"/>
      <c r="AL8" s="19"/>
      <c r="AM8" s="27"/>
      <c r="AN8" s="27"/>
      <c r="AO8" s="32"/>
    </row>
    <row r="9" customFormat="false" ht="3" hidden="false" customHeight="true" outlineLevel="0" collapsed="false">
      <c r="A9" s="33"/>
      <c r="B9" s="10"/>
      <c r="C9" s="10"/>
      <c r="D9" s="10"/>
      <c r="E9" s="10"/>
      <c r="F9" s="10"/>
      <c r="G9" s="10"/>
      <c r="H9" s="10"/>
      <c r="I9" s="10"/>
      <c r="J9" s="10"/>
      <c r="K9" s="10"/>
      <c r="L9" s="10"/>
      <c r="M9" s="10"/>
      <c r="N9" s="10"/>
      <c r="O9" s="10"/>
      <c r="P9" s="10"/>
      <c r="Q9" s="27"/>
      <c r="R9" s="27"/>
      <c r="S9" s="27"/>
      <c r="T9" s="10"/>
      <c r="U9" s="27"/>
      <c r="V9" s="27"/>
      <c r="W9" s="27"/>
      <c r="X9" s="10"/>
      <c r="Y9" s="27"/>
      <c r="Z9" s="27"/>
      <c r="AA9" s="27"/>
      <c r="AB9" s="27"/>
      <c r="AC9" s="27"/>
      <c r="AD9" s="10"/>
      <c r="AE9" s="27"/>
      <c r="AF9" s="27"/>
      <c r="AG9" s="27"/>
      <c r="AH9" s="27"/>
      <c r="AI9" s="27"/>
      <c r="AJ9" s="27"/>
      <c r="AK9" s="27"/>
      <c r="AL9" s="27"/>
      <c r="AM9" s="27"/>
      <c r="AN9" s="27"/>
      <c r="AO9" s="29"/>
    </row>
    <row r="10" customFormat="false" ht="15" hidden="false" customHeight="true" outlineLevel="0" collapsed="false">
      <c r="A10" s="34" t="s">
        <v>121</v>
      </c>
      <c r="B10" s="34"/>
      <c r="C10" s="34"/>
      <c r="D10" s="35" t="str">
        <f aca="false">VLOOKUP(A10,OFICIALES_DE_NEGOCIO!D4:E117,2,0)</f>
        <v>JARAMILLO JIMENEZ CARLOS ISRAEL</v>
      </c>
      <c r="E10" s="35"/>
      <c r="F10" s="35"/>
      <c r="G10" s="35"/>
      <c r="H10" s="35"/>
      <c r="I10" s="35"/>
      <c r="J10" s="35"/>
      <c r="K10" s="35"/>
      <c r="L10" s="35"/>
      <c r="M10" s="35"/>
      <c r="N10" s="35"/>
      <c r="O10" s="35"/>
      <c r="P10" s="35"/>
      <c r="Q10" s="21" t="s">
        <v>122</v>
      </c>
      <c r="R10" s="21"/>
      <c r="S10" s="21"/>
      <c r="T10" s="21"/>
      <c r="U10" s="21"/>
      <c r="V10" s="21"/>
      <c r="W10" s="36" t="s">
        <v>96</v>
      </c>
      <c r="X10" s="36"/>
      <c r="Y10" s="36"/>
      <c r="Z10" s="36"/>
      <c r="AA10" s="36"/>
      <c r="AB10" s="36"/>
      <c r="AC10" s="36"/>
      <c r="AE10" s="21" t="s">
        <v>123</v>
      </c>
      <c r="AF10" s="21"/>
      <c r="AG10" s="21"/>
      <c r="AH10" s="21"/>
      <c r="AI10" s="21"/>
      <c r="AJ10" s="21"/>
      <c r="AK10" s="21"/>
      <c r="AL10" s="37" t="n">
        <v>0.155</v>
      </c>
      <c r="AM10" s="37"/>
      <c r="AN10" s="37"/>
      <c r="AO10" s="37"/>
    </row>
    <row r="11" customFormat="false" ht="3.75" hidden="false" customHeight="true" outlineLevel="0" collapsed="false">
      <c r="A11" s="38"/>
      <c r="AJ11" s="39"/>
      <c r="AO11" s="40"/>
    </row>
    <row r="12" customFormat="false" ht="15" hidden="false" customHeight="true" outlineLevel="0" collapsed="false">
      <c r="A12" s="18" t="s">
        <v>124</v>
      </c>
      <c r="B12" s="18"/>
      <c r="C12" s="41" t="n">
        <v>50000</v>
      </c>
      <c r="D12" s="41"/>
      <c r="E12" s="41"/>
      <c r="F12" s="41"/>
      <c r="G12" s="21" t="s">
        <v>125</v>
      </c>
      <c r="H12" s="21"/>
      <c r="I12" s="21"/>
      <c r="J12" s="21"/>
      <c r="K12" s="23" t="n">
        <v>84</v>
      </c>
      <c r="L12" s="23"/>
      <c r="M12" s="21" t="s">
        <v>126</v>
      </c>
      <c r="N12" s="21"/>
      <c r="O12" s="21"/>
      <c r="P12" s="42" t="n">
        <f aca="false">IF(X12="Mensual", PMT(AL10/12, K12,-C12), IF(X12="Trimestral", PMT(AL10/4,K12/3,-C12), PMT(AL10/2,K12/6,-C12)))</f>
        <v>978.91734257795</v>
      </c>
      <c r="Q12" s="42"/>
      <c r="R12" s="42"/>
      <c r="S12" s="42"/>
      <c r="T12" s="21" t="s">
        <v>127</v>
      </c>
      <c r="U12" s="21"/>
      <c r="V12" s="21"/>
      <c r="W12" s="21"/>
      <c r="X12" s="36" t="s">
        <v>52</v>
      </c>
      <c r="Y12" s="36"/>
      <c r="Z12" s="36"/>
      <c r="AA12" s="36"/>
      <c r="AB12" s="36"/>
      <c r="AC12" s="36"/>
      <c r="AD12" s="21" t="s">
        <v>128</v>
      </c>
      <c r="AE12" s="21"/>
      <c r="AF12" s="21"/>
      <c r="AG12" s="43" t="s">
        <v>48</v>
      </c>
      <c r="AH12" s="43"/>
      <c r="AI12" s="43"/>
      <c r="AJ12" s="43"/>
      <c r="AK12" s="43"/>
      <c r="AL12" s="43"/>
      <c r="AM12" s="43"/>
      <c r="AN12" s="43"/>
      <c r="AO12" s="43"/>
    </row>
    <row r="13" customFormat="false" ht="1.5" hidden="false" customHeight="true" outlineLevel="0" collapsed="false">
      <c r="A13" s="38"/>
      <c r="AO13" s="40"/>
    </row>
    <row r="14" customFormat="false" ht="15" hidden="false" customHeight="true" outlineLevel="0" collapsed="false">
      <c r="A14" s="18" t="s">
        <v>129</v>
      </c>
      <c r="B14" s="18"/>
      <c r="C14" s="18"/>
      <c r="D14" s="18"/>
      <c r="E14" s="18"/>
      <c r="F14" s="18"/>
      <c r="G14" s="44" t="s">
        <v>130</v>
      </c>
      <c r="H14" s="44"/>
      <c r="I14" s="44"/>
      <c r="J14" s="44"/>
      <c r="K14" s="44"/>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row>
    <row r="15" customFormat="false" ht="4.5" hidden="false" customHeight="true" outlineLevel="0" collapsed="false">
      <c r="A15" s="45"/>
      <c r="B15" s="46"/>
      <c r="C15" s="46"/>
      <c r="D15" s="46"/>
      <c r="E15" s="46"/>
      <c r="F15" s="46"/>
      <c r="G15" s="46"/>
      <c r="H15" s="46"/>
      <c r="I15" s="46"/>
      <c r="J15" s="46"/>
      <c r="K15" s="46"/>
      <c r="L15" s="46"/>
      <c r="M15" s="46"/>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c r="AN15" s="46"/>
      <c r="AO15" s="47"/>
    </row>
    <row r="16" customFormat="false" ht="15" hidden="false" customHeight="true" outlineLevel="0" collapsed="false">
      <c r="A16" s="48" t="s">
        <v>131</v>
      </c>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row>
    <row r="17" customFormat="false" ht="5.25" hidden="false" customHeight="true" outlineLevel="0" collapsed="false">
      <c r="A17" s="15"/>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49"/>
    </row>
    <row r="18" customFormat="false" ht="13.5" hidden="false" customHeight="true" outlineLevel="0" collapsed="false">
      <c r="A18" s="18" t="s">
        <v>132</v>
      </c>
      <c r="B18" s="18"/>
      <c r="C18" s="50" t="n">
        <v>218104</v>
      </c>
      <c r="D18" s="50"/>
      <c r="E18" s="50"/>
      <c r="F18" s="51" t="s">
        <v>133</v>
      </c>
      <c r="G18" s="51"/>
      <c r="H18" s="51"/>
      <c r="I18" s="51"/>
      <c r="J18" s="51"/>
      <c r="K18" s="51"/>
      <c r="L18" s="51"/>
      <c r="M18" s="50" t="s">
        <v>134</v>
      </c>
      <c r="N18" s="50"/>
      <c r="O18" s="50"/>
      <c r="P18" s="50"/>
      <c r="Q18" s="50"/>
      <c r="R18" s="50"/>
      <c r="S18" s="50"/>
      <c r="T18" s="50"/>
      <c r="U18" s="50"/>
      <c r="V18" s="50"/>
      <c r="W18" s="50"/>
      <c r="X18" s="50"/>
      <c r="Y18" s="50"/>
      <c r="Z18" s="50"/>
      <c r="AA18" s="50"/>
      <c r="AB18" s="50"/>
      <c r="AC18" s="50"/>
      <c r="AD18" s="50"/>
      <c r="AE18" s="50"/>
      <c r="AF18" s="52" t="s">
        <v>135</v>
      </c>
      <c r="AG18" s="52"/>
      <c r="AH18" s="52"/>
      <c r="AI18" s="53" t="n">
        <v>2100076450</v>
      </c>
      <c r="AJ18" s="53"/>
      <c r="AK18" s="53"/>
      <c r="AL18" s="53"/>
      <c r="AM18" s="53"/>
      <c r="AN18" s="53"/>
      <c r="AO18" s="53"/>
    </row>
    <row r="19" customFormat="false" ht="2.25" hidden="false" customHeight="true" outlineLevel="0" collapsed="false">
      <c r="A19" s="38"/>
      <c r="AO19" s="40"/>
    </row>
    <row r="20" customFormat="false" ht="15" hidden="false" customHeight="true" outlineLevel="0" collapsed="false">
      <c r="A20" s="18" t="s">
        <v>136</v>
      </c>
      <c r="B20" s="18"/>
      <c r="C20" s="18"/>
      <c r="D20" s="18"/>
      <c r="E20" s="54" t="s">
        <v>137</v>
      </c>
      <c r="F20" s="54"/>
      <c r="G20" s="54"/>
      <c r="H20" s="54"/>
      <c r="I20" s="52" t="s">
        <v>138</v>
      </c>
      <c r="J20" s="52"/>
      <c r="K20" s="52"/>
      <c r="L20" s="52"/>
      <c r="M20" s="52"/>
      <c r="N20" s="52"/>
      <c r="O20" s="52"/>
      <c r="P20" s="52"/>
      <c r="Q20" s="52"/>
      <c r="R20" s="50" t="s">
        <v>139</v>
      </c>
      <c r="S20" s="50"/>
      <c r="T20" s="50"/>
      <c r="U20" s="50"/>
      <c r="V20" s="50"/>
      <c r="W20" s="55" t="s">
        <v>140</v>
      </c>
      <c r="X20" s="55"/>
      <c r="Y20" s="55"/>
      <c r="Z20" s="52" t="s">
        <v>141</v>
      </c>
      <c r="AA20" s="52"/>
      <c r="AB20" s="50" t="n">
        <v>38</v>
      </c>
      <c r="AC20" s="50"/>
      <c r="AD20" s="52" t="s">
        <v>142</v>
      </c>
      <c r="AE20" s="52"/>
      <c r="AF20" s="52"/>
      <c r="AG20" s="43" t="s">
        <v>11</v>
      </c>
      <c r="AH20" s="43"/>
      <c r="AI20" s="43"/>
      <c r="AJ20" s="43"/>
      <c r="AK20" s="43"/>
      <c r="AL20" s="43"/>
      <c r="AM20" s="43"/>
      <c r="AN20" s="43"/>
      <c r="AO20" s="43"/>
    </row>
    <row r="21" customFormat="false" ht="2.25" hidden="false" customHeight="true" outlineLevel="0" collapsed="false">
      <c r="A21" s="38"/>
      <c r="AO21" s="40"/>
    </row>
    <row r="22" customFormat="false" ht="15" hidden="false" customHeight="true" outlineLevel="0" collapsed="false">
      <c r="A22" s="18" t="s">
        <v>143</v>
      </c>
      <c r="B22" s="18"/>
      <c r="C22" s="18"/>
      <c r="D22" s="23" t="s">
        <v>144</v>
      </c>
      <c r="E22" s="52" t="s">
        <v>145</v>
      </c>
      <c r="F22" s="52"/>
      <c r="G22" s="50" t="s">
        <v>28</v>
      </c>
      <c r="H22" s="50"/>
      <c r="I22" s="50"/>
      <c r="J22" s="50"/>
      <c r="K22" s="50"/>
      <c r="L22" s="52" t="s">
        <v>146</v>
      </c>
      <c r="M22" s="52"/>
      <c r="N22" s="52"/>
      <c r="O22" s="52"/>
      <c r="P22" s="52"/>
      <c r="Q22" s="50" t="s">
        <v>22</v>
      </c>
      <c r="R22" s="50"/>
      <c r="S22" s="50"/>
      <c r="T22" s="50"/>
      <c r="U22" s="52" t="s">
        <v>147</v>
      </c>
      <c r="V22" s="52"/>
      <c r="W22" s="52"/>
      <c r="X22" s="50" t="s">
        <v>148</v>
      </c>
      <c r="Y22" s="50"/>
      <c r="Z22" s="50"/>
      <c r="AA22" s="50"/>
      <c r="AB22" s="50"/>
      <c r="AC22" s="50"/>
      <c r="AD22" s="21" t="s">
        <v>149</v>
      </c>
      <c r="AE22" s="21"/>
      <c r="AF22" s="21"/>
      <c r="AG22" s="21"/>
      <c r="AH22" s="21"/>
      <c r="AI22" s="21"/>
      <c r="AJ22" s="56" t="n">
        <v>0</v>
      </c>
      <c r="AK22" s="56"/>
      <c r="AL22" s="56"/>
      <c r="AM22" s="56"/>
      <c r="AN22" s="56"/>
      <c r="AO22" s="57"/>
    </row>
    <row r="23" customFormat="false" ht="4.5" hidden="false" customHeight="true" outlineLevel="0" collapsed="false">
      <c r="A23" s="45"/>
      <c r="B23" s="46"/>
      <c r="C23" s="46"/>
      <c r="D23" s="46"/>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7"/>
    </row>
    <row r="24" customFormat="false" ht="15" hidden="false" customHeight="true" outlineLevel="0" collapsed="false">
      <c r="A24" s="48" t="s">
        <v>150</v>
      </c>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row>
    <row r="25" customFormat="false" ht="3" hidden="false" customHeight="true" outlineLevel="0" collapsed="false">
      <c r="A25" s="15"/>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49"/>
    </row>
    <row r="26" customFormat="false" ht="15" hidden="false" customHeight="true" outlineLevel="0" collapsed="false">
      <c r="A26" s="18" t="s">
        <v>151</v>
      </c>
      <c r="B26" s="18"/>
      <c r="C26" s="18"/>
      <c r="D26" s="50" t="s">
        <v>152</v>
      </c>
      <c r="E26" s="50"/>
      <c r="F26" s="50"/>
      <c r="G26" s="50"/>
      <c r="H26" s="50"/>
      <c r="I26" s="52" t="s">
        <v>153</v>
      </c>
      <c r="J26" s="52"/>
      <c r="K26" s="52"/>
      <c r="L26" s="50" t="s">
        <v>74</v>
      </c>
      <c r="M26" s="50"/>
      <c r="N26" s="50"/>
      <c r="O26" s="50"/>
      <c r="P26" s="52" t="s">
        <v>154</v>
      </c>
      <c r="Q26" s="52"/>
      <c r="R26" s="52"/>
      <c r="S26" s="52"/>
      <c r="T26" s="50" t="s">
        <v>155</v>
      </c>
      <c r="U26" s="50"/>
      <c r="V26" s="50"/>
      <c r="W26" s="50"/>
      <c r="X26" s="50"/>
      <c r="Y26" s="52" t="s">
        <v>156</v>
      </c>
      <c r="Z26" s="52"/>
      <c r="AA26" s="52"/>
      <c r="AB26" s="52"/>
      <c r="AC26" s="52"/>
      <c r="AD26" s="58" t="s">
        <v>157</v>
      </c>
      <c r="AE26" s="58"/>
      <c r="AF26" s="58"/>
      <c r="AG26" s="58"/>
      <c r="AH26" s="58"/>
      <c r="AI26" s="58"/>
      <c r="AJ26" s="58"/>
      <c r="AK26" s="58"/>
      <c r="AL26" s="58"/>
      <c r="AM26" s="58"/>
      <c r="AN26" s="58"/>
      <c r="AO26" s="58"/>
    </row>
    <row r="27" customFormat="false" ht="2.25" hidden="false" customHeight="true" outlineLevel="0" collapsed="false">
      <c r="A27" s="38"/>
      <c r="AO27" s="40"/>
    </row>
    <row r="28" customFormat="false" ht="15" hidden="false" customHeight="true" outlineLevel="0" collapsed="false">
      <c r="A28" s="18" t="s">
        <v>158</v>
      </c>
      <c r="B28" s="18"/>
      <c r="C28" s="18"/>
      <c r="D28" s="18"/>
      <c r="E28" s="18"/>
      <c r="F28" s="50" t="s">
        <v>159</v>
      </c>
      <c r="G28" s="50"/>
      <c r="H28" s="50"/>
      <c r="I28" s="50"/>
      <c r="J28" s="50"/>
      <c r="K28" s="50"/>
      <c r="L28" s="50"/>
      <c r="M28" s="50"/>
      <c r="N28" s="52" t="s">
        <v>160</v>
      </c>
      <c r="O28" s="52"/>
      <c r="P28" s="52"/>
      <c r="Q28" s="52"/>
      <c r="R28" s="52"/>
      <c r="S28" s="50" t="s">
        <v>161</v>
      </c>
      <c r="T28" s="50"/>
      <c r="U28" s="50"/>
      <c r="V28" s="50"/>
      <c r="W28" s="50"/>
      <c r="X28" s="50"/>
      <c r="Y28" s="50"/>
      <c r="Z28" s="50"/>
      <c r="AA28" s="52" t="s">
        <v>162</v>
      </c>
      <c r="AB28" s="52"/>
      <c r="AC28" s="58" t="s">
        <v>163</v>
      </c>
      <c r="AD28" s="58"/>
      <c r="AE28" s="58"/>
      <c r="AF28" s="58"/>
      <c r="AG28" s="58"/>
      <c r="AH28" s="58"/>
      <c r="AI28" s="58"/>
      <c r="AJ28" s="58"/>
      <c r="AK28" s="58"/>
      <c r="AL28" s="58"/>
      <c r="AM28" s="58"/>
      <c r="AN28" s="58"/>
      <c r="AO28" s="58"/>
    </row>
    <row r="29" customFormat="false" ht="2.25" hidden="false" customHeight="true" outlineLevel="0" collapsed="false">
      <c r="A29" s="38"/>
      <c r="AO29" s="40"/>
    </row>
    <row r="30" customFormat="false" ht="15" hidden="false" customHeight="true" outlineLevel="0" collapsed="false">
      <c r="A30" s="59" t="s">
        <v>164</v>
      </c>
      <c r="B30" s="59"/>
      <c r="C30" s="59"/>
      <c r="D30" s="59"/>
      <c r="E30" s="23" t="s">
        <v>8</v>
      </c>
      <c r="F30" s="23"/>
      <c r="G30" s="23"/>
      <c r="H30" s="23"/>
      <c r="I30" s="52" t="s">
        <v>165</v>
      </c>
      <c r="J30" s="52"/>
      <c r="K30" s="52"/>
      <c r="L30" s="50"/>
      <c r="M30" s="50"/>
      <c r="N30" s="50"/>
      <c r="O30" s="50"/>
      <c r="P30" s="50"/>
      <c r="Q30" s="50"/>
      <c r="R30" s="50"/>
      <c r="S30" s="52" t="s">
        <v>166</v>
      </c>
      <c r="T30" s="52"/>
      <c r="U30" s="52"/>
      <c r="V30" s="60"/>
      <c r="W30" s="60"/>
      <c r="X30" s="60"/>
      <c r="Y30" s="60"/>
      <c r="Z30" s="52" t="s">
        <v>167</v>
      </c>
      <c r="AA30" s="52"/>
      <c r="AB30" s="52"/>
      <c r="AC30" s="61"/>
      <c r="AD30" s="61"/>
      <c r="AE30" s="61"/>
      <c r="AF30" s="61"/>
      <c r="AG30" s="52" t="s">
        <v>168</v>
      </c>
      <c r="AH30" s="52"/>
      <c r="AI30" s="52"/>
      <c r="AJ30" s="52"/>
      <c r="AK30" s="58" t="n">
        <v>20</v>
      </c>
      <c r="AL30" s="58"/>
      <c r="AM30" s="58"/>
      <c r="AN30" s="58"/>
      <c r="AO30" s="58"/>
    </row>
    <row r="31" customFormat="false" ht="2.25" hidden="false" customHeight="true" outlineLevel="0" collapsed="false">
      <c r="A31" s="38"/>
      <c r="L31" s="7" t="s">
        <v>169</v>
      </c>
      <c r="AO31" s="40"/>
    </row>
    <row r="32" customFormat="false" ht="13.8" hidden="false" customHeight="false" outlineLevel="0" collapsed="false">
      <c r="A32" s="62" t="s">
        <v>170</v>
      </c>
      <c r="B32" s="62"/>
      <c r="C32" s="62"/>
      <c r="D32" s="62"/>
      <c r="E32" s="62"/>
      <c r="F32" s="63"/>
      <c r="G32" s="63"/>
      <c r="H32" s="63"/>
      <c r="I32" s="63"/>
      <c r="J32" s="64" t="s">
        <v>171</v>
      </c>
      <c r="K32" s="64"/>
      <c r="L32" s="64"/>
      <c r="M32" s="64"/>
      <c r="N32" s="65" t="n">
        <v>969586133</v>
      </c>
      <c r="O32" s="65"/>
      <c r="P32" s="65"/>
      <c r="Q32" s="65"/>
      <c r="R32" s="64" t="s">
        <v>172</v>
      </c>
      <c r="S32" s="64"/>
      <c r="T32" s="64"/>
      <c r="U32" s="64"/>
      <c r="V32" s="64"/>
      <c r="W32" s="64"/>
      <c r="X32" s="66" t="s">
        <v>173</v>
      </c>
      <c r="Y32" s="66"/>
      <c r="Z32" s="66"/>
      <c r="AA32" s="66"/>
      <c r="AB32" s="66"/>
      <c r="AC32" s="66"/>
      <c r="AD32" s="66"/>
      <c r="AE32" s="66"/>
      <c r="AF32" s="66"/>
      <c r="AG32" s="66"/>
      <c r="AH32" s="66"/>
      <c r="AI32" s="66"/>
      <c r="AJ32" s="66"/>
      <c r="AK32" s="66"/>
      <c r="AL32" s="66"/>
      <c r="AM32" s="66"/>
      <c r="AN32" s="66"/>
      <c r="AO32" s="66"/>
    </row>
    <row r="33" customFormat="false" ht="2.25" hidden="false" customHeight="true" outlineLevel="0" collapsed="false">
      <c r="A33" s="38"/>
      <c r="AO33" s="40"/>
    </row>
    <row r="34" customFormat="false" ht="15" hidden="false" customHeight="true" outlineLevel="0" collapsed="false">
      <c r="A34" s="48" t="s">
        <v>174</v>
      </c>
      <c r="B34" s="48"/>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G34" s="48"/>
      <c r="AH34" s="48"/>
      <c r="AI34" s="48"/>
      <c r="AJ34" s="48"/>
      <c r="AK34" s="48"/>
      <c r="AL34" s="48"/>
      <c r="AM34" s="48"/>
      <c r="AN34" s="48"/>
      <c r="AO34" s="48"/>
    </row>
    <row r="35" customFormat="false" ht="4.5" hidden="false" customHeight="true" outlineLevel="0" collapsed="false">
      <c r="A35" s="15"/>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49"/>
    </row>
    <row r="36" customFormat="false" ht="15" hidden="false" customHeight="true" outlineLevel="0" collapsed="false">
      <c r="A36" s="18" t="s">
        <v>132</v>
      </c>
      <c r="B36" s="18"/>
      <c r="C36" s="50" t="n">
        <v>218690</v>
      </c>
      <c r="D36" s="50"/>
      <c r="E36" s="50"/>
      <c r="F36" s="51" t="s">
        <v>133</v>
      </c>
      <c r="G36" s="51"/>
      <c r="H36" s="51"/>
      <c r="I36" s="51"/>
      <c r="J36" s="51"/>
      <c r="K36" s="51"/>
      <c r="L36" s="51"/>
      <c r="M36" s="50" t="s">
        <v>175</v>
      </c>
      <c r="N36" s="50"/>
      <c r="O36" s="50"/>
      <c r="P36" s="50"/>
      <c r="Q36" s="50"/>
      <c r="R36" s="50"/>
      <c r="S36" s="50"/>
      <c r="T36" s="50"/>
      <c r="U36" s="50"/>
      <c r="V36" s="50"/>
      <c r="W36" s="50"/>
      <c r="X36" s="50"/>
      <c r="Y36" s="50"/>
      <c r="Z36" s="50"/>
      <c r="AA36" s="50"/>
      <c r="AB36" s="50"/>
      <c r="AC36" s="50"/>
      <c r="AD36" s="50"/>
      <c r="AE36" s="50"/>
      <c r="AF36" s="51" t="s">
        <v>135</v>
      </c>
      <c r="AG36" s="51"/>
      <c r="AH36" s="51"/>
      <c r="AI36" s="53" t="n">
        <v>1102434592</v>
      </c>
      <c r="AJ36" s="53"/>
      <c r="AK36" s="53"/>
      <c r="AL36" s="53"/>
      <c r="AM36" s="53"/>
      <c r="AN36" s="53"/>
      <c r="AO36" s="53"/>
    </row>
    <row r="37" customFormat="false" ht="2.25" hidden="false" customHeight="true" outlineLevel="0" collapsed="false">
      <c r="A37" s="38"/>
      <c r="AO37" s="40"/>
    </row>
    <row r="38" customFormat="false" ht="15" hidden="false" customHeight="true" outlineLevel="0" collapsed="false">
      <c r="A38" s="18" t="s">
        <v>136</v>
      </c>
      <c r="B38" s="18"/>
      <c r="C38" s="18"/>
      <c r="D38" s="18"/>
      <c r="E38" s="50" t="s">
        <v>137</v>
      </c>
      <c r="F38" s="50"/>
      <c r="G38" s="50"/>
      <c r="H38" s="50"/>
      <c r="I38" s="51" t="s">
        <v>138</v>
      </c>
      <c r="J38" s="51"/>
      <c r="K38" s="51"/>
      <c r="L38" s="51"/>
      <c r="M38" s="51"/>
      <c r="N38" s="51"/>
      <c r="O38" s="51"/>
      <c r="P38" s="51"/>
      <c r="Q38" s="51"/>
      <c r="R38" s="50" t="s">
        <v>176</v>
      </c>
      <c r="S38" s="50"/>
      <c r="T38" s="50"/>
      <c r="U38" s="50"/>
      <c r="V38" s="50"/>
      <c r="W38" s="50"/>
      <c r="X38" s="50"/>
      <c r="Y38" s="50"/>
      <c r="Z38" s="51" t="s">
        <v>141</v>
      </c>
      <c r="AA38" s="51"/>
      <c r="AB38" s="50" t="n">
        <v>60</v>
      </c>
      <c r="AC38" s="50"/>
      <c r="AD38" s="51" t="s">
        <v>145</v>
      </c>
      <c r="AE38" s="51"/>
      <c r="AF38" s="58" t="s">
        <v>28</v>
      </c>
      <c r="AG38" s="58"/>
      <c r="AH38" s="58"/>
      <c r="AI38" s="58"/>
      <c r="AJ38" s="58"/>
      <c r="AK38" s="58"/>
      <c r="AL38" s="58"/>
      <c r="AM38" s="58"/>
      <c r="AN38" s="58"/>
      <c r="AO38" s="58"/>
    </row>
    <row r="39" customFormat="false" ht="2.25" hidden="false" customHeight="true" outlineLevel="0" collapsed="false">
      <c r="A39" s="38"/>
      <c r="AO39" s="40"/>
    </row>
    <row r="40" customFormat="false" ht="15" hidden="false" customHeight="true" outlineLevel="0" collapsed="false">
      <c r="A40" s="62" t="s">
        <v>143</v>
      </c>
      <c r="B40" s="62"/>
      <c r="C40" s="62"/>
      <c r="D40" s="67" t="s">
        <v>177</v>
      </c>
      <c r="E40" s="46"/>
      <c r="F40" s="68" t="s">
        <v>167</v>
      </c>
      <c r="G40" s="68"/>
      <c r="H40" s="68"/>
      <c r="I40" s="68"/>
      <c r="J40" s="68"/>
      <c r="K40" s="68"/>
      <c r="L40" s="65" t="n">
        <v>997404916</v>
      </c>
      <c r="M40" s="65"/>
      <c r="N40" s="65"/>
      <c r="O40" s="65"/>
      <c r="P40" s="46"/>
      <c r="Q40" s="46"/>
      <c r="R40" s="68" t="s">
        <v>172</v>
      </c>
      <c r="S40" s="68"/>
      <c r="T40" s="68"/>
      <c r="U40" s="68"/>
      <c r="V40" s="68"/>
      <c r="W40" s="68"/>
      <c r="X40" s="66" t="s">
        <v>178</v>
      </c>
      <c r="Y40" s="66"/>
      <c r="Z40" s="66"/>
      <c r="AA40" s="66"/>
      <c r="AB40" s="66"/>
      <c r="AC40" s="66"/>
      <c r="AD40" s="66"/>
      <c r="AE40" s="66"/>
      <c r="AF40" s="66"/>
      <c r="AG40" s="66"/>
      <c r="AH40" s="66"/>
      <c r="AI40" s="66"/>
      <c r="AJ40" s="66"/>
      <c r="AK40" s="66"/>
      <c r="AL40" s="66"/>
      <c r="AM40" s="66"/>
      <c r="AN40" s="66"/>
      <c r="AO40" s="66"/>
    </row>
    <row r="41" customFormat="false" ht="3.75" hidden="false" customHeight="true" outlineLevel="0" collapsed="false">
      <c r="A41" s="38"/>
      <c r="AO41" s="40"/>
    </row>
    <row r="42" customFormat="false" ht="15" hidden="false" customHeight="true" outlineLevel="0" collapsed="false">
      <c r="A42" s="48" t="s">
        <v>179</v>
      </c>
      <c r="B42" s="48"/>
      <c r="C42" s="48"/>
      <c r="D42" s="48"/>
      <c r="E42" s="48"/>
      <c r="F42" s="48"/>
      <c r="G42" s="48"/>
      <c r="H42" s="48"/>
      <c r="I42" s="48"/>
      <c r="J42" s="48"/>
      <c r="K42" s="48"/>
      <c r="L42" s="48"/>
      <c r="M42" s="48"/>
      <c r="N42" s="48"/>
      <c r="O42" s="48"/>
      <c r="P42" s="48"/>
      <c r="Q42" s="48"/>
      <c r="R42" s="48"/>
      <c r="S42" s="48"/>
      <c r="T42" s="48"/>
      <c r="U42" s="48"/>
      <c r="V42" s="48"/>
      <c r="W42" s="48"/>
      <c r="X42" s="48"/>
      <c r="Y42" s="48"/>
      <c r="Z42" s="48"/>
      <c r="AA42" s="48"/>
      <c r="AB42" s="48"/>
      <c r="AC42" s="48"/>
      <c r="AD42" s="48"/>
      <c r="AE42" s="48"/>
      <c r="AF42" s="48"/>
      <c r="AG42" s="48"/>
      <c r="AH42" s="48"/>
      <c r="AI42" s="48"/>
      <c r="AJ42" s="48"/>
      <c r="AK42" s="48"/>
      <c r="AL42" s="48"/>
      <c r="AM42" s="48"/>
      <c r="AN42" s="48"/>
      <c r="AO42" s="48"/>
    </row>
    <row r="43" customFormat="false" ht="2.25" hidden="false" customHeight="true" outlineLevel="0" collapsed="false">
      <c r="A43" s="38"/>
      <c r="AO43" s="40"/>
    </row>
    <row r="44" customFormat="false" ht="15" hidden="false" customHeight="true" outlineLevel="0" collapsed="false">
      <c r="A44" s="38"/>
      <c r="B44" s="52" t="s">
        <v>111</v>
      </c>
      <c r="C44" s="52"/>
      <c r="D44" s="52"/>
      <c r="E44" s="52"/>
      <c r="F44" s="52"/>
      <c r="G44" s="52"/>
      <c r="H44" s="52"/>
      <c r="I44" s="20"/>
      <c r="K44" s="23" t="s">
        <v>44</v>
      </c>
      <c r="L44" s="23"/>
      <c r="M44" s="23"/>
      <c r="N44" s="23"/>
      <c r="O44" s="23"/>
      <c r="P44" s="23"/>
      <c r="Q44" s="23"/>
      <c r="R44" s="23"/>
      <c r="T44" s="52" t="s">
        <v>180</v>
      </c>
      <c r="U44" s="52"/>
      <c r="V44" s="52"/>
      <c r="W44" s="52"/>
      <c r="X44" s="26"/>
      <c r="Y44" s="23" t="s">
        <v>49</v>
      </c>
      <c r="Z44" s="23"/>
      <c r="AA44" s="23"/>
      <c r="AB44" s="23"/>
      <c r="AC44" s="23"/>
      <c r="AD44" s="23"/>
      <c r="AE44" s="23"/>
      <c r="AF44" s="23"/>
      <c r="AO44" s="40"/>
    </row>
    <row r="45" customFormat="false" ht="2.25" hidden="false" customHeight="true" outlineLevel="0" collapsed="false">
      <c r="A45" s="69"/>
      <c r="B45" s="70"/>
      <c r="C45" s="70"/>
      <c r="D45" s="70"/>
      <c r="E45" s="70"/>
      <c r="F45" s="70"/>
      <c r="G45" s="70"/>
      <c r="H45" s="70"/>
      <c r="I45" s="70"/>
      <c r="J45" s="70"/>
      <c r="K45" s="70"/>
      <c r="L45" s="70"/>
      <c r="M45" s="70"/>
      <c r="N45" s="70"/>
      <c r="O45" s="70"/>
      <c r="P45" s="70"/>
      <c r="Q45" s="70"/>
      <c r="R45" s="70"/>
      <c r="S45" s="70"/>
      <c r="T45" s="70"/>
      <c r="U45" s="70"/>
      <c r="V45" s="70"/>
      <c r="W45" s="70"/>
      <c r="X45" s="70"/>
      <c r="Y45" s="70"/>
      <c r="Z45" s="70"/>
      <c r="AA45" s="70"/>
      <c r="AB45" s="70"/>
      <c r="AC45" s="70"/>
      <c r="AD45" s="70"/>
      <c r="AE45" s="70"/>
      <c r="AF45" s="70"/>
      <c r="AG45" s="70"/>
      <c r="AH45" s="70"/>
      <c r="AI45" s="70"/>
      <c r="AJ45" s="70"/>
      <c r="AK45" s="70"/>
      <c r="AL45" s="70"/>
      <c r="AM45" s="70"/>
      <c r="AN45" s="70"/>
      <c r="AO45" s="71"/>
    </row>
    <row r="46" customFormat="false" ht="9.75" hidden="false" customHeight="true" outlineLevel="0" collapsed="false">
      <c r="A46" s="72" t="s">
        <v>181</v>
      </c>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72"/>
      <c r="AB46" s="72"/>
      <c r="AC46" s="72"/>
      <c r="AD46" s="72"/>
      <c r="AE46" s="72"/>
      <c r="AF46" s="72"/>
      <c r="AG46" s="72"/>
      <c r="AH46" s="72"/>
      <c r="AI46" s="72"/>
      <c r="AJ46" s="72"/>
      <c r="AK46" s="72"/>
      <c r="AL46" s="72"/>
      <c r="AM46" s="72"/>
      <c r="AN46" s="72"/>
      <c r="AO46" s="72"/>
    </row>
    <row r="47" customFormat="false" ht="2.25" hidden="false" customHeight="true" outlineLevel="0" collapsed="false">
      <c r="A47" s="73"/>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74"/>
      <c r="AB47" s="74"/>
      <c r="AC47" s="74"/>
      <c r="AD47" s="74"/>
      <c r="AE47" s="74"/>
      <c r="AF47" s="74"/>
      <c r="AG47" s="74"/>
      <c r="AH47" s="74"/>
      <c r="AI47" s="74"/>
      <c r="AJ47" s="74"/>
      <c r="AK47" s="74"/>
      <c r="AL47" s="74"/>
      <c r="AM47" s="74"/>
      <c r="AN47" s="74"/>
      <c r="AO47" s="75"/>
    </row>
    <row r="48" customFormat="false" ht="15" hidden="false" customHeight="true" outlineLevel="0" collapsed="false">
      <c r="A48" s="76"/>
      <c r="B48" s="76"/>
      <c r="C48" s="76"/>
      <c r="D48" s="76"/>
      <c r="E48" s="76"/>
      <c r="F48" s="76"/>
      <c r="G48" s="76"/>
      <c r="H48" s="76"/>
      <c r="I48" s="77" t="s">
        <v>111</v>
      </c>
      <c r="J48" s="77"/>
      <c r="K48" s="77"/>
      <c r="L48" s="77"/>
      <c r="M48" s="77"/>
      <c r="N48" s="77"/>
      <c r="O48" s="77"/>
      <c r="P48" s="77"/>
      <c r="Q48" s="77"/>
      <c r="R48" s="77"/>
      <c r="S48" s="77"/>
      <c r="T48" s="77"/>
      <c r="U48" s="77"/>
      <c r="V48" s="77"/>
      <c r="W48" s="77"/>
      <c r="X48" s="78" t="s">
        <v>180</v>
      </c>
      <c r="Y48" s="78"/>
      <c r="Z48" s="78"/>
      <c r="AA48" s="78"/>
      <c r="AB48" s="78"/>
      <c r="AC48" s="78"/>
      <c r="AD48" s="78"/>
      <c r="AE48" s="78"/>
      <c r="AF48" s="78"/>
      <c r="AG48" s="78"/>
      <c r="AH48" s="78"/>
      <c r="AI48" s="78"/>
      <c r="AJ48" s="78"/>
      <c r="AK48" s="78"/>
      <c r="AL48" s="78"/>
      <c r="AM48" s="78"/>
      <c r="AN48" s="78"/>
      <c r="AO48" s="78"/>
    </row>
    <row r="49" customFormat="false" ht="12" hidden="false" customHeight="true" outlineLevel="0" collapsed="false">
      <c r="A49" s="79" t="s">
        <v>182</v>
      </c>
      <c r="B49" s="79"/>
      <c r="C49" s="79"/>
      <c r="D49" s="79"/>
      <c r="E49" s="79"/>
      <c r="F49" s="79"/>
      <c r="G49" s="79"/>
      <c r="H49" s="79"/>
      <c r="I49" s="80"/>
      <c r="J49" s="80"/>
      <c r="K49" s="80"/>
      <c r="L49" s="80"/>
      <c r="M49" s="80"/>
      <c r="N49" s="80"/>
      <c r="O49" s="80"/>
      <c r="P49" s="80"/>
      <c r="Q49" s="80"/>
      <c r="R49" s="80"/>
      <c r="S49" s="80"/>
      <c r="T49" s="80"/>
      <c r="U49" s="80"/>
      <c r="V49" s="80"/>
      <c r="W49" s="80"/>
      <c r="X49" s="81" t="s">
        <v>183</v>
      </c>
      <c r="Y49" s="81"/>
      <c r="Z49" s="81"/>
      <c r="AA49" s="81"/>
      <c r="AB49" s="81"/>
      <c r="AC49" s="81"/>
      <c r="AD49" s="81"/>
      <c r="AE49" s="81"/>
      <c r="AF49" s="81"/>
      <c r="AG49" s="81"/>
      <c r="AH49" s="81"/>
      <c r="AI49" s="81"/>
      <c r="AJ49" s="81"/>
      <c r="AK49" s="81"/>
      <c r="AL49" s="81"/>
      <c r="AM49" s="81"/>
      <c r="AN49" s="81"/>
      <c r="AO49" s="81"/>
    </row>
    <row r="50" customFormat="false" ht="12" hidden="false" customHeight="true" outlineLevel="0" collapsed="false">
      <c r="A50" s="79" t="s">
        <v>184</v>
      </c>
      <c r="B50" s="79"/>
      <c r="C50" s="79"/>
      <c r="D50" s="79"/>
      <c r="E50" s="79"/>
      <c r="F50" s="79"/>
      <c r="G50" s="79"/>
      <c r="H50" s="79"/>
      <c r="I50" s="80"/>
      <c r="J50" s="80"/>
      <c r="K50" s="80"/>
      <c r="L50" s="80"/>
      <c r="M50" s="80"/>
      <c r="N50" s="80"/>
      <c r="O50" s="80"/>
      <c r="P50" s="80"/>
      <c r="Q50" s="80"/>
      <c r="R50" s="80"/>
      <c r="S50" s="80"/>
      <c r="T50" s="80"/>
      <c r="U50" s="80"/>
      <c r="V50" s="80"/>
      <c r="W50" s="80"/>
      <c r="X50" s="81" t="s">
        <v>185</v>
      </c>
      <c r="Y50" s="81"/>
      <c r="Z50" s="81"/>
      <c r="AA50" s="81"/>
      <c r="AB50" s="81"/>
      <c r="AC50" s="81"/>
      <c r="AD50" s="81"/>
      <c r="AE50" s="81"/>
      <c r="AF50" s="81"/>
      <c r="AG50" s="81"/>
      <c r="AH50" s="81"/>
      <c r="AI50" s="81"/>
      <c r="AJ50" s="81"/>
      <c r="AK50" s="81"/>
      <c r="AL50" s="81"/>
      <c r="AM50" s="81"/>
      <c r="AN50" s="81"/>
      <c r="AO50" s="81"/>
    </row>
    <row r="51" customFormat="false" ht="12" hidden="false" customHeight="true" outlineLevel="0" collapsed="false">
      <c r="A51" s="79" t="s">
        <v>186</v>
      </c>
      <c r="B51" s="79"/>
      <c r="C51" s="79"/>
      <c r="D51" s="79"/>
      <c r="E51" s="79"/>
      <c r="F51" s="79"/>
      <c r="G51" s="79"/>
      <c r="H51" s="79"/>
      <c r="I51" s="80"/>
      <c r="J51" s="80"/>
      <c r="K51" s="80"/>
      <c r="L51" s="80"/>
      <c r="M51" s="80"/>
      <c r="N51" s="80"/>
      <c r="O51" s="80"/>
      <c r="P51" s="80"/>
      <c r="Q51" s="80"/>
      <c r="R51" s="80"/>
      <c r="S51" s="80"/>
      <c r="T51" s="80"/>
      <c r="U51" s="80"/>
      <c r="V51" s="80"/>
      <c r="W51" s="80"/>
      <c r="X51" s="81" t="s">
        <v>187</v>
      </c>
      <c r="Y51" s="81"/>
      <c r="Z51" s="81"/>
      <c r="AA51" s="81"/>
      <c r="AB51" s="81"/>
      <c r="AC51" s="81"/>
      <c r="AD51" s="81"/>
      <c r="AE51" s="81"/>
      <c r="AF51" s="81"/>
      <c r="AG51" s="81"/>
      <c r="AH51" s="81"/>
      <c r="AI51" s="81"/>
      <c r="AJ51" s="81"/>
      <c r="AK51" s="81"/>
      <c r="AL51" s="81"/>
      <c r="AM51" s="81"/>
      <c r="AN51" s="81"/>
      <c r="AO51" s="81"/>
    </row>
    <row r="52" customFormat="false" ht="12" hidden="false" customHeight="true" outlineLevel="0" collapsed="false">
      <c r="A52" s="79" t="s">
        <v>188</v>
      </c>
      <c r="B52" s="79"/>
      <c r="C52" s="79"/>
      <c r="D52" s="79"/>
      <c r="E52" s="79"/>
      <c r="F52" s="79"/>
      <c r="G52" s="79"/>
      <c r="H52" s="79"/>
      <c r="I52" s="82"/>
      <c r="J52" s="82"/>
      <c r="K52" s="82"/>
      <c r="L52" s="82"/>
      <c r="M52" s="82"/>
      <c r="N52" s="82"/>
      <c r="O52" s="82"/>
      <c r="P52" s="82"/>
      <c r="Q52" s="82"/>
      <c r="R52" s="82"/>
      <c r="S52" s="82"/>
      <c r="T52" s="82"/>
      <c r="U52" s="82"/>
      <c r="V52" s="82"/>
      <c r="W52" s="82"/>
      <c r="X52" s="81" t="s">
        <v>189</v>
      </c>
      <c r="Y52" s="81"/>
      <c r="Z52" s="81"/>
      <c r="AA52" s="81"/>
      <c r="AB52" s="81"/>
      <c r="AC52" s="81"/>
      <c r="AD52" s="81"/>
      <c r="AE52" s="81"/>
      <c r="AF52" s="81"/>
      <c r="AG52" s="81"/>
      <c r="AH52" s="81"/>
      <c r="AI52" s="81"/>
      <c r="AJ52" s="81"/>
      <c r="AK52" s="81"/>
      <c r="AL52" s="81"/>
      <c r="AM52" s="81"/>
      <c r="AN52" s="81"/>
      <c r="AO52" s="81"/>
    </row>
    <row r="53" customFormat="false" ht="12" hidden="false" customHeight="true" outlineLevel="0" collapsed="false">
      <c r="A53" s="79" t="s">
        <v>190</v>
      </c>
      <c r="B53" s="79"/>
      <c r="C53" s="79"/>
      <c r="D53" s="79"/>
      <c r="E53" s="79"/>
      <c r="F53" s="79"/>
      <c r="G53" s="79"/>
      <c r="H53" s="79"/>
      <c r="I53" s="80"/>
      <c r="J53" s="80"/>
      <c r="K53" s="80"/>
      <c r="L53" s="80"/>
      <c r="M53" s="80"/>
      <c r="N53" s="80"/>
      <c r="O53" s="80"/>
      <c r="P53" s="80"/>
      <c r="Q53" s="80"/>
      <c r="R53" s="80"/>
      <c r="S53" s="80"/>
      <c r="T53" s="80"/>
      <c r="U53" s="80"/>
      <c r="V53" s="80"/>
      <c r="W53" s="80"/>
      <c r="X53" s="81" t="s">
        <v>191</v>
      </c>
      <c r="Y53" s="81"/>
      <c r="Z53" s="81"/>
      <c r="AA53" s="81"/>
      <c r="AB53" s="81"/>
      <c r="AC53" s="81"/>
      <c r="AD53" s="81"/>
      <c r="AE53" s="81"/>
      <c r="AF53" s="81"/>
      <c r="AG53" s="81"/>
      <c r="AH53" s="81"/>
      <c r="AI53" s="81"/>
      <c r="AJ53" s="81"/>
      <c r="AK53" s="81"/>
      <c r="AL53" s="81"/>
      <c r="AM53" s="81"/>
      <c r="AN53" s="81"/>
      <c r="AO53" s="81"/>
    </row>
    <row r="54" customFormat="false" ht="12" hidden="false" customHeight="true" outlineLevel="0" collapsed="false">
      <c r="A54" s="79" t="s">
        <v>192</v>
      </c>
      <c r="B54" s="79"/>
      <c r="C54" s="79"/>
      <c r="D54" s="79"/>
      <c r="E54" s="79"/>
      <c r="F54" s="79"/>
      <c r="G54" s="79"/>
      <c r="H54" s="79"/>
      <c r="I54" s="80"/>
      <c r="J54" s="80"/>
      <c r="K54" s="80"/>
      <c r="L54" s="80"/>
      <c r="M54" s="80"/>
      <c r="N54" s="80"/>
      <c r="O54" s="80"/>
      <c r="P54" s="80"/>
      <c r="Q54" s="80"/>
      <c r="R54" s="80"/>
      <c r="S54" s="80"/>
      <c r="T54" s="80"/>
      <c r="U54" s="80"/>
      <c r="V54" s="80"/>
      <c r="W54" s="80"/>
      <c r="X54" s="83" t="s">
        <v>193</v>
      </c>
      <c r="Y54" s="83"/>
      <c r="Z54" s="83"/>
      <c r="AA54" s="83"/>
      <c r="AB54" s="83"/>
      <c r="AC54" s="83"/>
      <c r="AD54" s="83"/>
      <c r="AE54" s="83"/>
      <c r="AF54" s="83"/>
      <c r="AG54" s="83"/>
      <c r="AH54" s="83"/>
      <c r="AI54" s="83"/>
      <c r="AJ54" s="83"/>
      <c r="AK54" s="83"/>
      <c r="AL54" s="83"/>
      <c r="AM54" s="83"/>
      <c r="AN54" s="83"/>
      <c r="AO54" s="83"/>
    </row>
    <row r="55" customFormat="false" ht="12" hidden="false" customHeight="true" outlineLevel="0" collapsed="false">
      <c r="A55" s="79" t="s">
        <v>194</v>
      </c>
      <c r="B55" s="79"/>
      <c r="C55" s="79"/>
      <c r="D55" s="79"/>
      <c r="E55" s="79"/>
      <c r="F55" s="79"/>
      <c r="G55" s="79"/>
      <c r="H55" s="79"/>
      <c r="I55" s="80"/>
      <c r="J55" s="80"/>
      <c r="K55" s="80"/>
      <c r="L55" s="80"/>
      <c r="M55" s="80"/>
      <c r="N55" s="80"/>
      <c r="O55" s="80"/>
      <c r="P55" s="80"/>
      <c r="Q55" s="80"/>
      <c r="R55" s="80"/>
      <c r="S55" s="80"/>
      <c r="T55" s="80"/>
      <c r="U55" s="80"/>
      <c r="V55" s="80"/>
      <c r="W55" s="80"/>
      <c r="X55" s="81" t="s">
        <v>195</v>
      </c>
      <c r="Y55" s="81"/>
      <c r="Z55" s="81"/>
      <c r="AA55" s="81"/>
      <c r="AB55" s="81"/>
      <c r="AC55" s="81"/>
      <c r="AD55" s="81"/>
      <c r="AE55" s="81"/>
      <c r="AF55" s="81"/>
      <c r="AG55" s="81"/>
      <c r="AH55" s="81"/>
      <c r="AI55" s="81"/>
      <c r="AJ55" s="81"/>
      <c r="AK55" s="81"/>
      <c r="AL55" s="81"/>
      <c r="AM55" s="81"/>
      <c r="AN55" s="81"/>
      <c r="AO55" s="81"/>
    </row>
    <row r="56" customFormat="false" ht="3" hidden="false" customHeight="true" outlineLevel="0" collapsed="false">
      <c r="A56" s="30"/>
      <c r="B56" s="84"/>
      <c r="C56" s="84"/>
      <c r="D56" s="84"/>
      <c r="E56" s="84"/>
      <c r="F56" s="84"/>
      <c r="G56" s="84"/>
      <c r="H56" s="84"/>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85"/>
      <c r="AI56" s="85"/>
      <c r="AJ56" s="85"/>
      <c r="AK56" s="85"/>
      <c r="AL56" s="85"/>
      <c r="AM56" s="85"/>
      <c r="AN56" s="85"/>
      <c r="AO56" s="86"/>
    </row>
    <row r="57" customFormat="false" ht="15" hidden="false" customHeight="true" outlineLevel="0" collapsed="false">
      <c r="A57" s="79" t="s">
        <v>196</v>
      </c>
      <c r="B57" s="79"/>
      <c r="C57" s="79"/>
      <c r="D57" s="79"/>
      <c r="E57" s="79"/>
      <c r="F57" s="79"/>
      <c r="G57" s="79"/>
      <c r="H57" s="79"/>
      <c r="I57" s="20" t="s">
        <v>197</v>
      </c>
      <c r="J57" s="87"/>
      <c r="K57" s="87"/>
      <c r="N57" s="20" t="s">
        <v>198</v>
      </c>
      <c r="O57" s="50"/>
      <c r="P57" s="50"/>
      <c r="Z57" s="20" t="s">
        <v>197</v>
      </c>
      <c r="AA57" s="19" t="s">
        <v>199</v>
      </c>
      <c r="AB57" s="19"/>
      <c r="AD57" s="52" t="s">
        <v>198</v>
      </c>
      <c r="AE57" s="52"/>
      <c r="AF57" s="50"/>
      <c r="AG57" s="50"/>
      <c r="AO57" s="40"/>
    </row>
    <row r="58" customFormat="false" ht="2.25" hidden="false" customHeight="true" outlineLevel="0" collapsed="false">
      <c r="A58" s="45"/>
      <c r="B58" s="46"/>
      <c r="C58" s="46"/>
      <c r="D58" s="46"/>
      <c r="E58" s="46"/>
      <c r="F58" s="46"/>
      <c r="G58" s="46"/>
      <c r="H58" s="46"/>
      <c r="I58" s="46"/>
      <c r="J58" s="46"/>
      <c r="K58" s="46"/>
      <c r="L58" s="46"/>
      <c r="M58" s="46"/>
      <c r="N58" s="46"/>
      <c r="O58" s="46"/>
      <c r="P58" s="46"/>
      <c r="Q58" s="46"/>
      <c r="R58" s="46"/>
      <c r="S58" s="46"/>
      <c r="T58" s="46"/>
      <c r="U58" s="46"/>
      <c r="V58" s="46"/>
      <c r="W58" s="46"/>
      <c r="X58" s="46"/>
      <c r="Y58" s="46"/>
      <c r="Z58" s="46"/>
      <c r="AA58" s="46"/>
      <c r="AB58" s="46"/>
      <c r="AC58" s="46"/>
      <c r="AD58" s="46"/>
      <c r="AE58" s="46"/>
      <c r="AF58" s="46"/>
      <c r="AG58" s="46"/>
      <c r="AH58" s="46"/>
      <c r="AI58" s="46"/>
      <c r="AJ58" s="46"/>
      <c r="AK58" s="46"/>
      <c r="AL58" s="46"/>
      <c r="AM58" s="46"/>
      <c r="AN58" s="46"/>
      <c r="AO58" s="47"/>
    </row>
    <row r="59" customFormat="false" ht="15" hidden="false" customHeight="true" outlineLevel="0" collapsed="false">
      <c r="A59" s="48" t="s">
        <v>200</v>
      </c>
      <c r="B59" s="48"/>
      <c r="C59" s="48"/>
      <c r="D59" s="48"/>
      <c r="E59" s="48"/>
      <c r="F59" s="48"/>
      <c r="G59" s="48"/>
      <c r="H59" s="48"/>
      <c r="I59" s="48"/>
      <c r="J59" s="48"/>
      <c r="K59" s="48"/>
      <c r="L59" s="48"/>
      <c r="M59" s="48"/>
      <c r="N59" s="48"/>
      <c r="O59" s="48"/>
      <c r="P59" s="48"/>
      <c r="Q59" s="48"/>
      <c r="R59" s="48"/>
      <c r="S59" s="48"/>
      <c r="T59" s="48"/>
      <c r="U59" s="48"/>
      <c r="V59" s="48"/>
      <c r="W59" s="48"/>
      <c r="X59" s="48"/>
      <c r="Y59" s="48"/>
      <c r="Z59" s="48"/>
      <c r="AA59" s="48"/>
      <c r="AB59" s="48"/>
      <c r="AC59" s="48"/>
      <c r="AD59" s="48"/>
      <c r="AE59" s="48"/>
      <c r="AF59" s="48"/>
      <c r="AG59" s="48"/>
      <c r="AH59" s="48"/>
      <c r="AI59" s="48"/>
      <c r="AJ59" s="48"/>
      <c r="AK59" s="48"/>
      <c r="AL59" s="48"/>
      <c r="AM59" s="48"/>
      <c r="AN59" s="48"/>
      <c r="AO59" s="48"/>
    </row>
    <row r="60" customFormat="false" ht="15" hidden="false" customHeight="true" outlineLevel="0" collapsed="false">
      <c r="A60" s="88" t="s">
        <v>201</v>
      </c>
      <c r="B60" s="88"/>
      <c r="C60" s="88"/>
      <c r="D60" s="88"/>
      <c r="E60" s="88"/>
      <c r="F60" s="88"/>
      <c r="G60" s="88"/>
      <c r="H60" s="88"/>
      <c r="I60" s="88"/>
      <c r="J60" s="89" t="s">
        <v>202</v>
      </c>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row>
    <row r="61" customFormat="false" ht="2.25" hidden="false" customHeight="true" outlineLevel="0" collapsed="false">
      <c r="A61" s="38"/>
      <c r="AO61" s="40"/>
    </row>
    <row r="62" customFormat="false" ht="15" hidden="false" customHeight="true" outlineLevel="0" collapsed="false">
      <c r="A62" s="18" t="s">
        <v>203</v>
      </c>
      <c r="B62" s="18"/>
      <c r="C62" s="18"/>
      <c r="D62" s="18"/>
      <c r="E62" s="18"/>
      <c r="F62" s="18"/>
      <c r="G62" s="18"/>
      <c r="H62" s="50" t="s">
        <v>204</v>
      </c>
      <c r="I62" s="50"/>
      <c r="J62" s="50"/>
      <c r="K62" s="50"/>
      <c r="L62" s="50"/>
      <c r="M62" s="50"/>
      <c r="N62" s="50"/>
      <c r="O62" s="50"/>
      <c r="P62" s="50"/>
      <c r="Q62" s="50"/>
      <c r="R62" s="50"/>
      <c r="S62" s="50"/>
      <c r="T62" s="50"/>
      <c r="V62" s="52" t="s">
        <v>205</v>
      </c>
      <c r="W62" s="52"/>
      <c r="X62" s="52"/>
      <c r="Y62" s="52"/>
      <c r="Z62" s="52"/>
      <c r="AA62" s="52"/>
      <c r="AB62" s="50" t="n">
        <v>10</v>
      </c>
      <c r="AC62" s="50"/>
      <c r="AE62" s="52" t="s">
        <v>206</v>
      </c>
      <c r="AF62" s="52"/>
      <c r="AG62" s="52"/>
      <c r="AH62" s="52"/>
      <c r="AI62" s="52"/>
      <c r="AJ62" s="52"/>
      <c r="AK62" s="50" t="n">
        <v>0</v>
      </c>
      <c r="AL62" s="50"/>
      <c r="AM62" s="90"/>
      <c r="AN62" s="90"/>
      <c r="AO62" s="91"/>
    </row>
    <row r="63" customFormat="false" ht="2.25" hidden="false" customHeight="true" outlineLevel="0" collapsed="false">
      <c r="A63" s="38"/>
      <c r="AN63" s="39"/>
      <c r="AO63" s="92"/>
    </row>
    <row r="64" customFormat="false" ht="15" hidden="false" customHeight="true" outlineLevel="0" collapsed="false">
      <c r="A64" s="18" t="s">
        <v>207</v>
      </c>
      <c r="B64" s="18"/>
      <c r="C64" s="18"/>
      <c r="D64" s="18"/>
      <c r="E64" s="18"/>
      <c r="F64" s="18"/>
      <c r="G64" s="18"/>
      <c r="H64" s="50" t="s">
        <v>208</v>
      </c>
      <c r="I64" s="50"/>
      <c r="J64" s="50"/>
      <c r="K64" s="50"/>
      <c r="L64" s="50"/>
      <c r="M64" s="50"/>
      <c r="N64" s="50"/>
      <c r="O64" s="50"/>
      <c r="P64" s="50"/>
      <c r="Q64" s="50"/>
      <c r="R64" s="50"/>
      <c r="S64" s="50"/>
      <c r="T64" s="52" t="s">
        <v>209</v>
      </c>
      <c r="U64" s="52"/>
      <c r="V64" s="52"/>
      <c r="W64" s="52"/>
      <c r="X64" s="52"/>
      <c r="Y64" s="23" t="s">
        <v>27</v>
      </c>
      <c r="Z64" s="23"/>
      <c r="AA64" s="23"/>
      <c r="AB64" s="23"/>
      <c r="AC64" s="52" t="s">
        <v>210</v>
      </c>
      <c r="AD64" s="52"/>
      <c r="AE64" s="52"/>
      <c r="AF64" s="52"/>
      <c r="AG64" s="52"/>
      <c r="AH64" s="43" t="s">
        <v>45</v>
      </c>
      <c r="AI64" s="43"/>
      <c r="AJ64" s="43"/>
      <c r="AK64" s="43"/>
      <c r="AL64" s="43"/>
      <c r="AM64" s="43"/>
      <c r="AN64" s="43"/>
      <c r="AO64" s="43"/>
    </row>
    <row r="65" customFormat="false" ht="2.25" hidden="false" customHeight="true" outlineLevel="0" collapsed="false">
      <c r="A65" s="38"/>
      <c r="AO65" s="40"/>
    </row>
    <row r="66" customFormat="false" ht="15" hidden="false" customHeight="true" outlineLevel="0" collapsed="false">
      <c r="A66" s="18" t="s">
        <v>151</v>
      </c>
      <c r="B66" s="18"/>
      <c r="C66" s="18"/>
      <c r="D66" s="50" t="s">
        <v>152</v>
      </c>
      <c r="E66" s="50"/>
      <c r="F66" s="50"/>
      <c r="G66" s="50"/>
      <c r="H66" s="50"/>
      <c r="I66" s="52" t="s">
        <v>153</v>
      </c>
      <c r="J66" s="52"/>
      <c r="K66" s="52"/>
      <c r="L66" s="50" t="s">
        <v>74</v>
      </c>
      <c r="M66" s="50"/>
      <c r="N66" s="50"/>
      <c r="O66" s="50"/>
      <c r="P66" s="50"/>
      <c r="Q66" s="52" t="s">
        <v>154</v>
      </c>
      <c r="R66" s="52"/>
      <c r="S66" s="52"/>
      <c r="T66" s="50" t="s">
        <v>155</v>
      </c>
      <c r="U66" s="50"/>
      <c r="V66" s="50"/>
      <c r="W66" s="50"/>
      <c r="X66" s="50"/>
      <c r="Y66" s="52" t="s">
        <v>156</v>
      </c>
      <c r="Z66" s="52"/>
      <c r="AA66" s="52"/>
      <c r="AB66" s="52"/>
      <c r="AC66" s="52"/>
      <c r="AD66" s="58" t="s">
        <v>211</v>
      </c>
      <c r="AE66" s="58"/>
      <c r="AF66" s="58"/>
      <c r="AG66" s="58"/>
      <c r="AH66" s="58"/>
      <c r="AI66" s="58"/>
      <c r="AJ66" s="58"/>
      <c r="AK66" s="58"/>
      <c r="AL66" s="58"/>
      <c r="AM66" s="58"/>
      <c r="AN66" s="58"/>
      <c r="AO66" s="58"/>
    </row>
    <row r="67" customFormat="false" ht="2.25" hidden="false" customHeight="true" outlineLevel="0" collapsed="false">
      <c r="A67" s="38"/>
      <c r="AO67" s="40"/>
    </row>
    <row r="68" customFormat="false" ht="15" hidden="false" customHeight="true" outlineLevel="0" collapsed="false">
      <c r="A68" s="62" t="s">
        <v>212</v>
      </c>
      <c r="B68" s="62"/>
      <c r="C68" s="62"/>
      <c r="D68" s="62"/>
      <c r="E68" s="62"/>
      <c r="F68" s="93" t="s">
        <v>213</v>
      </c>
      <c r="G68" s="93"/>
      <c r="H68" s="93"/>
      <c r="I68" s="93"/>
      <c r="J68" s="93"/>
      <c r="K68" s="93"/>
      <c r="L68" s="93"/>
      <c r="M68" s="93"/>
      <c r="N68" s="94" t="s">
        <v>214</v>
      </c>
      <c r="O68" s="94"/>
      <c r="P68" s="94"/>
      <c r="Q68" s="94"/>
      <c r="R68" s="94"/>
      <c r="S68" s="93" t="s">
        <v>215</v>
      </c>
      <c r="T68" s="93"/>
      <c r="U68" s="93"/>
      <c r="V68" s="93"/>
      <c r="W68" s="93"/>
      <c r="X68" s="93"/>
      <c r="Y68" s="93"/>
      <c r="Z68" s="93"/>
      <c r="AA68" s="94" t="s">
        <v>162</v>
      </c>
      <c r="AB68" s="94"/>
      <c r="AC68" s="66" t="s">
        <v>216</v>
      </c>
      <c r="AD68" s="66"/>
      <c r="AE68" s="66"/>
      <c r="AF68" s="66"/>
      <c r="AG68" s="66"/>
      <c r="AH68" s="66"/>
      <c r="AI68" s="66"/>
      <c r="AJ68" s="66"/>
      <c r="AK68" s="66"/>
      <c r="AL68" s="66"/>
      <c r="AM68" s="66"/>
      <c r="AN68" s="66"/>
      <c r="AO68" s="66"/>
    </row>
    <row r="69" customFormat="false" ht="2.25" hidden="false" customHeight="true" outlineLevel="0" collapsed="false">
      <c r="A69" s="30"/>
      <c r="B69" s="84"/>
      <c r="C69" s="84"/>
      <c r="D69" s="84"/>
      <c r="E69" s="84"/>
      <c r="F69" s="10"/>
      <c r="G69" s="10"/>
      <c r="H69" s="10"/>
      <c r="I69" s="10"/>
      <c r="J69" s="10"/>
      <c r="K69" s="10"/>
      <c r="L69" s="10"/>
      <c r="M69" s="10"/>
      <c r="N69" s="27"/>
      <c r="O69" s="27"/>
      <c r="P69" s="27"/>
      <c r="Q69" s="27"/>
      <c r="R69" s="27"/>
      <c r="S69" s="10"/>
      <c r="T69" s="10"/>
      <c r="U69" s="10"/>
      <c r="V69" s="10"/>
      <c r="W69" s="10"/>
      <c r="X69" s="10"/>
      <c r="Y69" s="10"/>
      <c r="Z69" s="10"/>
      <c r="AA69" s="27"/>
      <c r="AB69" s="27"/>
      <c r="AC69" s="95"/>
      <c r="AD69" s="95"/>
      <c r="AE69" s="95"/>
      <c r="AF69" s="95"/>
      <c r="AG69" s="95"/>
      <c r="AH69" s="95"/>
      <c r="AI69" s="95"/>
      <c r="AJ69" s="95"/>
      <c r="AK69" s="95"/>
      <c r="AL69" s="95"/>
      <c r="AM69" s="95"/>
      <c r="AN69" s="95"/>
      <c r="AO69" s="96"/>
    </row>
    <row r="70" customFormat="false" ht="14.25" hidden="false" customHeight="true" outlineLevel="0" collapsed="false">
      <c r="A70" s="97" t="s">
        <v>217</v>
      </c>
      <c r="B70" s="97"/>
      <c r="C70" s="97"/>
      <c r="D70" s="97"/>
      <c r="E70" s="97"/>
      <c r="F70" s="97"/>
      <c r="G70" s="97"/>
      <c r="H70" s="97"/>
      <c r="I70" s="97"/>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row>
    <row r="71" customFormat="false" ht="13.8" hidden="false" customHeight="false" outlineLevel="0" collapsed="false">
      <c r="A71" s="98" t="s">
        <v>218</v>
      </c>
      <c r="B71" s="98"/>
      <c r="C71" s="98"/>
      <c r="D71" s="98"/>
      <c r="E71" s="98"/>
      <c r="F71" s="98"/>
      <c r="G71" s="98"/>
      <c r="H71" s="98"/>
      <c r="I71" s="98"/>
      <c r="J71" s="98"/>
      <c r="K71" s="98"/>
      <c r="L71" s="77" t="s">
        <v>219</v>
      </c>
      <c r="M71" s="77"/>
      <c r="N71" s="77"/>
      <c r="O71" s="77"/>
      <c r="P71" s="77"/>
      <c r="Q71" s="77"/>
      <c r="R71" s="77"/>
      <c r="S71" s="77"/>
      <c r="T71" s="77"/>
      <c r="U71" s="77"/>
      <c r="V71" s="77"/>
      <c r="W71" s="77"/>
      <c r="X71" s="77"/>
      <c r="Y71" s="77"/>
      <c r="Z71" s="77"/>
      <c r="AA71" s="77" t="s">
        <v>220</v>
      </c>
      <c r="AB71" s="77"/>
      <c r="AC71" s="77"/>
      <c r="AD71" s="77"/>
      <c r="AE71" s="77"/>
      <c r="AF71" s="77"/>
      <c r="AG71" s="78" t="s">
        <v>221</v>
      </c>
      <c r="AH71" s="78"/>
      <c r="AI71" s="78"/>
      <c r="AJ71" s="78"/>
      <c r="AK71" s="78"/>
      <c r="AL71" s="78"/>
      <c r="AM71" s="78"/>
      <c r="AN71" s="78"/>
      <c r="AO71" s="78"/>
    </row>
    <row r="72" customFormat="false" ht="13.8" hidden="false" customHeight="false" outlineLevel="0" collapsed="false">
      <c r="A72" s="99" t="s">
        <v>222</v>
      </c>
      <c r="B72" s="99"/>
      <c r="C72" s="99"/>
      <c r="D72" s="99"/>
      <c r="E72" s="99"/>
      <c r="F72" s="99"/>
      <c r="G72" s="99"/>
      <c r="H72" s="99"/>
      <c r="I72" s="99"/>
      <c r="J72" s="99"/>
      <c r="K72" s="99"/>
      <c r="L72" s="50" t="s">
        <v>223</v>
      </c>
      <c r="M72" s="50"/>
      <c r="N72" s="50"/>
      <c r="O72" s="50"/>
      <c r="P72" s="50"/>
      <c r="Q72" s="50"/>
      <c r="R72" s="50"/>
      <c r="S72" s="50"/>
      <c r="T72" s="50"/>
      <c r="U72" s="50"/>
      <c r="V72" s="50"/>
      <c r="W72" s="50"/>
      <c r="X72" s="50"/>
      <c r="Y72" s="50"/>
      <c r="Z72" s="50"/>
      <c r="AA72" s="61" t="n">
        <v>993087239</v>
      </c>
      <c r="AB72" s="61"/>
      <c r="AC72" s="61"/>
      <c r="AD72" s="61"/>
      <c r="AE72" s="61"/>
      <c r="AF72" s="61"/>
      <c r="AG72" s="58" t="s">
        <v>224</v>
      </c>
      <c r="AH72" s="58"/>
      <c r="AI72" s="58"/>
      <c r="AJ72" s="58"/>
      <c r="AK72" s="58"/>
      <c r="AL72" s="58"/>
      <c r="AM72" s="58"/>
      <c r="AN72" s="58"/>
      <c r="AO72" s="58"/>
    </row>
    <row r="73" customFormat="false" ht="13.8" hidden="false" customHeight="false" outlineLevel="0" collapsed="false">
      <c r="A73" s="99" t="s">
        <v>225</v>
      </c>
      <c r="B73" s="99"/>
      <c r="C73" s="99"/>
      <c r="D73" s="99"/>
      <c r="E73" s="99"/>
      <c r="F73" s="99"/>
      <c r="G73" s="99"/>
      <c r="H73" s="99"/>
      <c r="I73" s="99"/>
      <c r="J73" s="99"/>
      <c r="K73" s="99"/>
      <c r="L73" s="50" t="s">
        <v>226</v>
      </c>
      <c r="M73" s="50"/>
      <c r="N73" s="50"/>
      <c r="O73" s="50"/>
      <c r="P73" s="50"/>
      <c r="Q73" s="50"/>
      <c r="R73" s="50"/>
      <c r="S73" s="50"/>
      <c r="T73" s="50"/>
      <c r="U73" s="50"/>
      <c r="V73" s="50"/>
      <c r="W73" s="50"/>
      <c r="X73" s="50"/>
      <c r="Y73" s="50"/>
      <c r="Z73" s="50"/>
      <c r="AA73" s="61" t="n">
        <v>999418906</v>
      </c>
      <c r="AB73" s="61"/>
      <c r="AC73" s="61"/>
      <c r="AD73" s="61"/>
      <c r="AE73" s="61"/>
      <c r="AF73" s="61"/>
      <c r="AG73" s="58" t="s">
        <v>227</v>
      </c>
      <c r="AH73" s="58"/>
      <c r="AI73" s="58"/>
      <c r="AJ73" s="58"/>
      <c r="AK73" s="58"/>
      <c r="AL73" s="58"/>
      <c r="AM73" s="58"/>
      <c r="AN73" s="58"/>
      <c r="AO73" s="58"/>
    </row>
    <row r="74" customFormat="false" ht="13.8" hidden="false" customHeight="false" outlineLevel="0" collapsed="false">
      <c r="A74" s="100" t="s">
        <v>228</v>
      </c>
      <c r="B74" s="100"/>
      <c r="C74" s="100"/>
      <c r="D74" s="100"/>
      <c r="E74" s="100"/>
      <c r="F74" s="100"/>
      <c r="G74" s="100"/>
      <c r="H74" s="100"/>
      <c r="I74" s="100"/>
      <c r="J74" s="100"/>
      <c r="K74" s="100"/>
      <c r="L74" s="93" t="s">
        <v>223</v>
      </c>
      <c r="M74" s="93"/>
      <c r="N74" s="93"/>
      <c r="O74" s="93"/>
      <c r="P74" s="93"/>
      <c r="Q74" s="93"/>
      <c r="R74" s="93"/>
      <c r="S74" s="93"/>
      <c r="T74" s="93"/>
      <c r="U74" s="93"/>
      <c r="V74" s="93"/>
      <c r="W74" s="93"/>
      <c r="X74" s="93"/>
      <c r="Y74" s="93"/>
      <c r="Z74" s="93"/>
      <c r="AA74" s="65" t="n">
        <v>989184145</v>
      </c>
      <c r="AB74" s="65"/>
      <c r="AC74" s="65"/>
      <c r="AD74" s="65"/>
      <c r="AE74" s="65"/>
      <c r="AF74" s="65"/>
      <c r="AG74" s="66" t="s">
        <v>229</v>
      </c>
      <c r="AH74" s="66"/>
      <c r="AI74" s="66"/>
      <c r="AJ74" s="66"/>
      <c r="AK74" s="66"/>
      <c r="AL74" s="66"/>
      <c r="AM74" s="66"/>
      <c r="AN74" s="66"/>
      <c r="AO74" s="66"/>
    </row>
    <row r="75" customFormat="false" ht="2.25" hidden="false" customHeight="true" outlineLevel="0" collapsed="false">
      <c r="A75" s="38"/>
      <c r="AO75" s="40"/>
    </row>
    <row r="76" customFormat="false" ht="15" hidden="false" customHeight="true" outlineLevel="0" collapsed="false">
      <c r="A76" s="72" t="s">
        <v>230</v>
      </c>
      <c r="B76" s="72"/>
      <c r="C76" s="72"/>
      <c r="D76" s="72"/>
      <c r="E76" s="72"/>
      <c r="F76" s="72"/>
      <c r="G76" s="72"/>
      <c r="H76" s="72"/>
      <c r="I76" s="72"/>
      <c r="J76" s="72"/>
      <c r="K76" s="72"/>
      <c r="L76" s="72"/>
      <c r="M76" s="72"/>
      <c r="N76" s="72"/>
      <c r="O76" s="72"/>
      <c r="P76" s="72"/>
      <c r="Q76" s="72"/>
      <c r="R76" s="72"/>
      <c r="S76" s="72"/>
      <c r="T76" s="20"/>
      <c r="U76" s="72" t="s">
        <v>231</v>
      </c>
      <c r="V76" s="72"/>
      <c r="W76" s="72"/>
      <c r="X76" s="72"/>
      <c r="Y76" s="72"/>
      <c r="Z76" s="72"/>
      <c r="AA76" s="72"/>
      <c r="AB76" s="72"/>
      <c r="AC76" s="72"/>
      <c r="AD76" s="72"/>
      <c r="AE76" s="72"/>
      <c r="AF76" s="72"/>
      <c r="AG76" s="72"/>
      <c r="AH76" s="72"/>
      <c r="AI76" s="72"/>
      <c r="AJ76" s="72"/>
      <c r="AK76" s="72"/>
      <c r="AL76" s="72"/>
      <c r="AM76" s="72"/>
      <c r="AN76" s="72"/>
      <c r="AO76" s="72"/>
    </row>
    <row r="77" customFormat="false" ht="10.5" hidden="false" customHeight="true" outlineLevel="0" collapsed="false">
      <c r="A77" s="101"/>
      <c r="B77" s="102"/>
      <c r="C77" s="103"/>
      <c r="D77" s="103"/>
      <c r="E77" s="103"/>
      <c r="F77" s="103"/>
      <c r="G77" s="103"/>
      <c r="H77" s="103"/>
      <c r="I77" s="103"/>
      <c r="J77" s="103"/>
      <c r="K77" s="103"/>
      <c r="L77" s="103"/>
      <c r="M77" s="103"/>
      <c r="N77" s="103"/>
      <c r="O77" s="103"/>
      <c r="P77" s="103"/>
      <c r="Q77" s="103"/>
      <c r="R77" s="103"/>
      <c r="S77" s="104"/>
      <c r="U77" s="101"/>
      <c r="V77" s="102"/>
      <c r="W77" s="103"/>
      <c r="X77" s="103"/>
      <c r="Y77" s="103"/>
      <c r="Z77" s="103"/>
      <c r="AA77" s="103"/>
      <c r="AB77" s="103"/>
      <c r="AC77" s="103"/>
      <c r="AD77" s="103"/>
      <c r="AE77" s="103"/>
      <c r="AF77" s="103"/>
      <c r="AG77" s="103"/>
      <c r="AH77" s="103"/>
      <c r="AI77" s="103"/>
      <c r="AJ77" s="103"/>
      <c r="AK77" s="103"/>
      <c r="AL77" s="103"/>
      <c r="AM77" s="103"/>
      <c r="AN77" s="103"/>
      <c r="AO77" s="104"/>
    </row>
    <row r="78" customFormat="false" ht="10.5" hidden="false" customHeight="true" outlineLevel="0" collapsed="false">
      <c r="A78" s="105"/>
      <c r="B78" s="106"/>
      <c r="C78" s="107"/>
      <c r="D78" s="107"/>
      <c r="E78" s="107"/>
      <c r="F78" s="107"/>
      <c r="G78" s="107"/>
      <c r="H78" s="107"/>
      <c r="I78" s="107"/>
      <c r="J78" s="107"/>
      <c r="K78" s="107"/>
      <c r="L78" s="107"/>
      <c r="M78" s="107"/>
      <c r="N78" s="107"/>
      <c r="O78" s="107"/>
      <c r="P78" s="107"/>
      <c r="Q78" s="107"/>
      <c r="R78" s="107"/>
      <c r="S78" s="108"/>
      <c r="U78" s="105"/>
      <c r="V78" s="106"/>
      <c r="W78" s="106"/>
      <c r="X78" s="107"/>
      <c r="Y78" s="107"/>
      <c r="Z78" s="107"/>
      <c r="AA78" s="107"/>
      <c r="AB78" s="107"/>
      <c r="AC78" s="107"/>
      <c r="AD78" s="107"/>
      <c r="AE78" s="107"/>
      <c r="AF78" s="107"/>
      <c r="AG78" s="107"/>
      <c r="AH78" s="107"/>
      <c r="AI78" s="107"/>
      <c r="AJ78" s="107"/>
      <c r="AK78" s="107"/>
      <c r="AL78" s="107"/>
      <c r="AM78" s="107"/>
      <c r="AN78" s="107"/>
      <c r="AO78" s="108"/>
    </row>
    <row r="79" customFormat="false" ht="10.5" hidden="false" customHeight="true" outlineLevel="0" collapsed="false">
      <c r="A79" s="105"/>
      <c r="B79" s="107" t="s">
        <v>232</v>
      </c>
      <c r="C79" s="107"/>
      <c r="D79" s="107"/>
      <c r="E79" s="107"/>
      <c r="F79" s="107"/>
      <c r="G79" s="107"/>
      <c r="H79" s="107"/>
      <c r="I79" s="107"/>
      <c r="J79" s="107"/>
      <c r="K79" s="107"/>
      <c r="L79" s="107"/>
      <c r="M79" s="107"/>
      <c r="N79" s="107"/>
      <c r="O79" s="107"/>
      <c r="P79" s="107"/>
      <c r="Q79" s="107"/>
      <c r="R79" s="107"/>
      <c r="S79" s="108"/>
      <c r="U79" s="105"/>
      <c r="V79" s="109" t="s">
        <v>233</v>
      </c>
      <c r="W79" s="107"/>
      <c r="X79" s="107"/>
      <c r="Y79" s="107"/>
      <c r="Z79" s="107"/>
      <c r="AA79" s="107"/>
      <c r="AB79" s="107"/>
      <c r="AC79" s="107"/>
      <c r="AD79" s="107"/>
      <c r="AE79" s="107"/>
      <c r="AF79" s="107"/>
      <c r="AG79" s="107"/>
      <c r="AH79" s="107"/>
      <c r="AI79" s="107"/>
      <c r="AJ79" s="107"/>
      <c r="AK79" s="107"/>
      <c r="AL79" s="107"/>
      <c r="AM79" s="107"/>
      <c r="AN79" s="107"/>
      <c r="AO79" s="108"/>
    </row>
    <row r="80" customFormat="false" ht="10.5" hidden="false" customHeight="true" outlineLevel="0" collapsed="false">
      <c r="A80" s="105"/>
      <c r="B80" s="107"/>
      <c r="C80" s="107"/>
      <c r="D80" s="107"/>
      <c r="E80" s="107"/>
      <c r="F80" s="107"/>
      <c r="G80" s="107"/>
      <c r="H80" s="107"/>
      <c r="I80" s="107"/>
      <c r="J80" s="107"/>
      <c r="K80" s="107"/>
      <c r="L80" s="107"/>
      <c r="M80" s="107"/>
      <c r="N80" s="107"/>
      <c r="O80" s="107"/>
      <c r="P80" s="107"/>
      <c r="Q80" s="107"/>
      <c r="R80" s="107"/>
      <c r="S80" s="108"/>
      <c r="U80" s="105"/>
      <c r="V80" s="107"/>
      <c r="W80" s="107"/>
      <c r="X80" s="107"/>
      <c r="Y80" s="107"/>
      <c r="Z80" s="107"/>
      <c r="AA80" s="107"/>
      <c r="AB80" s="107"/>
      <c r="AC80" s="107"/>
      <c r="AD80" s="107"/>
      <c r="AE80" s="107"/>
      <c r="AF80" s="107"/>
      <c r="AG80" s="107"/>
      <c r="AH80" s="107"/>
      <c r="AI80" s="107"/>
      <c r="AJ80" s="107"/>
      <c r="AK80" s="107"/>
      <c r="AL80" s="107"/>
      <c r="AM80" s="107"/>
      <c r="AN80" s="107"/>
      <c r="AO80" s="108"/>
    </row>
    <row r="81" customFormat="false" ht="10.5" hidden="false" customHeight="true" outlineLevel="0" collapsed="false">
      <c r="A81" s="105"/>
      <c r="B81" s="107"/>
      <c r="C81" s="107"/>
      <c r="D81" s="107"/>
      <c r="E81" s="107"/>
      <c r="F81" s="107"/>
      <c r="G81" s="107"/>
      <c r="H81" s="107"/>
      <c r="I81" s="107"/>
      <c r="J81" s="107"/>
      <c r="K81" s="107"/>
      <c r="L81" s="107"/>
      <c r="M81" s="107"/>
      <c r="N81" s="107"/>
      <c r="O81" s="107"/>
      <c r="P81" s="107"/>
      <c r="Q81" s="107"/>
      <c r="R81" s="107"/>
      <c r="S81" s="108"/>
      <c r="U81" s="105"/>
      <c r="V81" s="107"/>
      <c r="W81" s="107"/>
      <c r="X81" s="107"/>
      <c r="Y81" s="107"/>
      <c r="Z81" s="107"/>
      <c r="AA81" s="107"/>
      <c r="AB81" s="107"/>
      <c r="AC81" s="107"/>
      <c r="AD81" s="107"/>
      <c r="AE81" s="107"/>
      <c r="AF81" s="107"/>
      <c r="AG81" s="107"/>
      <c r="AH81" s="107"/>
      <c r="AI81" s="107"/>
      <c r="AJ81" s="107"/>
      <c r="AK81" s="107"/>
      <c r="AL81" s="107"/>
      <c r="AM81" s="107"/>
      <c r="AN81" s="107"/>
      <c r="AO81" s="108"/>
    </row>
    <row r="82" customFormat="false" ht="10.5" hidden="false" customHeight="true" outlineLevel="0" collapsed="false">
      <c r="A82" s="105"/>
      <c r="B82" s="107"/>
      <c r="C82" s="107"/>
      <c r="D82" s="107"/>
      <c r="E82" s="107"/>
      <c r="F82" s="107"/>
      <c r="G82" s="107"/>
      <c r="H82" s="107"/>
      <c r="I82" s="107"/>
      <c r="J82" s="107"/>
      <c r="K82" s="107"/>
      <c r="L82" s="107"/>
      <c r="M82" s="107"/>
      <c r="N82" s="107"/>
      <c r="O82" s="107"/>
      <c r="P82" s="107"/>
      <c r="Q82" s="107"/>
      <c r="R82" s="107"/>
      <c r="S82" s="108"/>
      <c r="U82" s="105"/>
      <c r="V82" s="107"/>
      <c r="W82" s="107"/>
      <c r="X82" s="107"/>
      <c r="Y82" s="107"/>
      <c r="Z82" s="107"/>
      <c r="AA82" s="107"/>
      <c r="AB82" s="107"/>
      <c r="AC82" s="107"/>
      <c r="AD82" s="107"/>
      <c r="AE82" s="107"/>
      <c r="AF82" s="107"/>
      <c r="AG82" s="107"/>
      <c r="AH82" s="107"/>
      <c r="AI82" s="107"/>
      <c r="AJ82" s="107"/>
      <c r="AK82" s="107"/>
      <c r="AL82" s="107"/>
      <c r="AM82" s="107"/>
      <c r="AN82" s="107"/>
      <c r="AO82" s="108"/>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c r="AMI82" s="1"/>
      <c r="AMJ82" s="1"/>
    </row>
    <row r="83" customFormat="false" ht="10.5" hidden="false" customHeight="true" outlineLevel="0" collapsed="false">
      <c r="A83" s="105"/>
      <c r="B83" s="107"/>
      <c r="C83" s="107"/>
      <c r="D83" s="107"/>
      <c r="E83" s="107"/>
      <c r="F83" s="107"/>
      <c r="G83" s="107"/>
      <c r="H83" s="107"/>
      <c r="I83" s="107"/>
      <c r="J83" s="107"/>
      <c r="K83" s="107"/>
      <c r="L83" s="107"/>
      <c r="M83" s="107"/>
      <c r="N83" s="107"/>
      <c r="O83" s="107"/>
      <c r="P83" s="107"/>
      <c r="Q83" s="107"/>
      <c r="R83" s="107"/>
      <c r="S83" s="108"/>
      <c r="U83" s="105"/>
      <c r="V83" s="107"/>
      <c r="W83" s="107"/>
      <c r="X83" s="107"/>
      <c r="Y83" s="107"/>
      <c r="Z83" s="107"/>
      <c r="AA83" s="107"/>
      <c r="AB83" s="107"/>
      <c r="AC83" s="107"/>
      <c r="AD83" s="107"/>
      <c r="AE83" s="107"/>
      <c r="AF83" s="107"/>
      <c r="AG83" s="107"/>
      <c r="AH83" s="107"/>
      <c r="AI83" s="107"/>
      <c r="AJ83" s="107"/>
      <c r="AK83" s="107"/>
      <c r="AL83" s="107"/>
      <c r="AM83" s="107"/>
      <c r="AN83" s="107"/>
      <c r="AO83" s="108"/>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c r="AMI83" s="1"/>
      <c r="AMJ83" s="1"/>
    </row>
    <row r="84" customFormat="false" ht="10.5" hidden="false" customHeight="true" outlineLevel="0" collapsed="false">
      <c r="A84" s="105"/>
      <c r="B84" s="107"/>
      <c r="C84" s="107"/>
      <c r="D84" s="107"/>
      <c r="E84" s="107"/>
      <c r="F84" s="107"/>
      <c r="G84" s="107"/>
      <c r="H84" s="107"/>
      <c r="I84" s="107"/>
      <c r="J84" s="107"/>
      <c r="K84" s="107"/>
      <c r="L84" s="107"/>
      <c r="M84" s="107"/>
      <c r="N84" s="107"/>
      <c r="O84" s="107"/>
      <c r="P84" s="107"/>
      <c r="Q84" s="107"/>
      <c r="R84" s="107"/>
      <c r="S84" s="108"/>
      <c r="U84" s="105"/>
      <c r="V84" s="107"/>
      <c r="W84" s="107"/>
      <c r="X84" s="107"/>
      <c r="Y84" s="107"/>
      <c r="Z84" s="107"/>
      <c r="AA84" s="107"/>
      <c r="AB84" s="107"/>
      <c r="AC84" s="107"/>
      <c r="AD84" s="107"/>
      <c r="AE84" s="107"/>
      <c r="AF84" s="107"/>
      <c r="AG84" s="107"/>
      <c r="AH84" s="107"/>
      <c r="AI84" s="107"/>
      <c r="AJ84" s="107"/>
      <c r="AK84" s="107"/>
      <c r="AL84" s="107"/>
      <c r="AM84" s="107"/>
      <c r="AN84" s="107"/>
      <c r="AO84" s="108"/>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c r="AMI84" s="1"/>
      <c r="AMJ84" s="1"/>
    </row>
    <row r="85" customFormat="false" ht="10.5" hidden="false" customHeight="true" outlineLevel="0" collapsed="false">
      <c r="A85" s="105"/>
      <c r="B85" s="107"/>
      <c r="C85" s="107"/>
      <c r="D85" s="107"/>
      <c r="E85" s="107"/>
      <c r="F85" s="107"/>
      <c r="G85" s="107"/>
      <c r="H85" s="107"/>
      <c r="I85" s="107"/>
      <c r="J85" s="107"/>
      <c r="K85" s="107"/>
      <c r="L85" s="107"/>
      <c r="M85" s="107"/>
      <c r="N85" s="107"/>
      <c r="O85" s="107"/>
      <c r="P85" s="107"/>
      <c r="Q85" s="107"/>
      <c r="R85" s="107"/>
      <c r="S85" s="110"/>
      <c r="U85" s="105"/>
      <c r="V85" s="107"/>
      <c r="W85" s="107"/>
      <c r="X85" s="107"/>
      <c r="Y85" s="107"/>
      <c r="Z85" s="107"/>
      <c r="AA85" s="107"/>
      <c r="AB85" s="107"/>
      <c r="AC85" s="107"/>
      <c r="AD85" s="107"/>
      <c r="AE85" s="107"/>
      <c r="AF85" s="107"/>
      <c r="AG85" s="107"/>
      <c r="AH85" s="107"/>
      <c r="AI85" s="107"/>
      <c r="AJ85" s="107"/>
      <c r="AK85" s="107"/>
      <c r="AL85" s="107"/>
      <c r="AM85" s="107"/>
      <c r="AN85" s="107"/>
      <c r="AO85" s="108"/>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c r="AMI85" s="1"/>
      <c r="AMJ85" s="1"/>
    </row>
    <row r="86" customFormat="false" ht="10.5" hidden="false" customHeight="true" outlineLevel="0" collapsed="false">
      <c r="A86" s="111"/>
      <c r="B86" s="112"/>
      <c r="C86" s="112"/>
      <c r="D86" s="112"/>
      <c r="E86" s="112"/>
      <c r="F86" s="112"/>
      <c r="G86" s="112"/>
      <c r="H86" s="112"/>
      <c r="I86" s="112"/>
      <c r="J86" s="112"/>
      <c r="K86" s="112"/>
      <c r="L86" s="112"/>
      <c r="M86" s="112"/>
      <c r="N86" s="112"/>
      <c r="O86" s="112"/>
      <c r="P86" s="112"/>
      <c r="Q86" s="112"/>
      <c r="R86" s="112"/>
      <c r="S86" s="113"/>
      <c r="U86" s="111"/>
      <c r="V86" s="112"/>
      <c r="W86" s="112"/>
      <c r="X86" s="112"/>
      <c r="Y86" s="112"/>
      <c r="Z86" s="112"/>
      <c r="AA86" s="112"/>
      <c r="AB86" s="112"/>
      <c r="AC86" s="112"/>
      <c r="AD86" s="112"/>
      <c r="AE86" s="112"/>
      <c r="AF86" s="112"/>
      <c r="AG86" s="112"/>
      <c r="AH86" s="112"/>
      <c r="AI86" s="112"/>
      <c r="AJ86" s="112"/>
      <c r="AK86" s="112"/>
      <c r="AL86" s="112"/>
      <c r="AM86" s="112"/>
      <c r="AN86" s="112"/>
      <c r="AO86" s="114"/>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c r="AMI86" s="1"/>
      <c r="AMJ86" s="1"/>
    </row>
    <row r="87" customFormat="false" ht="18" hidden="false" customHeight="true" outlineLevel="0" collapsed="false">
      <c r="A87" s="115" t="s">
        <v>234</v>
      </c>
      <c r="B87" s="115"/>
      <c r="C87" s="115"/>
      <c r="D87" s="115"/>
      <c r="E87" s="115"/>
      <c r="F87" s="115"/>
      <c r="G87" s="115"/>
      <c r="H87" s="115"/>
      <c r="I87" s="115"/>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c r="AN87" s="115"/>
      <c r="AO87" s="115"/>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c r="AMI87" s="1"/>
      <c r="AMJ87" s="1"/>
    </row>
    <row r="88" customFormat="false" ht="18" hidden="false" customHeight="true" outlineLevel="0" collapsed="false">
      <c r="A88" s="115"/>
      <c r="B88" s="115"/>
      <c r="C88" s="115"/>
      <c r="D88" s="115"/>
      <c r="E88" s="115"/>
      <c r="F88" s="115"/>
      <c r="G88" s="115"/>
      <c r="H88" s="115"/>
      <c r="I88" s="115"/>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c r="AN88" s="115"/>
      <c r="AO88" s="115"/>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c r="AMI88" s="1"/>
      <c r="AMJ88" s="1"/>
    </row>
    <row r="89" customFormat="false" ht="47.25" hidden="false" customHeight="true" outlineLevel="0" collapsed="false">
      <c r="A89" s="115"/>
      <c r="B89" s="115"/>
      <c r="C89" s="115"/>
      <c r="D89" s="115"/>
      <c r="E89" s="115"/>
      <c r="F89" s="115"/>
      <c r="G89" s="115"/>
      <c r="H89" s="115"/>
      <c r="I89" s="115"/>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c r="AN89" s="115"/>
      <c r="AO89" s="115"/>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c r="AMI89" s="1"/>
      <c r="AMJ89" s="1"/>
    </row>
    <row r="90" customFormat="false" ht="10.5" hidden="false" customHeight="true" outlineLevel="0" collapsed="false">
      <c r="A90" s="73"/>
      <c r="B90" s="74"/>
      <c r="C90" s="74"/>
      <c r="D90" s="74"/>
      <c r="E90" s="74"/>
      <c r="F90" s="74"/>
      <c r="G90" s="74"/>
      <c r="H90" s="74"/>
      <c r="I90" s="74"/>
      <c r="J90" s="74"/>
      <c r="K90" s="74"/>
      <c r="L90" s="74"/>
      <c r="M90" s="74"/>
      <c r="N90" s="74"/>
      <c r="O90" s="74"/>
      <c r="P90" s="74"/>
      <c r="Q90" s="74"/>
      <c r="R90" s="74"/>
      <c r="S90" s="74"/>
      <c r="T90" s="74"/>
      <c r="U90" s="74"/>
      <c r="V90" s="74"/>
      <c r="W90" s="74"/>
      <c r="X90" s="75"/>
      <c r="Y90" s="116" t="s">
        <v>235</v>
      </c>
      <c r="Z90" s="116"/>
      <c r="AA90" s="116"/>
      <c r="AB90" s="116"/>
      <c r="AC90" s="116"/>
      <c r="AD90" s="116"/>
      <c r="AE90" s="116"/>
      <c r="AF90" s="116"/>
      <c r="AG90" s="116"/>
      <c r="AH90" s="116"/>
      <c r="AI90" s="116"/>
      <c r="AJ90" s="116"/>
      <c r="AK90" s="116"/>
      <c r="AL90" s="116"/>
      <c r="AM90" s="116"/>
      <c r="AN90" s="116"/>
      <c r="AO90" s="116"/>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c r="AMI90" s="1"/>
      <c r="AMJ90" s="1"/>
    </row>
    <row r="91" customFormat="false" ht="10.5" hidden="false" customHeight="true" outlineLevel="0" collapsed="false">
      <c r="A91" s="38"/>
      <c r="X91" s="40"/>
      <c r="Y91" s="117"/>
      <c r="Z91" s="118"/>
      <c r="AA91" s="118"/>
      <c r="AB91" s="118"/>
      <c r="AC91" s="118"/>
      <c r="AD91" s="118"/>
      <c r="AE91" s="118"/>
      <c r="AF91" s="118"/>
      <c r="AG91" s="118"/>
      <c r="AH91" s="118"/>
      <c r="AI91" s="118"/>
      <c r="AJ91" s="118"/>
      <c r="AK91" s="118"/>
      <c r="AL91" s="118"/>
      <c r="AM91" s="118"/>
      <c r="AN91" s="118"/>
      <c r="AO91" s="119"/>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c r="AMI91" s="1"/>
      <c r="AMJ91" s="1"/>
    </row>
    <row r="92" customFormat="false" ht="10.5" hidden="false" customHeight="true" outlineLevel="0" collapsed="false">
      <c r="A92" s="38"/>
      <c r="X92" s="40"/>
      <c r="Y92" s="120" t="s">
        <v>236</v>
      </c>
      <c r="Z92" s="120"/>
      <c r="AA92" s="120"/>
      <c r="AB92" s="121"/>
      <c r="AD92" s="122" t="s">
        <v>237</v>
      </c>
      <c r="AE92" s="122"/>
      <c r="AF92" s="121"/>
      <c r="AH92" s="122" t="s">
        <v>238</v>
      </c>
      <c r="AI92" s="122"/>
      <c r="AJ92" s="122"/>
      <c r="AK92" s="122"/>
      <c r="AL92" s="122"/>
      <c r="AM92" s="123"/>
      <c r="AN92" s="124"/>
      <c r="AO92" s="125"/>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c r="AMI92" s="1"/>
      <c r="AMJ92" s="1"/>
    </row>
    <row r="93" customFormat="false" ht="12.75" hidden="false" customHeight="true" outlineLevel="0" collapsed="false">
      <c r="A93" s="38"/>
      <c r="X93" s="40"/>
      <c r="AE93" s="126"/>
      <c r="AF93" s="126"/>
      <c r="AG93" s="126"/>
      <c r="AH93" s="126"/>
      <c r="AI93" s="126"/>
      <c r="AJ93" s="126"/>
      <c r="AK93" s="126"/>
      <c r="AL93" s="126"/>
      <c r="AM93" s="126"/>
      <c r="AN93" s="126"/>
      <c r="AO93" s="40"/>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c r="AMI93" s="1"/>
      <c r="AMJ93" s="1"/>
    </row>
    <row r="94" customFormat="false" ht="13.8" hidden="false" customHeight="false" outlineLevel="0" collapsed="false">
      <c r="A94" s="38"/>
      <c r="B94" s="127" t="s">
        <v>239</v>
      </c>
      <c r="C94" s="127"/>
      <c r="D94" s="127"/>
      <c r="E94" s="127"/>
      <c r="F94" s="127"/>
      <c r="G94" s="127"/>
      <c r="H94" s="127"/>
      <c r="I94" s="127"/>
      <c r="J94" s="127"/>
      <c r="K94" s="20"/>
      <c r="L94" s="20"/>
      <c r="M94" s="20"/>
      <c r="N94" s="127" t="s">
        <v>240</v>
      </c>
      <c r="O94" s="127"/>
      <c r="P94" s="127"/>
      <c r="Q94" s="127"/>
      <c r="R94" s="127"/>
      <c r="S94" s="127"/>
      <c r="T94" s="127"/>
      <c r="U94" s="127"/>
      <c r="V94" s="127"/>
      <c r="W94" s="20"/>
      <c r="X94" s="128"/>
      <c r="Y94" s="33" t="s">
        <v>241</v>
      </c>
      <c r="Z94" s="33"/>
      <c r="AA94" s="33"/>
      <c r="AB94" s="33"/>
      <c r="AC94" s="39"/>
      <c r="AD94" s="39"/>
      <c r="AE94" s="39"/>
      <c r="AF94" s="39"/>
      <c r="AG94" s="39"/>
      <c r="AH94" s="39"/>
      <c r="AI94" s="39"/>
      <c r="AJ94" s="39"/>
      <c r="AK94" s="39"/>
      <c r="AL94" s="39"/>
      <c r="AM94" s="39"/>
      <c r="AN94" s="39"/>
      <c r="AO94" s="92"/>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c r="AMI94" s="1"/>
      <c r="AMJ94" s="1"/>
    </row>
    <row r="95" customFormat="false" ht="10.5" hidden="false" customHeight="true" outlineLevel="0" collapsed="false">
      <c r="A95" s="129"/>
      <c r="B95" s="130"/>
      <c r="C95" s="130"/>
      <c r="D95" s="130"/>
      <c r="E95" s="130"/>
      <c r="F95" s="130"/>
      <c r="G95" s="130"/>
      <c r="H95" s="130"/>
      <c r="I95" s="130"/>
      <c r="J95" s="130"/>
      <c r="K95" s="46"/>
      <c r="L95" s="46"/>
      <c r="M95" s="46"/>
      <c r="N95" s="130"/>
      <c r="O95" s="130"/>
      <c r="P95" s="130"/>
      <c r="Q95" s="130"/>
      <c r="R95" s="130"/>
      <c r="S95" s="130"/>
      <c r="T95" s="130"/>
      <c r="U95" s="130"/>
      <c r="V95" s="130"/>
      <c r="W95" s="130"/>
      <c r="X95" s="47"/>
      <c r="Y95" s="131"/>
      <c r="Z95" s="132"/>
      <c r="AA95" s="132"/>
      <c r="AB95" s="132"/>
      <c r="AC95" s="133" t="str">
        <f aca="false">+D10</f>
        <v>JARAMILLO JIMENEZ CARLOS ISRAEL</v>
      </c>
      <c r="AD95" s="133"/>
      <c r="AE95" s="133"/>
      <c r="AF95" s="133"/>
      <c r="AG95" s="133"/>
      <c r="AH95" s="133"/>
      <c r="AI95" s="133"/>
      <c r="AJ95" s="133"/>
      <c r="AK95" s="133"/>
      <c r="AL95" s="133"/>
      <c r="AM95" s="133"/>
      <c r="AN95" s="133"/>
      <c r="AO95" s="133"/>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c r="AMI95" s="1"/>
      <c r="AMJ95" s="1"/>
    </row>
    <row r="96" customFormat="false" ht="10.5" hidden="false" customHeight="true" outlineLevel="0" collapsed="false">
      <c r="A96" s="27"/>
      <c r="B96" s="27"/>
      <c r="C96" s="27"/>
      <c r="D96" s="27"/>
      <c r="E96" s="27"/>
      <c r="F96" s="27"/>
      <c r="G96" s="27"/>
      <c r="H96" s="27"/>
      <c r="I96" s="27"/>
      <c r="J96" s="27"/>
      <c r="N96" s="27"/>
      <c r="O96" s="27"/>
      <c r="P96" s="27"/>
      <c r="Q96" s="27"/>
      <c r="R96" s="27"/>
      <c r="S96" s="27"/>
      <c r="T96" s="27"/>
      <c r="U96" s="27"/>
      <c r="V96" s="27"/>
      <c r="W96" s="27"/>
      <c r="Y96" s="10"/>
      <c r="Z96" s="10"/>
      <c r="AA96" s="10"/>
      <c r="AB96" s="10"/>
      <c r="AC96" s="10"/>
      <c r="AD96" s="10"/>
      <c r="AE96" s="126"/>
      <c r="AF96" s="126"/>
      <c r="AG96" s="126"/>
      <c r="AH96" s="126"/>
      <c r="AI96" s="126"/>
      <c r="AJ96" s="126"/>
      <c r="AK96" s="126"/>
      <c r="AL96" s="126"/>
      <c r="AM96" s="126"/>
      <c r="AN96" s="126"/>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c r="AMI96" s="1"/>
      <c r="AMJ96" s="1"/>
    </row>
    <row r="97" customFormat="false" ht="27" hidden="false" customHeight="true" outlineLevel="0" collapsed="false">
      <c r="A97" s="72" t="s">
        <v>242</v>
      </c>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c r="AMI97" s="1"/>
      <c r="AMJ97" s="1"/>
    </row>
    <row r="98" customFormat="false" ht="10.5" hidden="false" customHeight="true" outlineLevel="0" collapsed="false">
      <c r="A98" s="134" t="s">
        <v>243</v>
      </c>
      <c r="B98" s="134"/>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c r="AA98" s="134"/>
      <c r="AB98" s="134"/>
      <c r="AC98" s="134"/>
      <c r="AD98" s="134"/>
      <c r="AE98" s="134"/>
      <c r="AF98" s="134"/>
      <c r="AG98" s="134"/>
      <c r="AH98" s="134"/>
      <c r="AI98" s="134"/>
      <c r="AJ98" s="134"/>
      <c r="AK98" s="134"/>
      <c r="AL98" s="134"/>
      <c r="AM98" s="134"/>
      <c r="AN98" s="134"/>
      <c r="AO98" s="134"/>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c r="AMI98" s="1"/>
      <c r="AMJ98" s="1"/>
    </row>
    <row r="99" customFormat="false" ht="10.5" hidden="false" customHeight="true" outlineLevel="0" collapsed="false">
      <c r="A99" s="135" t="s">
        <v>244</v>
      </c>
      <c r="B99" s="135"/>
      <c r="C99" s="135"/>
      <c r="D99" s="135"/>
      <c r="E99" s="135"/>
      <c r="F99" s="135"/>
      <c r="G99" s="135"/>
      <c r="H99" s="135"/>
      <c r="I99" s="135"/>
      <c r="J99" s="135"/>
      <c r="K99" s="135"/>
      <c r="L99" s="135"/>
      <c r="M99" s="135"/>
      <c r="N99" s="135"/>
      <c r="O99" s="135"/>
      <c r="P99" s="135"/>
      <c r="Q99" s="135"/>
      <c r="R99" s="135"/>
      <c r="S99" s="135"/>
      <c r="T99" s="135"/>
      <c r="U99" s="135"/>
      <c r="V99" s="135"/>
      <c r="W99" s="135"/>
      <c r="X99" s="135"/>
      <c r="Y99" s="135"/>
      <c r="Z99" s="135"/>
      <c r="AA99" s="135"/>
      <c r="AB99" s="135"/>
      <c r="AC99" s="135"/>
      <c r="AD99" s="135"/>
      <c r="AE99" s="135"/>
      <c r="AF99" s="135"/>
      <c r="AG99" s="135"/>
      <c r="AH99" s="135"/>
      <c r="AI99" s="135"/>
      <c r="AJ99" s="135"/>
      <c r="AK99" s="135"/>
      <c r="AL99" s="135"/>
      <c r="AM99" s="135"/>
      <c r="AN99" s="135"/>
      <c r="AO99" s="135"/>
      <c r="AP99" s="38"/>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c r="AMI99" s="1"/>
      <c r="AMJ99" s="1"/>
    </row>
    <row r="100" customFormat="false" ht="10.5" hidden="false" customHeight="true" outlineLevel="0" collapsed="false">
      <c r="A100" s="136" t="s">
        <v>245</v>
      </c>
      <c r="B100" s="136"/>
      <c r="C100" s="136"/>
      <c r="D100" s="136"/>
      <c r="E100" s="136"/>
      <c r="F100" s="136"/>
      <c r="G100" s="136"/>
      <c r="H100" s="136"/>
      <c r="I100" s="136"/>
      <c r="J100" s="137" t="s">
        <v>246</v>
      </c>
      <c r="K100" s="137"/>
      <c r="L100" s="137"/>
      <c r="M100" s="137" t="s">
        <v>247</v>
      </c>
      <c r="N100" s="137"/>
      <c r="O100" s="137"/>
      <c r="P100" s="137" t="s">
        <v>248</v>
      </c>
      <c r="Q100" s="137"/>
      <c r="R100" s="137"/>
      <c r="S100" s="137" t="s">
        <v>249</v>
      </c>
      <c r="T100" s="137"/>
      <c r="U100" s="137"/>
      <c r="V100" s="137"/>
      <c r="W100" s="137" t="s">
        <v>250</v>
      </c>
      <c r="X100" s="137"/>
      <c r="Y100" s="137"/>
      <c r="Z100" s="137"/>
      <c r="AA100" s="137" t="s">
        <v>251</v>
      </c>
      <c r="AB100" s="137"/>
      <c r="AC100" s="137"/>
      <c r="AD100" s="137"/>
      <c r="AE100" s="137" t="s">
        <v>252</v>
      </c>
      <c r="AF100" s="137"/>
      <c r="AG100" s="137"/>
      <c r="AH100" s="138" t="s">
        <v>253</v>
      </c>
      <c r="AI100" s="138"/>
      <c r="AJ100" s="138"/>
      <c r="AK100" s="138"/>
      <c r="AL100" s="139" t="s">
        <v>254</v>
      </c>
      <c r="AM100" s="139"/>
      <c r="AN100" s="139"/>
      <c r="AO100" s="139"/>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c r="AMI100" s="1"/>
      <c r="AMJ100" s="1"/>
    </row>
    <row r="101" customFormat="false" ht="10.5" hidden="false" customHeight="true" outlineLevel="0" collapsed="false">
      <c r="A101" s="98" t="n">
        <v>1</v>
      </c>
      <c r="B101" s="140" t="s">
        <v>255</v>
      </c>
      <c r="C101" s="140"/>
      <c r="D101" s="140"/>
      <c r="E101" s="140"/>
      <c r="F101" s="140"/>
      <c r="G101" s="140"/>
      <c r="H101" s="140"/>
      <c r="I101" s="140"/>
      <c r="J101" s="23" t="n">
        <v>280</v>
      </c>
      <c r="K101" s="23"/>
      <c r="L101" s="23"/>
      <c r="M101" s="23" t="n">
        <v>100</v>
      </c>
      <c r="N101" s="23"/>
      <c r="O101" s="23"/>
      <c r="P101" s="23" t="n">
        <v>15</v>
      </c>
      <c r="Q101" s="23"/>
      <c r="R101" s="23"/>
      <c r="S101" s="23" t="n">
        <v>20</v>
      </c>
      <c r="T101" s="23"/>
      <c r="U101" s="23"/>
      <c r="V101" s="23"/>
      <c r="W101" s="141" t="n">
        <f aca="false">J101*S101</f>
        <v>5600</v>
      </c>
      <c r="X101" s="141"/>
      <c r="Y101" s="141"/>
      <c r="Z101" s="141"/>
      <c r="AA101" s="141" t="n">
        <f aca="false">J101*P101</f>
        <v>4200</v>
      </c>
      <c r="AB101" s="141"/>
      <c r="AC101" s="141"/>
      <c r="AD101" s="141"/>
      <c r="AE101" s="141" t="n">
        <f aca="false">M101*P101</f>
        <v>1500</v>
      </c>
      <c r="AF101" s="141"/>
      <c r="AG101" s="141"/>
      <c r="AH101" s="142" t="n">
        <f aca="false">W101-AA101</f>
        <v>1400</v>
      </c>
      <c r="AI101" s="142"/>
      <c r="AJ101" s="142"/>
      <c r="AK101" s="142"/>
      <c r="AL101" s="143" t="n">
        <f aca="false">IFERROR(AH101/$AH$114,"$-")</f>
        <v>0.379506641366224</v>
      </c>
      <c r="AM101" s="143"/>
      <c r="AN101" s="143"/>
      <c r="AO101" s="143"/>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c r="AMI101" s="1"/>
      <c r="AMJ101" s="1"/>
    </row>
    <row r="102" customFormat="false" ht="10.5" hidden="false" customHeight="true" outlineLevel="0" collapsed="false">
      <c r="A102" s="98" t="n">
        <v>2</v>
      </c>
      <c r="B102" s="140" t="s">
        <v>256</v>
      </c>
      <c r="C102" s="140"/>
      <c r="D102" s="140"/>
      <c r="E102" s="140"/>
      <c r="F102" s="140"/>
      <c r="G102" s="140"/>
      <c r="H102" s="140"/>
      <c r="I102" s="140"/>
      <c r="J102" s="23" t="n">
        <v>100</v>
      </c>
      <c r="K102" s="23"/>
      <c r="L102" s="23"/>
      <c r="M102" s="23" t="n">
        <v>100</v>
      </c>
      <c r="N102" s="23"/>
      <c r="O102" s="23"/>
      <c r="P102" s="23" t="n">
        <v>10</v>
      </c>
      <c r="Q102" s="23"/>
      <c r="R102" s="23"/>
      <c r="S102" s="23" t="n">
        <v>15</v>
      </c>
      <c r="T102" s="23"/>
      <c r="U102" s="23"/>
      <c r="V102" s="23"/>
      <c r="W102" s="141" t="n">
        <f aca="false">J102*S102</f>
        <v>1500</v>
      </c>
      <c r="X102" s="141"/>
      <c r="Y102" s="141"/>
      <c r="Z102" s="141"/>
      <c r="AA102" s="141" t="n">
        <f aca="false">J102*P102</f>
        <v>1000</v>
      </c>
      <c r="AB102" s="141"/>
      <c r="AC102" s="141"/>
      <c r="AD102" s="141"/>
      <c r="AE102" s="141" t="n">
        <f aca="false">M102*P102</f>
        <v>1000</v>
      </c>
      <c r="AF102" s="141"/>
      <c r="AG102" s="141"/>
      <c r="AH102" s="142" t="n">
        <f aca="false">W102-AA102</f>
        <v>500</v>
      </c>
      <c r="AI102" s="142"/>
      <c r="AJ102" s="142"/>
      <c r="AK102" s="142"/>
      <c r="AL102" s="143" t="n">
        <f aca="false">IFERROR(AH102/$AH$114,"$-")</f>
        <v>0.135538086202223</v>
      </c>
      <c r="AM102" s="143"/>
      <c r="AN102" s="143"/>
      <c r="AO102" s="143"/>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c r="AMI102" s="1"/>
      <c r="AMJ102" s="1"/>
    </row>
    <row r="103" customFormat="false" ht="10.5" hidden="false" customHeight="true" outlineLevel="0" collapsed="false">
      <c r="A103" s="98" t="n">
        <v>3</v>
      </c>
      <c r="B103" s="140" t="s">
        <v>257</v>
      </c>
      <c r="C103" s="140"/>
      <c r="D103" s="140"/>
      <c r="E103" s="140"/>
      <c r="F103" s="140"/>
      <c r="G103" s="140"/>
      <c r="H103" s="140"/>
      <c r="I103" s="140"/>
      <c r="J103" s="23" t="n">
        <v>100</v>
      </c>
      <c r="K103" s="23"/>
      <c r="L103" s="23"/>
      <c r="M103" s="23" t="n">
        <v>100</v>
      </c>
      <c r="N103" s="23"/>
      <c r="O103" s="23"/>
      <c r="P103" s="23" t="n">
        <v>5</v>
      </c>
      <c r="Q103" s="23"/>
      <c r="R103" s="23"/>
      <c r="S103" s="23" t="n">
        <v>10</v>
      </c>
      <c r="T103" s="23"/>
      <c r="U103" s="23"/>
      <c r="V103" s="23"/>
      <c r="W103" s="141" t="n">
        <f aca="false">J103*S103</f>
        <v>1000</v>
      </c>
      <c r="X103" s="141"/>
      <c r="Y103" s="141"/>
      <c r="Z103" s="141"/>
      <c r="AA103" s="141" t="n">
        <f aca="false">J103*P103</f>
        <v>500</v>
      </c>
      <c r="AB103" s="141"/>
      <c r="AC103" s="141"/>
      <c r="AD103" s="141"/>
      <c r="AE103" s="141" t="n">
        <f aca="false">M103*P103</f>
        <v>500</v>
      </c>
      <c r="AF103" s="141"/>
      <c r="AG103" s="141"/>
      <c r="AH103" s="142" t="n">
        <f aca="false">W103-AA103</f>
        <v>500</v>
      </c>
      <c r="AI103" s="142"/>
      <c r="AJ103" s="142"/>
      <c r="AK103" s="142"/>
      <c r="AL103" s="143" t="n">
        <f aca="false">IFERROR(AH103/$AH$114,"$-")</f>
        <v>0.135538086202223</v>
      </c>
      <c r="AM103" s="143"/>
      <c r="AN103" s="143"/>
      <c r="AO103" s="143"/>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c r="AMI103" s="1"/>
      <c r="AMJ103" s="1"/>
    </row>
    <row r="104" customFormat="false" ht="10.5" hidden="false" customHeight="true" outlineLevel="0" collapsed="false">
      <c r="A104" s="98" t="n">
        <v>4</v>
      </c>
      <c r="B104" s="140" t="s">
        <v>258</v>
      </c>
      <c r="C104" s="140"/>
      <c r="D104" s="140"/>
      <c r="E104" s="140"/>
      <c r="F104" s="140"/>
      <c r="G104" s="140"/>
      <c r="H104" s="140"/>
      <c r="I104" s="140"/>
      <c r="J104" s="23" t="n">
        <v>100</v>
      </c>
      <c r="K104" s="23"/>
      <c r="L104" s="23"/>
      <c r="M104" s="23" t="n">
        <v>200</v>
      </c>
      <c r="N104" s="23"/>
      <c r="O104" s="23"/>
      <c r="P104" s="23" t="n">
        <v>5</v>
      </c>
      <c r="Q104" s="23"/>
      <c r="R104" s="23"/>
      <c r="S104" s="23" t="n">
        <v>10</v>
      </c>
      <c r="T104" s="23"/>
      <c r="U104" s="23"/>
      <c r="V104" s="23"/>
      <c r="W104" s="141" t="n">
        <f aca="false">J104*S104</f>
        <v>1000</v>
      </c>
      <c r="X104" s="141"/>
      <c r="Y104" s="141"/>
      <c r="Z104" s="141"/>
      <c r="AA104" s="141" t="n">
        <f aca="false">J104*P104</f>
        <v>500</v>
      </c>
      <c r="AB104" s="141"/>
      <c r="AC104" s="141"/>
      <c r="AD104" s="141"/>
      <c r="AE104" s="141" t="n">
        <f aca="false">M104*P104</f>
        <v>1000</v>
      </c>
      <c r="AF104" s="141"/>
      <c r="AG104" s="141"/>
      <c r="AH104" s="142" t="n">
        <f aca="false">W104-AA104</f>
        <v>500</v>
      </c>
      <c r="AI104" s="142"/>
      <c r="AJ104" s="142"/>
      <c r="AK104" s="142"/>
      <c r="AL104" s="143" t="n">
        <f aca="false">IFERROR(AH104/$AH$114,"$-")</f>
        <v>0.135538086202223</v>
      </c>
      <c r="AM104" s="143"/>
      <c r="AN104" s="143"/>
      <c r="AO104" s="143"/>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c r="AMI104" s="1"/>
      <c r="AMJ104" s="1"/>
    </row>
    <row r="105" customFormat="false" ht="10.5" hidden="false" customHeight="true" outlineLevel="0" collapsed="false">
      <c r="A105" s="98" t="n">
        <v>5</v>
      </c>
      <c r="B105" s="140" t="s">
        <v>259</v>
      </c>
      <c r="C105" s="140"/>
      <c r="D105" s="140"/>
      <c r="E105" s="140"/>
      <c r="F105" s="140"/>
      <c r="G105" s="140"/>
      <c r="H105" s="140"/>
      <c r="I105" s="140"/>
      <c r="J105" s="23" t="n">
        <v>100</v>
      </c>
      <c r="K105" s="23"/>
      <c r="L105" s="23"/>
      <c r="M105" s="23" t="n">
        <v>200</v>
      </c>
      <c r="N105" s="23"/>
      <c r="O105" s="23"/>
      <c r="P105" s="23" t="n">
        <v>1</v>
      </c>
      <c r="Q105" s="23"/>
      <c r="R105" s="23"/>
      <c r="S105" s="23" t="n">
        <v>2</v>
      </c>
      <c r="T105" s="23"/>
      <c r="U105" s="23"/>
      <c r="V105" s="23"/>
      <c r="W105" s="141" t="n">
        <f aca="false">J105*S105</f>
        <v>200</v>
      </c>
      <c r="X105" s="141"/>
      <c r="Y105" s="141"/>
      <c r="Z105" s="141"/>
      <c r="AA105" s="141" t="n">
        <f aca="false">J105*P105</f>
        <v>100</v>
      </c>
      <c r="AB105" s="141"/>
      <c r="AC105" s="141"/>
      <c r="AD105" s="141"/>
      <c r="AE105" s="141" t="n">
        <f aca="false">M105*P105</f>
        <v>200</v>
      </c>
      <c r="AF105" s="141"/>
      <c r="AG105" s="141"/>
      <c r="AH105" s="142" t="n">
        <f aca="false">W105-AA105</f>
        <v>100</v>
      </c>
      <c r="AI105" s="142"/>
      <c r="AJ105" s="142"/>
      <c r="AK105" s="142"/>
      <c r="AL105" s="143" t="n">
        <f aca="false">IFERROR(AH105/$AH$114,"$-")</f>
        <v>0.0271076172404446</v>
      </c>
      <c r="AM105" s="143"/>
      <c r="AN105" s="143"/>
      <c r="AO105" s="143"/>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c r="AMI105" s="1"/>
      <c r="AMJ105" s="1"/>
    </row>
    <row r="106" customFormat="false" ht="10.5" hidden="false" customHeight="true" outlineLevel="0" collapsed="false">
      <c r="A106" s="98" t="n">
        <v>6</v>
      </c>
      <c r="B106" s="140" t="s">
        <v>260</v>
      </c>
      <c r="C106" s="140"/>
      <c r="D106" s="140"/>
      <c r="E106" s="140"/>
      <c r="F106" s="140"/>
      <c r="G106" s="140"/>
      <c r="H106" s="140"/>
      <c r="I106" s="140"/>
      <c r="J106" s="23" t="n">
        <v>100</v>
      </c>
      <c r="K106" s="23"/>
      <c r="L106" s="23"/>
      <c r="M106" s="23" t="n">
        <v>200</v>
      </c>
      <c r="N106" s="23"/>
      <c r="O106" s="23"/>
      <c r="P106" s="23" t="n">
        <v>2</v>
      </c>
      <c r="Q106" s="23"/>
      <c r="R106" s="23"/>
      <c r="S106" s="23" t="n">
        <v>5</v>
      </c>
      <c r="T106" s="23"/>
      <c r="U106" s="23"/>
      <c r="V106" s="23"/>
      <c r="W106" s="141" t="n">
        <f aca="false">J106*S106</f>
        <v>500</v>
      </c>
      <c r="X106" s="141"/>
      <c r="Y106" s="141"/>
      <c r="Z106" s="141"/>
      <c r="AA106" s="141" t="n">
        <f aca="false">J106*P106</f>
        <v>200</v>
      </c>
      <c r="AB106" s="141"/>
      <c r="AC106" s="141"/>
      <c r="AD106" s="141"/>
      <c r="AE106" s="141" t="n">
        <f aca="false">M106*P106</f>
        <v>400</v>
      </c>
      <c r="AF106" s="141"/>
      <c r="AG106" s="141"/>
      <c r="AH106" s="142" t="n">
        <f aca="false">W106-AA106</f>
        <v>300</v>
      </c>
      <c r="AI106" s="142"/>
      <c r="AJ106" s="142"/>
      <c r="AK106" s="142"/>
      <c r="AL106" s="143" t="n">
        <f aca="false">IFERROR(AH106/$AH$114,"$-")</f>
        <v>0.0813228517213337</v>
      </c>
      <c r="AM106" s="143"/>
      <c r="AN106" s="143"/>
      <c r="AO106" s="143"/>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c r="AMI106" s="1"/>
      <c r="AMJ106" s="1"/>
    </row>
    <row r="107" customFormat="false" ht="10.5" hidden="false" customHeight="true" outlineLevel="0" collapsed="false">
      <c r="A107" s="98" t="n">
        <v>7</v>
      </c>
      <c r="B107" s="140" t="s">
        <v>261</v>
      </c>
      <c r="C107" s="140"/>
      <c r="D107" s="140"/>
      <c r="E107" s="140"/>
      <c r="F107" s="140"/>
      <c r="G107" s="140"/>
      <c r="H107" s="140"/>
      <c r="I107" s="140"/>
      <c r="J107" s="23" t="n">
        <v>100</v>
      </c>
      <c r="K107" s="23"/>
      <c r="L107" s="23"/>
      <c r="M107" s="23" t="n">
        <v>200</v>
      </c>
      <c r="N107" s="23"/>
      <c r="O107" s="23"/>
      <c r="P107" s="23" t="n">
        <v>2</v>
      </c>
      <c r="Q107" s="23"/>
      <c r="R107" s="23"/>
      <c r="S107" s="23" t="n">
        <v>6</v>
      </c>
      <c r="T107" s="23"/>
      <c r="U107" s="23"/>
      <c r="V107" s="23"/>
      <c r="W107" s="141" t="n">
        <f aca="false">J107*S107</f>
        <v>600</v>
      </c>
      <c r="X107" s="141"/>
      <c r="Y107" s="141"/>
      <c r="Z107" s="141"/>
      <c r="AA107" s="141" t="n">
        <f aca="false">J107*P107</f>
        <v>200</v>
      </c>
      <c r="AB107" s="141"/>
      <c r="AC107" s="141"/>
      <c r="AD107" s="141"/>
      <c r="AE107" s="141" t="n">
        <f aca="false">M107*P107</f>
        <v>400</v>
      </c>
      <c r="AF107" s="141"/>
      <c r="AG107" s="141"/>
      <c r="AH107" s="142" t="n">
        <f aca="false">W107-AA107</f>
        <v>400</v>
      </c>
      <c r="AI107" s="142"/>
      <c r="AJ107" s="142"/>
      <c r="AK107" s="142"/>
      <c r="AL107" s="143" t="n">
        <f aca="false">IFERROR(AH107/$AH$114,"$-")</f>
        <v>0.108430468961778</v>
      </c>
      <c r="AM107" s="143"/>
      <c r="AN107" s="143"/>
      <c r="AO107" s="143"/>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c r="AMI107" s="1"/>
      <c r="AMJ107" s="1"/>
    </row>
    <row r="108" customFormat="false" ht="10.5" hidden="false" customHeight="true" outlineLevel="0" collapsed="false">
      <c r="A108" s="98" t="n">
        <v>8</v>
      </c>
      <c r="B108" s="140" t="s">
        <v>262</v>
      </c>
      <c r="C108" s="140"/>
      <c r="D108" s="140"/>
      <c r="E108" s="140"/>
      <c r="F108" s="140"/>
      <c r="G108" s="140"/>
      <c r="H108" s="140"/>
      <c r="I108" s="140"/>
      <c r="J108" s="23" t="n">
        <v>25</v>
      </c>
      <c r="K108" s="23"/>
      <c r="L108" s="23"/>
      <c r="M108" s="23" t="n">
        <v>30</v>
      </c>
      <c r="N108" s="23"/>
      <c r="O108" s="23"/>
      <c r="P108" s="23" t="n">
        <v>15</v>
      </c>
      <c r="Q108" s="23"/>
      <c r="R108" s="23"/>
      <c r="S108" s="23" t="n">
        <v>25</v>
      </c>
      <c r="T108" s="23"/>
      <c r="U108" s="23"/>
      <c r="V108" s="23"/>
      <c r="W108" s="141" t="n">
        <f aca="false">J108*S108</f>
        <v>625</v>
      </c>
      <c r="X108" s="141"/>
      <c r="Y108" s="141"/>
      <c r="Z108" s="141"/>
      <c r="AA108" s="141" t="n">
        <f aca="false">J108*P108</f>
        <v>375</v>
      </c>
      <c r="AB108" s="141"/>
      <c r="AC108" s="141"/>
      <c r="AD108" s="141"/>
      <c r="AE108" s="141" t="n">
        <f aca="false">M108*P108</f>
        <v>450</v>
      </c>
      <c r="AF108" s="141"/>
      <c r="AG108" s="141"/>
      <c r="AH108" s="142" t="n">
        <f aca="false">W108-AA108</f>
        <v>250</v>
      </c>
      <c r="AI108" s="142"/>
      <c r="AJ108" s="142"/>
      <c r="AK108" s="142"/>
      <c r="AL108" s="143" t="n">
        <f aca="false">IFERROR(AH108/$AH$114,"$-")</f>
        <v>0.0677690431011114</v>
      </c>
      <c r="AM108" s="143"/>
      <c r="AN108" s="143"/>
      <c r="AO108" s="143"/>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c r="AMI108" s="1"/>
      <c r="AMJ108" s="1"/>
    </row>
    <row r="109" customFormat="false" ht="10.5" hidden="false" customHeight="true" outlineLevel="0" collapsed="false">
      <c r="A109" s="98" t="n">
        <v>9</v>
      </c>
      <c r="B109" s="140" t="s">
        <v>263</v>
      </c>
      <c r="C109" s="140"/>
      <c r="D109" s="140"/>
      <c r="E109" s="140"/>
      <c r="F109" s="140"/>
      <c r="G109" s="140"/>
      <c r="H109" s="140"/>
      <c r="I109" s="140"/>
      <c r="J109" s="23" t="n">
        <v>1</v>
      </c>
      <c r="K109" s="23"/>
      <c r="L109" s="23"/>
      <c r="M109" s="23"/>
      <c r="N109" s="23"/>
      <c r="O109" s="23"/>
      <c r="P109" s="23" t="n">
        <v>261</v>
      </c>
      <c r="Q109" s="23"/>
      <c r="R109" s="23"/>
      <c r="S109" s="23"/>
      <c r="T109" s="23"/>
      <c r="U109" s="23"/>
      <c r="V109" s="23"/>
      <c r="W109" s="141" t="n">
        <f aca="false">J109*S109</f>
        <v>0</v>
      </c>
      <c r="X109" s="141"/>
      <c r="Y109" s="141"/>
      <c r="Z109" s="141"/>
      <c r="AA109" s="141" t="n">
        <f aca="false">J109*P109</f>
        <v>261</v>
      </c>
      <c r="AB109" s="141"/>
      <c r="AC109" s="141"/>
      <c r="AD109" s="141"/>
      <c r="AE109" s="141" t="n">
        <f aca="false">M109*P109</f>
        <v>0</v>
      </c>
      <c r="AF109" s="141"/>
      <c r="AG109" s="141"/>
      <c r="AH109" s="142" t="n">
        <f aca="false">W109-AA109</f>
        <v>-261</v>
      </c>
      <c r="AI109" s="142"/>
      <c r="AJ109" s="142"/>
      <c r="AK109" s="142"/>
      <c r="AL109" s="143" t="n">
        <f aca="false">IFERROR(AH109/$AH$114,"$-")</f>
        <v>-0.0707508809975603</v>
      </c>
      <c r="AM109" s="143"/>
      <c r="AN109" s="143"/>
      <c r="AO109" s="143"/>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c r="AMJ109" s="1"/>
    </row>
    <row r="110" customFormat="false" ht="10.5" hidden="false" customHeight="true" outlineLevel="0" collapsed="false">
      <c r="A110" s="98" t="n">
        <v>10</v>
      </c>
      <c r="B110" s="140"/>
      <c r="C110" s="140"/>
      <c r="D110" s="140"/>
      <c r="E110" s="140"/>
      <c r="F110" s="140"/>
      <c r="G110" s="140"/>
      <c r="H110" s="140"/>
      <c r="I110" s="140"/>
      <c r="J110" s="23"/>
      <c r="K110" s="23"/>
      <c r="L110" s="23"/>
      <c r="M110" s="23"/>
      <c r="N110" s="23"/>
      <c r="O110" s="23"/>
      <c r="P110" s="23"/>
      <c r="Q110" s="23"/>
      <c r="R110" s="23"/>
      <c r="S110" s="23"/>
      <c r="T110" s="23"/>
      <c r="U110" s="23"/>
      <c r="V110" s="23"/>
      <c r="W110" s="141" t="n">
        <f aca="false">J110*S110</f>
        <v>0</v>
      </c>
      <c r="X110" s="141"/>
      <c r="Y110" s="141"/>
      <c r="Z110" s="141"/>
      <c r="AA110" s="141" t="n">
        <f aca="false">J110*P110</f>
        <v>0</v>
      </c>
      <c r="AB110" s="141"/>
      <c r="AC110" s="141"/>
      <c r="AD110" s="141"/>
      <c r="AE110" s="141" t="n">
        <f aca="false">M110*P110</f>
        <v>0</v>
      </c>
      <c r="AF110" s="141"/>
      <c r="AG110" s="141"/>
      <c r="AH110" s="142" t="n">
        <f aca="false">W110-AA110</f>
        <v>0</v>
      </c>
      <c r="AI110" s="142"/>
      <c r="AJ110" s="142"/>
      <c r="AK110" s="142"/>
      <c r="AL110" s="143" t="n">
        <f aca="false">IFERROR(AH110/$AH$114,"$-")</f>
        <v>0</v>
      </c>
      <c r="AM110" s="143"/>
      <c r="AN110" s="143"/>
      <c r="AO110" s="143"/>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c r="AMI110" s="1"/>
      <c r="AMJ110" s="1"/>
    </row>
    <row r="111" customFormat="false" ht="10.5" hidden="false" customHeight="true" outlineLevel="0" collapsed="false">
      <c r="A111" s="98" t="n">
        <v>11</v>
      </c>
      <c r="B111" s="140"/>
      <c r="C111" s="140"/>
      <c r="D111" s="140"/>
      <c r="E111" s="140"/>
      <c r="F111" s="140"/>
      <c r="G111" s="140"/>
      <c r="H111" s="140"/>
      <c r="I111" s="140"/>
      <c r="J111" s="23"/>
      <c r="K111" s="23"/>
      <c r="L111" s="23"/>
      <c r="M111" s="23"/>
      <c r="N111" s="23"/>
      <c r="O111" s="23"/>
      <c r="P111" s="23"/>
      <c r="Q111" s="23"/>
      <c r="R111" s="23"/>
      <c r="S111" s="23"/>
      <c r="T111" s="23"/>
      <c r="U111" s="23"/>
      <c r="V111" s="23"/>
      <c r="W111" s="141" t="n">
        <f aca="false">J111*S111</f>
        <v>0</v>
      </c>
      <c r="X111" s="141"/>
      <c r="Y111" s="141"/>
      <c r="Z111" s="141"/>
      <c r="AA111" s="141" t="n">
        <f aca="false">J111*P111</f>
        <v>0</v>
      </c>
      <c r="AB111" s="141"/>
      <c r="AC111" s="141"/>
      <c r="AD111" s="141"/>
      <c r="AE111" s="141" t="n">
        <f aca="false">M111*P111</f>
        <v>0</v>
      </c>
      <c r="AF111" s="141"/>
      <c r="AG111" s="141"/>
      <c r="AH111" s="142" t="n">
        <f aca="false">W111-AA111</f>
        <v>0</v>
      </c>
      <c r="AI111" s="142"/>
      <c r="AJ111" s="142"/>
      <c r="AK111" s="142"/>
      <c r="AL111" s="143" t="n">
        <f aca="false">IFERROR(AH111/$AH$114,"$-")</f>
        <v>0</v>
      </c>
      <c r="AM111" s="143"/>
      <c r="AN111" s="143"/>
      <c r="AO111" s="143"/>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c r="AMI111" s="1"/>
      <c r="AMJ111" s="1"/>
    </row>
    <row r="112" customFormat="false" ht="10.5" hidden="false" customHeight="true" outlineLevel="0" collapsed="false">
      <c r="A112" s="98" t="n">
        <v>12</v>
      </c>
      <c r="B112" s="140"/>
      <c r="C112" s="140"/>
      <c r="D112" s="140"/>
      <c r="E112" s="140"/>
      <c r="F112" s="140"/>
      <c r="G112" s="140"/>
      <c r="H112" s="140"/>
      <c r="I112" s="140"/>
      <c r="J112" s="23"/>
      <c r="K112" s="23"/>
      <c r="L112" s="23"/>
      <c r="M112" s="23"/>
      <c r="N112" s="23"/>
      <c r="O112" s="23"/>
      <c r="P112" s="23"/>
      <c r="Q112" s="23"/>
      <c r="R112" s="23"/>
      <c r="S112" s="23"/>
      <c r="T112" s="23"/>
      <c r="U112" s="23"/>
      <c r="V112" s="23"/>
      <c r="W112" s="141" t="n">
        <f aca="false">J112*S112</f>
        <v>0</v>
      </c>
      <c r="X112" s="141"/>
      <c r="Y112" s="141"/>
      <c r="Z112" s="141"/>
      <c r="AA112" s="141" t="n">
        <f aca="false">J112*P112</f>
        <v>0</v>
      </c>
      <c r="AB112" s="141"/>
      <c r="AC112" s="141"/>
      <c r="AD112" s="141"/>
      <c r="AE112" s="141" t="n">
        <f aca="false">M112*P112</f>
        <v>0</v>
      </c>
      <c r="AF112" s="141"/>
      <c r="AG112" s="141"/>
      <c r="AH112" s="142" t="n">
        <f aca="false">W112-AA112</f>
        <v>0</v>
      </c>
      <c r="AI112" s="142"/>
      <c r="AJ112" s="142"/>
      <c r="AK112" s="142"/>
      <c r="AL112" s="143" t="n">
        <f aca="false">IFERROR(AH112/$AH$114,"$-")</f>
        <v>0</v>
      </c>
      <c r="AM112" s="143"/>
      <c r="AN112" s="143"/>
      <c r="AO112" s="143"/>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c r="AMI112" s="1"/>
      <c r="AMJ112" s="1"/>
    </row>
    <row r="113" customFormat="false" ht="10.5" hidden="false" customHeight="true" outlineLevel="0" collapsed="false">
      <c r="A113" s="98" t="n">
        <v>13</v>
      </c>
      <c r="B113" s="140"/>
      <c r="C113" s="140"/>
      <c r="D113" s="140"/>
      <c r="E113" s="140"/>
      <c r="F113" s="140"/>
      <c r="G113" s="140"/>
      <c r="H113" s="140"/>
      <c r="I113" s="140"/>
      <c r="J113" s="23"/>
      <c r="K113" s="23"/>
      <c r="L113" s="23"/>
      <c r="M113" s="23"/>
      <c r="N113" s="23"/>
      <c r="O113" s="23"/>
      <c r="P113" s="23"/>
      <c r="Q113" s="23"/>
      <c r="R113" s="23"/>
      <c r="S113" s="23"/>
      <c r="T113" s="23"/>
      <c r="U113" s="23"/>
      <c r="V113" s="23"/>
      <c r="W113" s="144" t="n">
        <f aca="false">J113*S113</f>
        <v>0</v>
      </c>
      <c r="X113" s="144"/>
      <c r="Y113" s="144"/>
      <c r="Z113" s="144"/>
      <c r="AA113" s="144" t="n">
        <f aca="false">J113*P113</f>
        <v>0</v>
      </c>
      <c r="AB113" s="144"/>
      <c r="AC113" s="144"/>
      <c r="AD113" s="144"/>
      <c r="AE113" s="144" t="n">
        <f aca="false">M113*P113</f>
        <v>0</v>
      </c>
      <c r="AF113" s="144"/>
      <c r="AG113" s="144"/>
      <c r="AH113" s="145" t="n">
        <f aca="false">W113-AA113</f>
        <v>0</v>
      </c>
      <c r="AI113" s="145"/>
      <c r="AJ113" s="145"/>
      <c r="AK113" s="145"/>
      <c r="AL113" s="143" t="n">
        <f aca="false">IFERROR(AH113/$AH$114,"$-")</f>
        <v>0</v>
      </c>
      <c r="AM113" s="143"/>
      <c r="AN113" s="143"/>
      <c r="AO113" s="143"/>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c r="AMJ113" s="1"/>
    </row>
    <row r="114" customFormat="false" ht="10.5" hidden="false" customHeight="true" outlineLevel="0" collapsed="false">
      <c r="A114" s="146" t="s">
        <v>264</v>
      </c>
      <c r="B114" s="146"/>
      <c r="C114" s="146"/>
      <c r="D114" s="146"/>
      <c r="E114" s="146"/>
      <c r="F114" s="146"/>
      <c r="G114" s="146"/>
      <c r="H114" s="146"/>
      <c r="I114" s="146"/>
      <c r="J114" s="146"/>
      <c r="K114" s="146"/>
      <c r="L114" s="146"/>
      <c r="M114" s="146"/>
      <c r="N114" s="146"/>
      <c r="O114" s="146"/>
      <c r="P114" s="146"/>
      <c r="Q114" s="146"/>
      <c r="R114" s="146"/>
      <c r="S114" s="146"/>
      <c r="T114" s="146"/>
      <c r="U114" s="146"/>
      <c r="V114" s="146"/>
      <c r="W114" s="147" t="n">
        <f aca="false">SUM(W101:Z113)</f>
        <v>11025</v>
      </c>
      <c r="X114" s="147"/>
      <c r="Y114" s="147"/>
      <c r="Z114" s="147"/>
      <c r="AA114" s="147" t="n">
        <f aca="false">SUM(AA101:AD113)</f>
        <v>7336</v>
      </c>
      <c r="AB114" s="147"/>
      <c r="AC114" s="147"/>
      <c r="AD114" s="147"/>
      <c r="AE114" s="147" t="n">
        <f aca="false">SUM(AE101:AG113)</f>
        <v>5450</v>
      </c>
      <c r="AF114" s="147"/>
      <c r="AG114" s="147"/>
      <c r="AH114" s="147" t="n">
        <f aca="false">SUM(AH101:AK113)</f>
        <v>3689</v>
      </c>
      <c r="AI114" s="147"/>
      <c r="AJ114" s="147"/>
      <c r="AK114" s="147"/>
      <c r="AL114" s="148" t="n">
        <f aca="false">SUM(AL101:AO113)</f>
        <v>1</v>
      </c>
      <c r="AM114" s="148"/>
      <c r="AN114" s="148"/>
      <c r="AO114" s="148"/>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c r="AMJ114" s="1"/>
    </row>
    <row r="115" customFormat="false" ht="10.5" hidden="false" customHeight="true" outlineLevel="0" collapsed="false">
      <c r="A115" s="149"/>
      <c r="B115" s="130"/>
      <c r="C115" s="27"/>
      <c r="D115" s="27"/>
      <c r="E115" s="27"/>
      <c r="F115" s="27"/>
      <c r="G115" s="27"/>
      <c r="H115" s="27"/>
      <c r="I115" s="27"/>
      <c r="J115" s="27"/>
      <c r="K115" s="27"/>
      <c r="L115" s="27"/>
      <c r="M115" s="27"/>
      <c r="N115" s="27"/>
      <c r="O115" s="27"/>
      <c r="P115" s="27"/>
      <c r="Q115" s="27"/>
      <c r="R115" s="27"/>
      <c r="S115" s="27"/>
      <c r="T115" s="27"/>
      <c r="U115" s="130"/>
      <c r="V115" s="130"/>
      <c r="W115" s="130"/>
      <c r="X115" s="130"/>
      <c r="Y115" s="130"/>
      <c r="Z115" s="130"/>
      <c r="AA115" s="130"/>
      <c r="AB115" s="130"/>
      <c r="AC115" s="130"/>
      <c r="AD115" s="130"/>
      <c r="AE115" s="130"/>
      <c r="AF115" s="130"/>
      <c r="AG115" s="130"/>
      <c r="AH115" s="130"/>
      <c r="AI115" s="150"/>
      <c r="AJ115" s="150"/>
      <c r="AK115" s="150"/>
      <c r="AL115" s="150"/>
      <c r="AM115" s="150"/>
      <c r="AN115" s="150"/>
      <c r="AO115" s="15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c r="AMJ115" s="1"/>
    </row>
    <row r="116" customFormat="false" ht="10.5" hidden="false" customHeight="true" outlineLevel="0" collapsed="false">
      <c r="A116" s="48" t="s">
        <v>265</v>
      </c>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8"/>
      <c r="AN116" s="48"/>
      <c r="AO116" s="48"/>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c r="AMI116" s="1"/>
      <c r="AMJ116" s="1"/>
    </row>
    <row r="117" s="90" customFormat="true" ht="10.5" hidden="false" customHeight="true" outlineLevel="0" collapsed="false">
      <c r="A117" s="152" t="s">
        <v>266</v>
      </c>
      <c r="B117" s="152"/>
      <c r="C117" s="152"/>
      <c r="D117" s="152"/>
      <c r="E117" s="152"/>
      <c r="F117" s="152"/>
      <c r="G117" s="152"/>
      <c r="H117" s="152"/>
      <c r="I117" s="152"/>
      <c r="J117" s="152"/>
      <c r="K117" s="152"/>
      <c r="L117" s="152"/>
      <c r="M117" s="152"/>
      <c r="N117" s="152"/>
      <c r="O117" s="152"/>
      <c r="P117" s="152"/>
      <c r="Q117" s="152"/>
      <c r="R117" s="152"/>
      <c r="S117" s="153"/>
      <c r="T117" s="153"/>
      <c r="U117" s="154" t="s">
        <v>267</v>
      </c>
      <c r="V117" s="154"/>
      <c r="W117" s="154"/>
      <c r="X117" s="154"/>
      <c r="Y117" s="154"/>
      <c r="Z117" s="154"/>
      <c r="AA117" s="154"/>
      <c r="AB117" s="154"/>
      <c r="AC117" s="154"/>
      <c r="AD117" s="154"/>
      <c r="AE117" s="154"/>
      <c r="AF117" s="154"/>
      <c r="AG117" s="154"/>
      <c r="AH117" s="154"/>
      <c r="AI117" s="154"/>
      <c r="AJ117" s="154"/>
      <c r="AK117" s="154"/>
      <c r="AL117" s="154"/>
      <c r="AM117" s="154"/>
      <c r="AN117" s="154"/>
      <c r="AO117" s="154"/>
      <c r="AP117" s="7"/>
      <c r="AQ117" s="7"/>
      <c r="AR117" s="7"/>
      <c r="AS117" s="7"/>
      <c r="AT117" s="7"/>
      <c r="AU117" s="7"/>
      <c r="AV117" s="7"/>
      <c r="AW117" s="7"/>
      <c r="AX117" s="7"/>
      <c r="AY117" s="7"/>
      <c r="AZ117" s="7"/>
      <c r="BA117" s="7"/>
      <c r="BB117" s="7"/>
      <c r="BC117" s="7"/>
    </row>
    <row r="118" s="90" customFormat="true" ht="10.5" hidden="false" customHeight="true" outlineLevel="0" collapsed="false">
      <c r="A118" s="152" t="s">
        <v>268</v>
      </c>
      <c r="B118" s="152"/>
      <c r="C118" s="152"/>
      <c r="D118" s="152"/>
      <c r="E118" s="152"/>
      <c r="F118" s="152"/>
      <c r="G118" s="152"/>
      <c r="H118" s="152"/>
      <c r="I118" s="152"/>
      <c r="J118" s="155" t="s">
        <v>269</v>
      </c>
      <c r="K118" s="155"/>
      <c r="L118" s="155"/>
      <c r="M118" s="155" t="s">
        <v>270</v>
      </c>
      <c r="N118" s="155"/>
      <c r="O118" s="155"/>
      <c r="P118" s="154" t="s">
        <v>271</v>
      </c>
      <c r="Q118" s="154"/>
      <c r="R118" s="154"/>
      <c r="S118" s="153"/>
      <c r="T118" s="153"/>
      <c r="U118" s="152" t="s">
        <v>272</v>
      </c>
      <c r="V118" s="152"/>
      <c r="W118" s="152"/>
      <c r="X118" s="152"/>
      <c r="Y118" s="152"/>
      <c r="Z118" s="152"/>
      <c r="AA118" s="152"/>
      <c r="AB118" s="152"/>
      <c r="AC118" s="152"/>
      <c r="AD118" s="152"/>
      <c r="AE118" s="152"/>
      <c r="AF118" s="152"/>
      <c r="AG118" s="155" t="s">
        <v>269</v>
      </c>
      <c r="AH118" s="155"/>
      <c r="AI118" s="155"/>
      <c r="AJ118" s="155" t="s">
        <v>270</v>
      </c>
      <c r="AK118" s="155"/>
      <c r="AL118" s="155"/>
      <c r="AM118" s="154" t="s">
        <v>271</v>
      </c>
      <c r="AN118" s="154"/>
      <c r="AO118" s="154"/>
      <c r="AP118" s="7"/>
      <c r="AQ118" s="7"/>
      <c r="AR118" s="7"/>
      <c r="AS118" s="7"/>
      <c r="AT118" s="7"/>
      <c r="AU118" s="7"/>
      <c r="AV118" s="7"/>
      <c r="AW118" s="7"/>
      <c r="AX118" s="7"/>
      <c r="AY118" s="7"/>
      <c r="AZ118" s="7"/>
      <c r="BA118" s="7"/>
      <c r="BB118" s="7"/>
      <c r="BC118" s="7"/>
    </row>
    <row r="119" customFormat="false" ht="10.5" hidden="false" customHeight="true" outlineLevel="0" collapsed="false">
      <c r="A119" s="156"/>
      <c r="B119" s="156"/>
      <c r="C119" s="156"/>
      <c r="D119" s="156"/>
      <c r="E119" s="156"/>
      <c r="F119" s="156"/>
      <c r="G119" s="156"/>
      <c r="H119" s="156"/>
      <c r="I119" s="156"/>
      <c r="J119" s="157"/>
      <c r="K119" s="157"/>
      <c r="L119" s="157"/>
      <c r="M119" s="158"/>
      <c r="N119" s="158"/>
      <c r="O119" s="158"/>
      <c r="P119" s="159" t="n">
        <f aca="false">J119*M119</f>
        <v>0</v>
      </c>
      <c r="Q119" s="159"/>
      <c r="R119" s="159"/>
      <c r="S119" s="153"/>
      <c r="T119" s="153"/>
      <c r="U119" s="160"/>
      <c r="V119" s="160"/>
      <c r="W119" s="160"/>
      <c r="X119" s="160"/>
      <c r="Y119" s="160"/>
      <c r="Z119" s="160"/>
      <c r="AA119" s="160"/>
      <c r="AB119" s="160"/>
      <c r="AC119" s="160"/>
      <c r="AD119" s="160"/>
      <c r="AE119" s="160"/>
      <c r="AF119" s="160"/>
      <c r="AG119" s="161"/>
      <c r="AH119" s="161"/>
      <c r="AI119" s="161"/>
      <c r="AJ119" s="162"/>
      <c r="AK119" s="162"/>
      <c r="AL119" s="162"/>
      <c r="AM119" s="163" t="n">
        <f aca="false">AG119*AJ119</f>
        <v>0</v>
      </c>
      <c r="AN119" s="163"/>
      <c r="AO119" s="163"/>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c r="AMI119" s="1"/>
      <c r="AMJ119" s="1"/>
    </row>
    <row r="120" customFormat="false" ht="10.5" hidden="false" customHeight="true" outlineLevel="0" collapsed="false">
      <c r="A120" s="164"/>
      <c r="B120" s="164"/>
      <c r="C120" s="164"/>
      <c r="D120" s="164"/>
      <c r="E120" s="164"/>
      <c r="F120" s="164"/>
      <c r="G120" s="164"/>
      <c r="H120" s="164"/>
      <c r="I120" s="164"/>
      <c r="J120" s="165"/>
      <c r="K120" s="165"/>
      <c r="L120" s="165"/>
      <c r="M120" s="166"/>
      <c r="N120" s="166"/>
      <c r="O120" s="166"/>
      <c r="P120" s="167" t="n">
        <f aca="false">J120*M120</f>
        <v>0</v>
      </c>
      <c r="Q120" s="167"/>
      <c r="R120" s="167"/>
      <c r="S120" s="153"/>
      <c r="T120" s="153"/>
      <c r="U120" s="168"/>
      <c r="V120" s="168"/>
      <c r="W120" s="168"/>
      <c r="X120" s="168"/>
      <c r="Y120" s="168"/>
      <c r="Z120" s="168"/>
      <c r="AA120" s="168"/>
      <c r="AB120" s="168"/>
      <c r="AC120" s="168"/>
      <c r="AD120" s="168"/>
      <c r="AE120" s="168"/>
      <c r="AF120" s="168"/>
      <c r="AG120" s="169"/>
      <c r="AH120" s="169"/>
      <c r="AI120" s="169"/>
      <c r="AJ120" s="170"/>
      <c r="AK120" s="170"/>
      <c r="AL120" s="170"/>
      <c r="AM120" s="142" t="n">
        <f aca="false">AG120*AJ120</f>
        <v>0</v>
      </c>
      <c r="AN120" s="142"/>
      <c r="AO120" s="142"/>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c r="AMI120" s="1"/>
      <c r="AMJ120" s="1"/>
    </row>
    <row r="121" customFormat="false" ht="10.5" hidden="false" customHeight="true" outlineLevel="0" collapsed="false">
      <c r="A121" s="164"/>
      <c r="B121" s="164"/>
      <c r="C121" s="164"/>
      <c r="D121" s="164"/>
      <c r="E121" s="164"/>
      <c r="F121" s="164"/>
      <c r="G121" s="164"/>
      <c r="H121" s="164"/>
      <c r="I121" s="164"/>
      <c r="J121" s="165"/>
      <c r="K121" s="165"/>
      <c r="L121" s="165"/>
      <c r="M121" s="166"/>
      <c r="N121" s="166"/>
      <c r="O121" s="166"/>
      <c r="P121" s="167" t="n">
        <f aca="false">J121*M121</f>
        <v>0</v>
      </c>
      <c r="Q121" s="167"/>
      <c r="R121" s="167"/>
      <c r="S121" s="153"/>
      <c r="T121" s="153"/>
      <c r="U121" s="168"/>
      <c r="V121" s="168"/>
      <c r="W121" s="168"/>
      <c r="X121" s="168"/>
      <c r="Y121" s="168"/>
      <c r="Z121" s="168"/>
      <c r="AA121" s="168"/>
      <c r="AB121" s="168"/>
      <c r="AC121" s="168"/>
      <c r="AD121" s="168"/>
      <c r="AE121" s="168"/>
      <c r="AF121" s="168"/>
      <c r="AG121" s="169"/>
      <c r="AH121" s="169"/>
      <c r="AI121" s="169"/>
      <c r="AJ121" s="170"/>
      <c r="AK121" s="170"/>
      <c r="AL121" s="170"/>
      <c r="AM121" s="142" t="n">
        <f aca="false">AG121*AJ121</f>
        <v>0</v>
      </c>
      <c r="AN121" s="142"/>
      <c r="AO121" s="142"/>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c r="AMI121" s="1"/>
      <c r="AMJ121" s="1"/>
    </row>
    <row r="122" customFormat="false" ht="10.5" hidden="false" customHeight="true" outlineLevel="0" collapsed="false">
      <c r="A122" s="164"/>
      <c r="B122" s="164"/>
      <c r="C122" s="164"/>
      <c r="D122" s="164"/>
      <c r="E122" s="164"/>
      <c r="F122" s="164"/>
      <c r="G122" s="164"/>
      <c r="H122" s="164"/>
      <c r="I122" s="164"/>
      <c r="J122" s="165"/>
      <c r="K122" s="165"/>
      <c r="L122" s="165"/>
      <c r="M122" s="166"/>
      <c r="N122" s="166"/>
      <c r="O122" s="166"/>
      <c r="P122" s="167" t="n">
        <f aca="false">J122*M122</f>
        <v>0</v>
      </c>
      <c r="Q122" s="167"/>
      <c r="R122" s="167"/>
      <c r="S122" s="153"/>
      <c r="T122" s="153"/>
      <c r="U122" s="168"/>
      <c r="V122" s="168"/>
      <c r="W122" s="168"/>
      <c r="X122" s="168"/>
      <c r="Y122" s="168"/>
      <c r="Z122" s="168"/>
      <c r="AA122" s="168"/>
      <c r="AB122" s="168"/>
      <c r="AC122" s="168"/>
      <c r="AD122" s="168"/>
      <c r="AE122" s="168"/>
      <c r="AF122" s="168"/>
      <c r="AG122" s="169"/>
      <c r="AH122" s="169"/>
      <c r="AI122" s="169"/>
      <c r="AJ122" s="170"/>
      <c r="AK122" s="170"/>
      <c r="AL122" s="170"/>
      <c r="AM122" s="142" t="n">
        <f aca="false">AG122*AJ122</f>
        <v>0</v>
      </c>
      <c r="AN122" s="142"/>
      <c r="AO122" s="142"/>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c r="AMI122" s="1"/>
      <c r="AMJ122" s="1"/>
    </row>
    <row r="123" customFormat="false" ht="10.5" hidden="false" customHeight="true" outlineLevel="0" collapsed="false">
      <c r="A123" s="164"/>
      <c r="B123" s="164"/>
      <c r="C123" s="164"/>
      <c r="D123" s="164"/>
      <c r="E123" s="164"/>
      <c r="F123" s="164"/>
      <c r="G123" s="164"/>
      <c r="H123" s="164"/>
      <c r="I123" s="164"/>
      <c r="J123" s="165"/>
      <c r="K123" s="165"/>
      <c r="L123" s="165"/>
      <c r="M123" s="166"/>
      <c r="N123" s="166"/>
      <c r="O123" s="166"/>
      <c r="P123" s="167" t="n">
        <f aca="false">J123*M123</f>
        <v>0</v>
      </c>
      <c r="Q123" s="167"/>
      <c r="R123" s="167"/>
      <c r="S123" s="153"/>
      <c r="T123" s="153"/>
      <c r="U123" s="168"/>
      <c r="V123" s="168"/>
      <c r="W123" s="168"/>
      <c r="X123" s="168"/>
      <c r="Y123" s="168"/>
      <c r="Z123" s="168"/>
      <c r="AA123" s="168"/>
      <c r="AB123" s="168"/>
      <c r="AC123" s="168"/>
      <c r="AD123" s="168"/>
      <c r="AE123" s="168"/>
      <c r="AF123" s="168"/>
      <c r="AG123" s="169"/>
      <c r="AH123" s="169"/>
      <c r="AI123" s="169"/>
      <c r="AJ123" s="170"/>
      <c r="AK123" s="170"/>
      <c r="AL123" s="170"/>
      <c r="AM123" s="142" t="n">
        <f aca="false">AG123*AJ123</f>
        <v>0</v>
      </c>
      <c r="AN123" s="142"/>
      <c r="AO123" s="142"/>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c r="AMI123" s="1"/>
      <c r="AMJ123" s="1"/>
    </row>
    <row r="124" customFormat="false" ht="10.5" hidden="false" customHeight="true" outlineLevel="0" collapsed="false">
      <c r="A124" s="164"/>
      <c r="B124" s="164"/>
      <c r="C124" s="164"/>
      <c r="D124" s="164"/>
      <c r="E124" s="164"/>
      <c r="F124" s="164"/>
      <c r="G124" s="164"/>
      <c r="H124" s="164"/>
      <c r="I124" s="164"/>
      <c r="J124" s="165"/>
      <c r="K124" s="165"/>
      <c r="L124" s="165"/>
      <c r="M124" s="166"/>
      <c r="N124" s="166"/>
      <c r="O124" s="166"/>
      <c r="P124" s="167" t="n">
        <f aca="false">J124*M124</f>
        <v>0</v>
      </c>
      <c r="Q124" s="167"/>
      <c r="R124" s="167"/>
      <c r="S124" s="153"/>
      <c r="T124" s="153"/>
      <c r="U124" s="168"/>
      <c r="V124" s="168"/>
      <c r="W124" s="168"/>
      <c r="X124" s="168"/>
      <c r="Y124" s="168"/>
      <c r="Z124" s="168"/>
      <c r="AA124" s="168"/>
      <c r="AB124" s="168"/>
      <c r="AC124" s="168"/>
      <c r="AD124" s="168"/>
      <c r="AE124" s="168"/>
      <c r="AF124" s="168"/>
      <c r="AG124" s="169"/>
      <c r="AH124" s="169"/>
      <c r="AI124" s="169"/>
      <c r="AJ124" s="170"/>
      <c r="AK124" s="170"/>
      <c r="AL124" s="170"/>
      <c r="AM124" s="142" t="n">
        <f aca="false">AG124*AJ124</f>
        <v>0</v>
      </c>
      <c r="AN124" s="142"/>
      <c r="AO124" s="142"/>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c r="AMI124" s="1"/>
      <c r="AMJ124" s="1"/>
    </row>
    <row r="125" customFormat="false" ht="10.5" hidden="false" customHeight="true" outlineLevel="0" collapsed="false">
      <c r="A125" s="164"/>
      <c r="B125" s="164"/>
      <c r="C125" s="164"/>
      <c r="D125" s="164"/>
      <c r="E125" s="164"/>
      <c r="F125" s="164"/>
      <c r="G125" s="164"/>
      <c r="H125" s="164"/>
      <c r="I125" s="164"/>
      <c r="J125" s="165"/>
      <c r="K125" s="165"/>
      <c r="L125" s="165"/>
      <c r="M125" s="166"/>
      <c r="N125" s="166"/>
      <c r="O125" s="166"/>
      <c r="P125" s="167" t="n">
        <f aca="false">J125*M125</f>
        <v>0</v>
      </c>
      <c r="Q125" s="167"/>
      <c r="R125" s="167"/>
      <c r="S125" s="153"/>
      <c r="T125" s="153"/>
      <c r="U125" s="168"/>
      <c r="V125" s="168"/>
      <c r="W125" s="168"/>
      <c r="X125" s="168"/>
      <c r="Y125" s="168"/>
      <c r="Z125" s="168"/>
      <c r="AA125" s="168"/>
      <c r="AB125" s="168"/>
      <c r="AC125" s="168"/>
      <c r="AD125" s="168"/>
      <c r="AE125" s="168"/>
      <c r="AF125" s="168"/>
      <c r="AG125" s="169"/>
      <c r="AH125" s="169"/>
      <c r="AI125" s="169"/>
      <c r="AJ125" s="170"/>
      <c r="AK125" s="170"/>
      <c r="AL125" s="170"/>
      <c r="AM125" s="142" t="n">
        <f aca="false">AG125*AJ125</f>
        <v>0</v>
      </c>
      <c r="AN125" s="142"/>
      <c r="AO125" s="142"/>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c r="AMI125" s="1"/>
      <c r="AMJ125" s="1"/>
    </row>
    <row r="126" customFormat="false" ht="10.5" hidden="false" customHeight="true" outlineLevel="0" collapsed="false">
      <c r="A126" s="171"/>
      <c r="B126" s="171"/>
      <c r="C126" s="171"/>
      <c r="D126" s="171"/>
      <c r="E126" s="171"/>
      <c r="F126" s="171"/>
      <c r="G126" s="171"/>
      <c r="H126" s="171"/>
      <c r="I126" s="171"/>
      <c r="J126" s="172"/>
      <c r="K126" s="172"/>
      <c r="L126" s="172"/>
      <c r="M126" s="173"/>
      <c r="N126" s="173"/>
      <c r="O126" s="173"/>
      <c r="P126" s="174" t="n">
        <f aca="false">J126*M126</f>
        <v>0</v>
      </c>
      <c r="Q126" s="174"/>
      <c r="R126" s="174"/>
      <c r="S126" s="153"/>
      <c r="T126" s="153"/>
      <c r="U126" s="175"/>
      <c r="V126" s="175"/>
      <c r="W126" s="175"/>
      <c r="X126" s="175"/>
      <c r="Y126" s="175"/>
      <c r="Z126" s="175"/>
      <c r="AA126" s="175"/>
      <c r="AB126" s="175"/>
      <c r="AC126" s="175"/>
      <c r="AD126" s="175"/>
      <c r="AE126" s="175"/>
      <c r="AF126" s="175"/>
      <c r="AG126" s="176"/>
      <c r="AH126" s="176"/>
      <c r="AI126" s="176"/>
      <c r="AJ126" s="177"/>
      <c r="AK126" s="177"/>
      <c r="AL126" s="177"/>
      <c r="AM126" s="145" t="n">
        <f aca="false">AG126*AJ126</f>
        <v>0</v>
      </c>
      <c r="AN126" s="145"/>
      <c r="AO126" s="145"/>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c r="AMI126" s="1"/>
      <c r="AMJ126" s="1"/>
    </row>
    <row r="127" customFormat="false" ht="10.5" hidden="false" customHeight="true" outlineLevel="0" collapsed="false">
      <c r="A127" s="72" t="s">
        <v>273</v>
      </c>
      <c r="B127" s="72"/>
      <c r="C127" s="72"/>
      <c r="D127" s="72"/>
      <c r="E127" s="72"/>
      <c r="F127" s="72"/>
      <c r="G127" s="72"/>
      <c r="H127" s="72"/>
      <c r="I127" s="72"/>
      <c r="J127" s="72"/>
      <c r="K127" s="72"/>
      <c r="L127" s="72"/>
      <c r="M127" s="72"/>
      <c r="N127" s="72"/>
      <c r="O127" s="178" t="n">
        <f aca="false">SUM(P119:R126)</f>
        <v>0</v>
      </c>
      <c r="P127" s="178"/>
      <c r="Q127" s="178"/>
      <c r="R127" s="178"/>
      <c r="S127" s="153"/>
      <c r="T127" s="153"/>
      <c r="U127" s="72" t="s">
        <v>274</v>
      </c>
      <c r="V127" s="72"/>
      <c r="W127" s="72"/>
      <c r="X127" s="72"/>
      <c r="Y127" s="72"/>
      <c r="Z127" s="72"/>
      <c r="AA127" s="72"/>
      <c r="AB127" s="72"/>
      <c r="AC127" s="72"/>
      <c r="AD127" s="72"/>
      <c r="AE127" s="72"/>
      <c r="AF127" s="72"/>
      <c r="AG127" s="72"/>
      <c r="AH127" s="72"/>
      <c r="AI127" s="72"/>
      <c r="AJ127" s="72"/>
      <c r="AK127" s="147" t="n">
        <f aca="false">SUM(AM119:AO126)</f>
        <v>0</v>
      </c>
      <c r="AL127" s="147"/>
      <c r="AM127" s="147"/>
      <c r="AN127" s="147"/>
      <c r="AO127" s="147"/>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c r="AMI127" s="1"/>
      <c r="AMJ127" s="1"/>
    </row>
    <row r="128" customFormat="false" ht="10.5" hidden="false" customHeight="true" outlineLevel="0" collapsed="false">
      <c r="A128" s="38"/>
      <c r="AO128" s="40"/>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c r="AMI128" s="1"/>
      <c r="AMJ128" s="1"/>
    </row>
    <row r="129" customFormat="false" ht="10.5" hidden="false" customHeight="true" outlineLevel="0" collapsed="false">
      <c r="A129" s="45"/>
      <c r="B129" s="46"/>
      <c r="C129" s="46"/>
      <c r="D129" s="46"/>
      <c r="E129" s="46"/>
      <c r="F129" s="46"/>
      <c r="G129" s="46"/>
      <c r="H129" s="46"/>
      <c r="I129" s="46"/>
      <c r="J129" s="46"/>
      <c r="K129" s="46"/>
      <c r="L129" s="46"/>
      <c r="M129" s="179" t="s">
        <v>275</v>
      </c>
      <c r="N129" s="179"/>
      <c r="O129" s="179"/>
      <c r="P129" s="179"/>
      <c r="Q129" s="179"/>
      <c r="R129" s="179"/>
      <c r="S129" s="180" t="n">
        <f aca="false">O127-AK127</f>
        <v>0</v>
      </c>
      <c r="T129" s="180"/>
      <c r="U129" s="180"/>
      <c r="V129" s="180"/>
      <c r="W129" s="46"/>
      <c r="X129" s="46"/>
      <c r="Y129" s="46"/>
      <c r="Z129" s="46"/>
      <c r="AA129" s="46"/>
      <c r="AB129" s="46"/>
      <c r="AC129" s="46"/>
      <c r="AD129" s="46"/>
      <c r="AE129" s="46"/>
      <c r="AF129" s="46"/>
      <c r="AG129" s="46"/>
      <c r="AH129" s="46"/>
      <c r="AI129" s="46"/>
      <c r="AJ129" s="46"/>
      <c r="AK129" s="46"/>
      <c r="AL129" s="46"/>
      <c r="AM129" s="46"/>
      <c r="AN129" s="46"/>
      <c r="AO129" s="47"/>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c r="AMI129" s="1"/>
      <c r="AMJ129" s="1"/>
    </row>
    <row r="130" customFormat="false" ht="10.5" hidden="false" customHeight="true" outlineLevel="0" collapsed="false">
      <c r="A130" s="45"/>
      <c r="B130" s="46"/>
      <c r="C130" s="46"/>
      <c r="D130" s="46"/>
      <c r="E130" s="46"/>
      <c r="F130" s="46"/>
      <c r="G130" s="46"/>
      <c r="H130" s="46"/>
      <c r="I130" s="46"/>
      <c r="J130" s="46"/>
      <c r="K130" s="46"/>
      <c r="L130" s="46"/>
      <c r="M130" s="130"/>
      <c r="N130" s="130"/>
      <c r="O130" s="130"/>
      <c r="P130" s="130"/>
      <c r="Q130" s="130"/>
      <c r="R130" s="130"/>
      <c r="S130" s="181"/>
      <c r="T130" s="130"/>
      <c r="U130" s="130"/>
      <c r="V130" s="130"/>
      <c r="W130" s="46"/>
      <c r="X130" s="46"/>
      <c r="Y130" s="46"/>
      <c r="Z130" s="46"/>
      <c r="AA130" s="46"/>
      <c r="AB130" s="46"/>
      <c r="AC130" s="46"/>
      <c r="AD130" s="46"/>
      <c r="AE130" s="46"/>
      <c r="AF130" s="46"/>
      <c r="AG130" s="46"/>
      <c r="AH130" s="46"/>
      <c r="AI130" s="46"/>
      <c r="AJ130" s="46"/>
      <c r="AK130" s="46"/>
      <c r="AL130" s="46"/>
      <c r="AM130" s="46"/>
      <c r="AN130" s="46"/>
      <c r="AO130" s="47"/>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c r="AMI130" s="1"/>
      <c r="AMJ130" s="1"/>
    </row>
    <row r="131" customFormat="false" ht="10.5" hidden="false" customHeight="true" outlineLevel="0" collapsed="false">
      <c r="A131" s="48" t="s">
        <v>276</v>
      </c>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c r="AA131" s="48"/>
      <c r="AB131" s="48"/>
      <c r="AC131" s="48"/>
      <c r="AD131" s="48"/>
      <c r="AE131" s="48"/>
      <c r="AF131" s="48"/>
      <c r="AG131" s="48"/>
      <c r="AH131" s="48"/>
      <c r="AI131" s="48"/>
      <c r="AJ131" s="48"/>
      <c r="AK131" s="48"/>
      <c r="AL131" s="48"/>
      <c r="AM131" s="48"/>
      <c r="AN131" s="48"/>
      <c r="AO131" s="48"/>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c r="IY131" s="1"/>
      <c r="IZ131" s="1"/>
      <c r="JA131" s="1"/>
      <c r="JB131" s="1"/>
      <c r="JC131" s="1"/>
      <c r="JD131" s="1"/>
      <c r="JE131" s="1"/>
      <c r="JF131" s="1"/>
      <c r="JG131" s="1"/>
      <c r="JH131" s="1"/>
      <c r="JI131" s="1"/>
      <c r="JJ131" s="1"/>
      <c r="JK131" s="1"/>
      <c r="JL131" s="1"/>
      <c r="JM131" s="1"/>
      <c r="JN131" s="1"/>
      <c r="JO131" s="1"/>
      <c r="JP131" s="1"/>
      <c r="JQ131" s="1"/>
      <c r="JR131" s="1"/>
      <c r="JS131" s="1"/>
      <c r="JT131" s="1"/>
      <c r="JU131" s="1"/>
      <c r="JV131" s="1"/>
      <c r="JW131" s="1"/>
      <c r="JX131" s="1"/>
      <c r="JY131" s="1"/>
      <c r="JZ131" s="1"/>
      <c r="KA131" s="1"/>
      <c r="KB131" s="1"/>
      <c r="KC131" s="1"/>
      <c r="KD131" s="1"/>
      <c r="KE131" s="1"/>
      <c r="KF131" s="1"/>
      <c r="KG131" s="1"/>
      <c r="KH131" s="1"/>
      <c r="KI131" s="1"/>
      <c r="KJ131" s="1"/>
      <c r="KK131" s="1"/>
      <c r="KL131" s="1"/>
      <c r="KM131" s="1"/>
      <c r="KN131" s="1"/>
      <c r="KO131" s="1"/>
      <c r="KP131" s="1"/>
      <c r="KQ131" s="1"/>
      <c r="KR131" s="1"/>
      <c r="KS131" s="1"/>
      <c r="KT131" s="1"/>
      <c r="KU131" s="1"/>
      <c r="KV131" s="1"/>
      <c r="KW131" s="1"/>
      <c r="KX131" s="1"/>
      <c r="KY131" s="1"/>
      <c r="KZ131" s="1"/>
      <c r="LA131" s="1"/>
      <c r="LB131" s="1"/>
      <c r="LC131" s="1"/>
      <c r="LD131" s="1"/>
      <c r="LE131" s="1"/>
      <c r="LF131" s="1"/>
      <c r="LG131" s="1"/>
      <c r="LH131" s="1"/>
      <c r="LI131" s="1"/>
      <c r="LJ131" s="1"/>
      <c r="LK131" s="1"/>
      <c r="LL131" s="1"/>
      <c r="LM131" s="1"/>
      <c r="LN131" s="1"/>
      <c r="LO131" s="1"/>
      <c r="LP131" s="1"/>
      <c r="LQ131" s="1"/>
      <c r="LR131" s="1"/>
      <c r="LS131" s="1"/>
      <c r="LT131" s="1"/>
      <c r="LU131" s="1"/>
      <c r="LV131" s="1"/>
      <c r="LW131" s="1"/>
      <c r="LX131" s="1"/>
      <c r="LY131" s="1"/>
      <c r="LZ131" s="1"/>
      <c r="MA131" s="1"/>
      <c r="MB131" s="1"/>
      <c r="MC131" s="1"/>
      <c r="MD131" s="1"/>
      <c r="ME131" s="1"/>
      <c r="MF131" s="1"/>
      <c r="MG131" s="1"/>
      <c r="MH131" s="1"/>
      <c r="MI131" s="1"/>
      <c r="MJ131" s="1"/>
      <c r="MK131" s="1"/>
      <c r="ML131" s="1"/>
      <c r="MM131" s="1"/>
      <c r="MN131" s="1"/>
      <c r="MO131" s="1"/>
      <c r="MP131" s="1"/>
      <c r="MQ131" s="1"/>
      <c r="MR131" s="1"/>
      <c r="MS131" s="1"/>
      <c r="MT131" s="1"/>
      <c r="MU131" s="1"/>
      <c r="MV131" s="1"/>
      <c r="MW131" s="1"/>
      <c r="MX131" s="1"/>
      <c r="MY131" s="1"/>
      <c r="MZ131" s="1"/>
      <c r="NA131" s="1"/>
      <c r="NB131" s="1"/>
      <c r="NC131" s="1"/>
      <c r="ND131" s="1"/>
      <c r="NE131" s="1"/>
      <c r="NF131" s="1"/>
      <c r="NG131" s="1"/>
      <c r="NH131" s="1"/>
      <c r="NI131" s="1"/>
      <c r="NJ131" s="1"/>
      <c r="NK131" s="1"/>
      <c r="NL131" s="1"/>
      <c r="NM131" s="1"/>
      <c r="NN131" s="1"/>
      <c r="NO131" s="1"/>
      <c r="NP131" s="1"/>
      <c r="NQ131" s="1"/>
      <c r="NR131" s="1"/>
      <c r="NS131" s="1"/>
      <c r="NT131" s="1"/>
      <c r="NU131" s="1"/>
      <c r="NV131" s="1"/>
      <c r="NW131" s="1"/>
      <c r="NX131" s="1"/>
      <c r="NY131" s="1"/>
      <c r="NZ131" s="1"/>
      <c r="OA131" s="1"/>
      <c r="OB131" s="1"/>
      <c r="OC131" s="1"/>
      <c r="OD131" s="1"/>
      <c r="OE131" s="1"/>
      <c r="OF131" s="1"/>
      <c r="OG131" s="1"/>
      <c r="OH131" s="1"/>
      <c r="OI131" s="1"/>
      <c r="OJ131" s="1"/>
      <c r="OK131" s="1"/>
      <c r="OL131" s="1"/>
      <c r="OM131" s="1"/>
      <c r="ON131" s="1"/>
      <c r="OO131" s="1"/>
      <c r="OP131" s="1"/>
      <c r="OQ131" s="1"/>
      <c r="OR131" s="1"/>
      <c r="OS131" s="1"/>
      <c r="OT131" s="1"/>
      <c r="OU131" s="1"/>
      <c r="OV131" s="1"/>
      <c r="OW131" s="1"/>
      <c r="OX131" s="1"/>
      <c r="OY131" s="1"/>
      <c r="OZ131" s="1"/>
      <c r="PA131" s="1"/>
      <c r="PB131" s="1"/>
      <c r="PC131" s="1"/>
      <c r="PD131" s="1"/>
      <c r="PE131" s="1"/>
      <c r="PF131" s="1"/>
      <c r="PG131" s="1"/>
      <c r="PH131" s="1"/>
      <c r="PI131" s="1"/>
      <c r="PJ131" s="1"/>
      <c r="PK131" s="1"/>
      <c r="PL131" s="1"/>
      <c r="PM131" s="1"/>
      <c r="PN131" s="1"/>
      <c r="PO131" s="1"/>
      <c r="PP131" s="1"/>
      <c r="PQ131" s="1"/>
      <c r="PR131" s="1"/>
      <c r="PS131" s="1"/>
      <c r="PT131" s="1"/>
      <c r="PU131" s="1"/>
      <c r="PV131" s="1"/>
      <c r="PW131" s="1"/>
      <c r="PX131" s="1"/>
      <c r="PY131" s="1"/>
      <c r="PZ131" s="1"/>
      <c r="QA131" s="1"/>
      <c r="QB131" s="1"/>
      <c r="QC131" s="1"/>
      <c r="QD131" s="1"/>
      <c r="QE131" s="1"/>
      <c r="QF131" s="1"/>
      <c r="QG131" s="1"/>
      <c r="QH131" s="1"/>
      <c r="QI131" s="1"/>
      <c r="QJ131" s="1"/>
      <c r="QK131" s="1"/>
      <c r="QL131" s="1"/>
      <c r="QM131" s="1"/>
      <c r="QN131" s="1"/>
      <c r="QO131" s="1"/>
      <c r="QP131" s="1"/>
      <c r="QQ131" s="1"/>
      <c r="QR131" s="1"/>
      <c r="QS131" s="1"/>
      <c r="QT131" s="1"/>
      <c r="QU131" s="1"/>
      <c r="QV131" s="1"/>
      <c r="QW131" s="1"/>
      <c r="QX131" s="1"/>
      <c r="QY131" s="1"/>
      <c r="QZ131" s="1"/>
      <c r="RA131" s="1"/>
      <c r="RB131" s="1"/>
      <c r="RC131" s="1"/>
      <c r="RD131" s="1"/>
      <c r="RE131" s="1"/>
      <c r="RF131" s="1"/>
      <c r="RG131" s="1"/>
      <c r="RH131" s="1"/>
      <c r="RI131" s="1"/>
      <c r="RJ131" s="1"/>
      <c r="RK131" s="1"/>
      <c r="RL131" s="1"/>
      <c r="RM131" s="1"/>
      <c r="RN131" s="1"/>
      <c r="RO131" s="1"/>
      <c r="RP131" s="1"/>
      <c r="RQ131" s="1"/>
      <c r="RR131" s="1"/>
      <c r="RS131" s="1"/>
      <c r="RT131" s="1"/>
      <c r="RU131" s="1"/>
      <c r="RV131" s="1"/>
      <c r="RW131" s="1"/>
      <c r="RX131" s="1"/>
      <c r="RY131" s="1"/>
      <c r="RZ131" s="1"/>
      <c r="SA131" s="1"/>
      <c r="SB131" s="1"/>
      <c r="SC131" s="1"/>
      <c r="SD131" s="1"/>
      <c r="SE131" s="1"/>
      <c r="SF131" s="1"/>
      <c r="SG131" s="1"/>
      <c r="SH131" s="1"/>
      <c r="SI131" s="1"/>
      <c r="SJ131" s="1"/>
      <c r="SK131" s="1"/>
      <c r="SL131" s="1"/>
      <c r="SM131" s="1"/>
      <c r="SN131" s="1"/>
      <c r="SO131" s="1"/>
      <c r="SP131" s="1"/>
      <c r="SQ131" s="1"/>
      <c r="SR131" s="1"/>
      <c r="SS131" s="1"/>
      <c r="ST131" s="1"/>
      <c r="SU131" s="1"/>
      <c r="SV131" s="1"/>
      <c r="SW131" s="1"/>
      <c r="SX131" s="1"/>
      <c r="SY131" s="1"/>
      <c r="SZ131" s="1"/>
      <c r="TA131" s="1"/>
      <c r="TB131" s="1"/>
      <c r="TC131" s="1"/>
      <c r="TD131" s="1"/>
      <c r="TE131" s="1"/>
      <c r="TF131" s="1"/>
      <c r="TG131" s="1"/>
      <c r="TH131" s="1"/>
      <c r="TI131" s="1"/>
      <c r="TJ131" s="1"/>
      <c r="TK131" s="1"/>
      <c r="TL131" s="1"/>
      <c r="TM131" s="1"/>
      <c r="TN131" s="1"/>
      <c r="TO131" s="1"/>
      <c r="TP131" s="1"/>
      <c r="TQ131" s="1"/>
      <c r="TR131" s="1"/>
      <c r="TS131" s="1"/>
      <c r="TT131" s="1"/>
      <c r="TU131" s="1"/>
      <c r="TV131" s="1"/>
      <c r="TW131" s="1"/>
      <c r="TX131" s="1"/>
      <c r="TY131" s="1"/>
      <c r="TZ131" s="1"/>
      <c r="UA131" s="1"/>
      <c r="UB131" s="1"/>
      <c r="UC131" s="1"/>
      <c r="UD131" s="1"/>
      <c r="UE131" s="1"/>
      <c r="UF131" s="1"/>
      <c r="UG131" s="1"/>
      <c r="UH131" s="1"/>
      <c r="UI131" s="1"/>
      <c r="UJ131" s="1"/>
      <c r="UK131" s="1"/>
      <c r="UL131" s="1"/>
      <c r="UM131" s="1"/>
      <c r="UN131" s="1"/>
      <c r="UO131" s="1"/>
      <c r="UP131" s="1"/>
      <c r="UQ131" s="1"/>
      <c r="UR131" s="1"/>
      <c r="US131" s="1"/>
      <c r="UT131" s="1"/>
      <c r="UU131" s="1"/>
      <c r="UV131" s="1"/>
      <c r="UW131" s="1"/>
      <c r="UX131" s="1"/>
      <c r="UY131" s="1"/>
      <c r="UZ131" s="1"/>
      <c r="VA131" s="1"/>
      <c r="VB131" s="1"/>
      <c r="VC131" s="1"/>
      <c r="VD131" s="1"/>
      <c r="VE131" s="1"/>
      <c r="VF131" s="1"/>
      <c r="VG131" s="1"/>
      <c r="VH131" s="1"/>
      <c r="VI131" s="1"/>
      <c r="VJ131" s="1"/>
      <c r="VK131" s="1"/>
      <c r="VL131" s="1"/>
      <c r="VM131" s="1"/>
      <c r="VN131" s="1"/>
      <c r="VO131" s="1"/>
      <c r="VP131" s="1"/>
      <c r="VQ131" s="1"/>
      <c r="VR131" s="1"/>
      <c r="VS131" s="1"/>
      <c r="VT131" s="1"/>
      <c r="VU131" s="1"/>
      <c r="VV131" s="1"/>
      <c r="VW131" s="1"/>
      <c r="VX131" s="1"/>
      <c r="VY131" s="1"/>
      <c r="VZ131" s="1"/>
      <c r="WA131" s="1"/>
      <c r="WB131" s="1"/>
      <c r="WC131" s="1"/>
      <c r="WD131" s="1"/>
      <c r="WE131" s="1"/>
      <c r="WF131" s="1"/>
      <c r="WG131" s="1"/>
      <c r="WH131" s="1"/>
      <c r="WI131" s="1"/>
      <c r="WJ131" s="1"/>
      <c r="WK131" s="1"/>
      <c r="WL131" s="1"/>
      <c r="WM131" s="1"/>
      <c r="WN131" s="1"/>
      <c r="WO131" s="1"/>
      <c r="WP131" s="1"/>
      <c r="WQ131" s="1"/>
      <c r="WR131" s="1"/>
      <c r="WS131" s="1"/>
      <c r="WT131" s="1"/>
      <c r="WU131" s="1"/>
      <c r="WV131" s="1"/>
      <c r="WW131" s="1"/>
      <c r="WX131" s="1"/>
      <c r="WY131" s="1"/>
      <c r="WZ131" s="1"/>
      <c r="XA131" s="1"/>
      <c r="XB131" s="1"/>
      <c r="XC131" s="1"/>
      <c r="XD131" s="1"/>
      <c r="XE131" s="1"/>
      <c r="XF131" s="1"/>
      <c r="XG131" s="1"/>
      <c r="XH131" s="1"/>
      <c r="XI131" s="1"/>
      <c r="XJ131" s="1"/>
      <c r="XK131" s="1"/>
      <c r="XL131" s="1"/>
      <c r="XM131" s="1"/>
      <c r="XN131" s="1"/>
      <c r="XO131" s="1"/>
      <c r="XP131" s="1"/>
      <c r="XQ131" s="1"/>
      <c r="XR131" s="1"/>
      <c r="XS131" s="1"/>
      <c r="XT131" s="1"/>
      <c r="XU131" s="1"/>
      <c r="XV131" s="1"/>
      <c r="XW131" s="1"/>
      <c r="XX131" s="1"/>
      <c r="XY131" s="1"/>
      <c r="XZ131" s="1"/>
      <c r="YA131" s="1"/>
      <c r="YB131" s="1"/>
      <c r="YC131" s="1"/>
      <c r="YD131" s="1"/>
      <c r="YE131" s="1"/>
      <c r="YF131" s="1"/>
      <c r="YG131" s="1"/>
      <c r="YH131" s="1"/>
      <c r="YI131" s="1"/>
      <c r="YJ131" s="1"/>
      <c r="YK131" s="1"/>
      <c r="YL131" s="1"/>
      <c r="YM131" s="1"/>
      <c r="YN131" s="1"/>
      <c r="YO131" s="1"/>
      <c r="YP131" s="1"/>
      <c r="YQ131" s="1"/>
      <c r="YR131" s="1"/>
      <c r="YS131" s="1"/>
      <c r="YT131" s="1"/>
      <c r="YU131" s="1"/>
      <c r="YV131" s="1"/>
      <c r="YW131" s="1"/>
      <c r="YX131" s="1"/>
      <c r="YY131" s="1"/>
      <c r="YZ131" s="1"/>
      <c r="ZA131" s="1"/>
      <c r="ZB131" s="1"/>
      <c r="ZC131" s="1"/>
      <c r="ZD131" s="1"/>
      <c r="ZE131" s="1"/>
      <c r="ZF131" s="1"/>
      <c r="ZG131" s="1"/>
      <c r="ZH131" s="1"/>
      <c r="ZI131" s="1"/>
      <c r="ZJ131" s="1"/>
      <c r="ZK131" s="1"/>
      <c r="ZL131" s="1"/>
      <c r="ZM131" s="1"/>
      <c r="ZN131" s="1"/>
      <c r="ZO131" s="1"/>
      <c r="ZP131" s="1"/>
      <c r="ZQ131" s="1"/>
      <c r="ZR131" s="1"/>
      <c r="ZS131" s="1"/>
      <c r="ZT131" s="1"/>
      <c r="ZU131" s="1"/>
      <c r="ZV131" s="1"/>
      <c r="ZW131" s="1"/>
      <c r="ZX131" s="1"/>
      <c r="ZY131" s="1"/>
      <c r="ZZ131" s="1"/>
      <c r="AAA131" s="1"/>
      <c r="AAB131" s="1"/>
      <c r="AAC131" s="1"/>
      <c r="AAD131" s="1"/>
      <c r="AAE131" s="1"/>
      <c r="AAF131" s="1"/>
      <c r="AAG131" s="1"/>
      <c r="AAH131" s="1"/>
      <c r="AAI131" s="1"/>
      <c r="AAJ131" s="1"/>
      <c r="AAK131" s="1"/>
      <c r="AAL131" s="1"/>
      <c r="AAM131" s="1"/>
      <c r="AAN131" s="1"/>
      <c r="AAO131" s="1"/>
      <c r="AAP131" s="1"/>
      <c r="AAQ131" s="1"/>
      <c r="AAR131" s="1"/>
      <c r="AAS131" s="1"/>
      <c r="AAT131" s="1"/>
      <c r="AAU131" s="1"/>
      <c r="AAV131" s="1"/>
      <c r="AAW131" s="1"/>
      <c r="AAX131" s="1"/>
      <c r="AAY131" s="1"/>
      <c r="AAZ131" s="1"/>
      <c r="ABA131" s="1"/>
      <c r="ABB131" s="1"/>
      <c r="ABC131" s="1"/>
      <c r="ABD131" s="1"/>
      <c r="ABE131" s="1"/>
      <c r="ABF131" s="1"/>
      <c r="ABG131" s="1"/>
      <c r="ABH131" s="1"/>
      <c r="ABI131" s="1"/>
      <c r="ABJ131" s="1"/>
      <c r="ABK131" s="1"/>
      <c r="ABL131" s="1"/>
      <c r="ABM131" s="1"/>
      <c r="ABN131" s="1"/>
      <c r="ABO131" s="1"/>
      <c r="ABP131" s="1"/>
      <c r="ABQ131" s="1"/>
      <c r="ABR131" s="1"/>
      <c r="ABS131" s="1"/>
      <c r="ABT131" s="1"/>
      <c r="ABU131" s="1"/>
      <c r="ABV131" s="1"/>
      <c r="ABW131" s="1"/>
      <c r="ABX131" s="1"/>
      <c r="ABY131" s="1"/>
      <c r="ABZ131" s="1"/>
      <c r="ACA131" s="1"/>
      <c r="ACB131" s="1"/>
      <c r="ACC131" s="1"/>
      <c r="ACD131" s="1"/>
      <c r="ACE131" s="1"/>
      <c r="ACF131" s="1"/>
      <c r="ACG131" s="1"/>
      <c r="ACH131" s="1"/>
      <c r="ACI131" s="1"/>
      <c r="ACJ131" s="1"/>
      <c r="ACK131" s="1"/>
      <c r="ACL131" s="1"/>
      <c r="ACM131" s="1"/>
      <c r="ACN131" s="1"/>
      <c r="ACO131" s="1"/>
      <c r="ACP131" s="1"/>
      <c r="ACQ131" s="1"/>
      <c r="ACR131" s="1"/>
      <c r="ACS131" s="1"/>
      <c r="ACT131" s="1"/>
      <c r="ACU131" s="1"/>
      <c r="ACV131" s="1"/>
      <c r="ACW131" s="1"/>
      <c r="ACX131" s="1"/>
      <c r="ACY131" s="1"/>
      <c r="ACZ131" s="1"/>
      <c r="ADA131" s="1"/>
      <c r="ADB131" s="1"/>
      <c r="ADC131" s="1"/>
      <c r="ADD131" s="1"/>
      <c r="ADE131" s="1"/>
      <c r="ADF131" s="1"/>
      <c r="ADG131" s="1"/>
      <c r="ADH131" s="1"/>
      <c r="ADI131" s="1"/>
      <c r="ADJ131" s="1"/>
      <c r="ADK131" s="1"/>
      <c r="ADL131" s="1"/>
      <c r="ADM131" s="1"/>
      <c r="ADN131" s="1"/>
      <c r="ADO131" s="1"/>
      <c r="ADP131" s="1"/>
      <c r="ADQ131" s="1"/>
      <c r="ADR131" s="1"/>
      <c r="ADS131" s="1"/>
      <c r="ADT131" s="1"/>
      <c r="ADU131" s="1"/>
      <c r="ADV131" s="1"/>
      <c r="ADW131" s="1"/>
      <c r="ADX131" s="1"/>
      <c r="ADY131" s="1"/>
      <c r="ADZ131" s="1"/>
      <c r="AEA131" s="1"/>
      <c r="AEB131" s="1"/>
      <c r="AEC131" s="1"/>
      <c r="AED131" s="1"/>
      <c r="AEE131" s="1"/>
      <c r="AEF131" s="1"/>
      <c r="AEG131" s="1"/>
      <c r="AEH131" s="1"/>
      <c r="AEI131" s="1"/>
      <c r="AEJ131" s="1"/>
      <c r="AEK131" s="1"/>
      <c r="AEL131" s="1"/>
      <c r="AEM131" s="1"/>
      <c r="AEN131" s="1"/>
      <c r="AEO131" s="1"/>
      <c r="AEP131" s="1"/>
      <c r="AEQ131" s="1"/>
      <c r="AER131" s="1"/>
      <c r="AES131" s="1"/>
      <c r="AET131" s="1"/>
      <c r="AEU131" s="1"/>
      <c r="AEV131" s="1"/>
      <c r="AEW131" s="1"/>
      <c r="AEX131" s="1"/>
      <c r="AEY131" s="1"/>
      <c r="AEZ131" s="1"/>
      <c r="AFA131" s="1"/>
      <c r="AFB131" s="1"/>
      <c r="AFC131" s="1"/>
      <c r="AFD131" s="1"/>
      <c r="AFE131" s="1"/>
      <c r="AFF131" s="1"/>
      <c r="AFG131" s="1"/>
      <c r="AFH131" s="1"/>
      <c r="AFI131" s="1"/>
      <c r="AFJ131" s="1"/>
      <c r="AFK131" s="1"/>
      <c r="AFL131" s="1"/>
      <c r="AFM131" s="1"/>
      <c r="AFN131" s="1"/>
      <c r="AFO131" s="1"/>
      <c r="AFP131" s="1"/>
      <c r="AFQ131" s="1"/>
      <c r="AFR131" s="1"/>
      <c r="AFS131" s="1"/>
      <c r="AFT131" s="1"/>
      <c r="AFU131" s="1"/>
      <c r="AFV131" s="1"/>
      <c r="AFW131" s="1"/>
      <c r="AFX131" s="1"/>
      <c r="AFY131" s="1"/>
      <c r="AFZ131" s="1"/>
      <c r="AGA131" s="1"/>
      <c r="AGB131" s="1"/>
      <c r="AGC131" s="1"/>
      <c r="AGD131" s="1"/>
      <c r="AGE131" s="1"/>
      <c r="AGF131" s="1"/>
      <c r="AGG131" s="1"/>
      <c r="AGH131" s="1"/>
      <c r="AGI131" s="1"/>
      <c r="AGJ131" s="1"/>
      <c r="AGK131" s="1"/>
      <c r="AGL131" s="1"/>
      <c r="AGM131" s="1"/>
      <c r="AGN131" s="1"/>
      <c r="AGO131" s="1"/>
      <c r="AGP131" s="1"/>
      <c r="AGQ131" s="1"/>
      <c r="AGR131" s="1"/>
      <c r="AGS131" s="1"/>
      <c r="AGT131" s="1"/>
      <c r="AGU131" s="1"/>
      <c r="AGV131" s="1"/>
      <c r="AGW131" s="1"/>
      <c r="AGX131" s="1"/>
      <c r="AGY131" s="1"/>
      <c r="AGZ131" s="1"/>
      <c r="AHA131" s="1"/>
      <c r="AHB131" s="1"/>
      <c r="AHC131" s="1"/>
      <c r="AHD131" s="1"/>
      <c r="AHE131" s="1"/>
      <c r="AHF131" s="1"/>
      <c r="AHG131" s="1"/>
      <c r="AHH131" s="1"/>
      <c r="AHI131" s="1"/>
      <c r="AHJ131" s="1"/>
      <c r="AHK131" s="1"/>
      <c r="AHL131" s="1"/>
      <c r="AHM131" s="1"/>
      <c r="AHN131" s="1"/>
      <c r="AHO131" s="1"/>
      <c r="AHP131" s="1"/>
      <c r="AHQ131" s="1"/>
      <c r="AHR131" s="1"/>
      <c r="AHS131" s="1"/>
      <c r="AHT131" s="1"/>
      <c r="AHU131" s="1"/>
      <c r="AHV131" s="1"/>
      <c r="AHW131" s="1"/>
      <c r="AHX131" s="1"/>
      <c r="AHY131" s="1"/>
      <c r="AHZ131" s="1"/>
      <c r="AIA131" s="1"/>
      <c r="AIB131" s="1"/>
      <c r="AIC131" s="1"/>
      <c r="AID131" s="1"/>
      <c r="AIE131" s="1"/>
      <c r="AIF131" s="1"/>
      <c r="AIG131" s="1"/>
      <c r="AIH131" s="1"/>
      <c r="AII131" s="1"/>
      <c r="AIJ131" s="1"/>
      <c r="AIK131" s="1"/>
      <c r="AIL131" s="1"/>
      <c r="AIM131" s="1"/>
      <c r="AIN131" s="1"/>
      <c r="AIO131" s="1"/>
      <c r="AIP131" s="1"/>
      <c r="AIQ131" s="1"/>
      <c r="AIR131" s="1"/>
      <c r="AIS131" s="1"/>
      <c r="AIT131" s="1"/>
      <c r="AIU131" s="1"/>
      <c r="AIV131" s="1"/>
      <c r="AIW131" s="1"/>
      <c r="AIX131" s="1"/>
      <c r="AIY131" s="1"/>
      <c r="AIZ131" s="1"/>
      <c r="AJA131" s="1"/>
      <c r="AJB131" s="1"/>
      <c r="AJC131" s="1"/>
      <c r="AJD131" s="1"/>
      <c r="AJE131" s="1"/>
      <c r="AJF131" s="1"/>
      <c r="AJG131" s="1"/>
      <c r="AJH131" s="1"/>
      <c r="AJI131" s="1"/>
      <c r="AJJ131" s="1"/>
      <c r="AJK131" s="1"/>
      <c r="AJL131" s="1"/>
      <c r="AJM131" s="1"/>
      <c r="AJN131" s="1"/>
      <c r="AJO131" s="1"/>
      <c r="AJP131" s="1"/>
      <c r="AJQ131" s="1"/>
      <c r="AJR131" s="1"/>
      <c r="AJS131" s="1"/>
      <c r="AJT131" s="1"/>
      <c r="AJU131" s="1"/>
      <c r="AJV131" s="1"/>
      <c r="AJW131" s="1"/>
      <c r="AJX131" s="1"/>
      <c r="AJY131" s="1"/>
      <c r="AJZ131" s="1"/>
      <c r="AKA131" s="1"/>
      <c r="AKB131" s="1"/>
      <c r="AKC131" s="1"/>
      <c r="AKD131" s="1"/>
      <c r="AKE131" s="1"/>
      <c r="AKF131" s="1"/>
      <c r="AKG131" s="1"/>
      <c r="AKH131" s="1"/>
      <c r="AKI131" s="1"/>
      <c r="AKJ131" s="1"/>
      <c r="AKK131" s="1"/>
      <c r="AKL131" s="1"/>
      <c r="AKM131" s="1"/>
      <c r="AKN131" s="1"/>
      <c r="AKO131" s="1"/>
      <c r="AKP131" s="1"/>
      <c r="AKQ131" s="1"/>
      <c r="AKR131" s="1"/>
      <c r="AKS131" s="1"/>
      <c r="AKT131" s="1"/>
      <c r="AKU131" s="1"/>
      <c r="AKV131" s="1"/>
      <c r="AKW131" s="1"/>
      <c r="AKX131" s="1"/>
      <c r="AKY131" s="1"/>
      <c r="AKZ131" s="1"/>
      <c r="ALA131" s="1"/>
      <c r="ALB131" s="1"/>
      <c r="ALC131" s="1"/>
      <c r="ALD131" s="1"/>
      <c r="ALE131" s="1"/>
      <c r="ALF131" s="1"/>
      <c r="ALG131" s="1"/>
      <c r="ALH131" s="1"/>
      <c r="ALI131" s="1"/>
      <c r="ALJ131" s="1"/>
      <c r="ALK131" s="1"/>
      <c r="ALL131" s="1"/>
      <c r="ALM131" s="1"/>
      <c r="ALN131" s="1"/>
      <c r="ALO131" s="1"/>
      <c r="ALP131" s="1"/>
      <c r="ALQ131" s="1"/>
      <c r="ALR131" s="1"/>
      <c r="ALS131" s="1"/>
      <c r="ALT131" s="1"/>
      <c r="ALU131" s="1"/>
      <c r="ALV131" s="1"/>
      <c r="ALW131" s="1"/>
      <c r="ALX131" s="1"/>
      <c r="ALY131" s="1"/>
      <c r="ALZ131" s="1"/>
      <c r="AMA131" s="1"/>
      <c r="AMB131" s="1"/>
      <c r="AMC131" s="1"/>
      <c r="AMD131" s="1"/>
      <c r="AME131" s="1"/>
      <c r="AMF131" s="1"/>
      <c r="AMG131" s="1"/>
      <c r="AMH131" s="1"/>
      <c r="AMI131" s="1"/>
      <c r="AMJ131" s="1"/>
    </row>
    <row r="132" s="90" customFormat="true" ht="10.5" hidden="false" customHeight="true" outlineLevel="0" collapsed="false">
      <c r="A132" s="72" t="s">
        <v>277</v>
      </c>
      <c r="B132" s="72"/>
      <c r="C132" s="72"/>
      <c r="D132" s="72"/>
      <c r="E132" s="182"/>
      <c r="F132" s="182"/>
      <c r="G132" s="182"/>
      <c r="H132" s="182"/>
      <c r="I132" s="182"/>
      <c r="J132" s="182"/>
      <c r="K132" s="182"/>
      <c r="L132" s="182"/>
      <c r="M132" s="182"/>
      <c r="N132" s="182"/>
      <c r="O132" s="182"/>
      <c r="P132" s="182"/>
      <c r="Q132" s="182"/>
      <c r="R132" s="182"/>
      <c r="S132" s="183"/>
      <c r="T132" s="72" t="s">
        <v>278</v>
      </c>
      <c r="U132" s="72"/>
      <c r="V132" s="72"/>
      <c r="W132" s="72"/>
      <c r="X132" s="184"/>
      <c r="Y132" s="184"/>
      <c r="Z132" s="184"/>
      <c r="AA132" s="184"/>
      <c r="AB132" s="184"/>
      <c r="AC132" s="184"/>
      <c r="AD132" s="184"/>
      <c r="AE132" s="184"/>
      <c r="AF132" s="184"/>
      <c r="AG132" s="184"/>
      <c r="AH132" s="184"/>
      <c r="AI132" s="184"/>
      <c r="AJ132" s="184"/>
      <c r="AK132" s="184"/>
      <c r="AL132" s="184"/>
      <c r="AM132" s="184"/>
      <c r="AN132" s="184"/>
      <c r="AO132" s="184"/>
      <c r="AP132" s="7"/>
      <c r="AQ132" s="7"/>
      <c r="AR132" s="7"/>
      <c r="AS132" s="7"/>
      <c r="AT132" s="7"/>
      <c r="AU132" s="7"/>
      <c r="AV132" s="7"/>
      <c r="AW132" s="7"/>
      <c r="AX132" s="7"/>
      <c r="AY132" s="7"/>
      <c r="AZ132" s="7"/>
      <c r="BA132" s="7"/>
      <c r="BB132" s="7"/>
      <c r="BC132" s="7"/>
    </row>
    <row r="133" s="90" customFormat="true" ht="10.5" hidden="false" customHeight="true" outlineLevel="0" collapsed="false">
      <c r="A133" s="185" t="s">
        <v>279</v>
      </c>
      <c r="B133" s="185"/>
      <c r="C133" s="185"/>
      <c r="D133" s="185"/>
      <c r="E133" s="185"/>
      <c r="F133" s="185"/>
      <c r="G133" s="185"/>
      <c r="H133" s="185"/>
      <c r="I133" s="185"/>
      <c r="J133" s="77" t="s">
        <v>269</v>
      </c>
      <c r="K133" s="77"/>
      <c r="L133" s="77"/>
      <c r="M133" s="77" t="s">
        <v>280</v>
      </c>
      <c r="N133" s="77"/>
      <c r="O133" s="77"/>
      <c r="P133" s="77" t="s">
        <v>281</v>
      </c>
      <c r="Q133" s="77"/>
      <c r="R133" s="77"/>
      <c r="S133" s="183"/>
      <c r="T133" s="186" t="s">
        <v>279</v>
      </c>
      <c r="U133" s="186"/>
      <c r="V133" s="186"/>
      <c r="W133" s="186"/>
      <c r="X133" s="186"/>
      <c r="Y133" s="186"/>
      <c r="Z133" s="186"/>
      <c r="AA133" s="186"/>
      <c r="AB133" s="186"/>
      <c r="AC133" s="186"/>
      <c r="AD133" s="186"/>
      <c r="AE133" s="77" t="s">
        <v>269</v>
      </c>
      <c r="AF133" s="77"/>
      <c r="AG133" s="77"/>
      <c r="AH133" s="77" t="s">
        <v>280</v>
      </c>
      <c r="AI133" s="77"/>
      <c r="AJ133" s="77"/>
      <c r="AK133" s="77"/>
      <c r="AL133" s="78" t="s">
        <v>281</v>
      </c>
      <c r="AM133" s="78"/>
      <c r="AN133" s="78"/>
      <c r="AO133" s="78"/>
      <c r="AP133" s="7"/>
      <c r="AQ133" s="7"/>
      <c r="AR133" s="7"/>
      <c r="AS133" s="7"/>
      <c r="AT133" s="7"/>
      <c r="AU133" s="7"/>
      <c r="AV133" s="7"/>
      <c r="AW133" s="7"/>
      <c r="AX133" s="7"/>
      <c r="AY133" s="7"/>
      <c r="AZ133" s="7"/>
      <c r="BA133" s="7"/>
      <c r="BB133" s="7"/>
      <c r="BC133" s="7"/>
    </row>
    <row r="134" customFormat="false" ht="10.5" hidden="false" customHeight="true" outlineLevel="0" collapsed="false">
      <c r="A134" s="164"/>
      <c r="B134" s="164"/>
      <c r="C134" s="164"/>
      <c r="D134" s="164"/>
      <c r="E134" s="164"/>
      <c r="F134" s="164"/>
      <c r="G134" s="164"/>
      <c r="H134" s="164"/>
      <c r="I134" s="164"/>
      <c r="J134" s="23"/>
      <c r="K134" s="23"/>
      <c r="L134" s="23"/>
      <c r="M134" s="187"/>
      <c r="N134" s="187"/>
      <c r="O134" s="187"/>
      <c r="P134" s="188" t="n">
        <f aca="false">J134*M134</f>
        <v>0</v>
      </c>
      <c r="Q134" s="188"/>
      <c r="R134" s="188"/>
      <c r="S134" s="183"/>
      <c r="T134" s="168"/>
      <c r="U134" s="168"/>
      <c r="V134" s="168"/>
      <c r="W134" s="168"/>
      <c r="X134" s="168"/>
      <c r="Y134" s="168"/>
      <c r="Z134" s="168"/>
      <c r="AA134" s="168"/>
      <c r="AB134" s="168"/>
      <c r="AC134" s="168"/>
      <c r="AD134" s="168"/>
      <c r="AE134" s="23"/>
      <c r="AF134" s="23"/>
      <c r="AG134" s="23"/>
      <c r="AH134" s="187"/>
      <c r="AI134" s="187"/>
      <c r="AJ134" s="187"/>
      <c r="AK134" s="187"/>
      <c r="AL134" s="188" t="n">
        <f aca="false">AE134*AH134</f>
        <v>0</v>
      </c>
      <c r="AM134" s="188"/>
      <c r="AN134" s="188"/>
      <c r="AO134" s="188"/>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c r="IY134" s="1"/>
      <c r="IZ134" s="1"/>
      <c r="JA134" s="1"/>
      <c r="JB134" s="1"/>
      <c r="JC134" s="1"/>
      <c r="JD134" s="1"/>
      <c r="JE134" s="1"/>
      <c r="JF134" s="1"/>
      <c r="JG134" s="1"/>
      <c r="JH134" s="1"/>
      <c r="JI134" s="1"/>
      <c r="JJ134" s="1"/>
      <c r="JK134" s="1"/>
      <c r="JL134" s="1"/>
      <c r="JM134" s="1"/>
      <c r="JN134" s="1"/>
      <c r="JO134" s="1"/>
      <c r="JP134" s="1"/>
      <c r="JQ134" s="1"/>
      <c r="JR134" s="1"/>
      <c r="JS134" s="1"/>
      <c r="JT134" s="1"/>
      <c r="JU134" s="1"/>
      <c r="JV134" s="1"/>
      <c r="JW134" s="1"/>
      <c r="JX134" s="1"/>
      <c r="JY134" s="1"/>
      <c r="JZ134" s="1"/>
      <c r="KA134" s="1"/>
      <c r="KB134" s="1"/>
      <c r="KC134" s="1"/>
      <c r="KD134" s="1"/>
      <c r="KE134" s="1"/>
      <c r="KF134" s="1"/>
      <c r="KG134" s="1"/>
      <c r="KH134" s="1"/>
      <c r="KI134" s="1"/>
      <c r="KJ134" s="1"/>
      <c r="KK134" s="1"/>
      <c r="KL134" s="1"/>
      <c r="KM134" s="1"/>
      <c r="KN134" s="1"/>
      <c r="KO134" s="1"/>
      <c r="KP134" s="1"/>
      <c r="KQ134" s="1"/>
      <c r="KR134" s="1"/>
      <c r="KS134" s="1"/>
      <c r="KT134" s="1"/>
      <c r="KU134" s="1"/>
      <c r="KV134" s="1"/>
      <c r="KW134" s="1"/>
      <c r="KX134" s="1"/>
      <c r="KY134" s="1"/>
      <c r="KZ134" s="1"/>
      <c r="LA134" s="1"/>
      <c r="LB134" s="1"/>
      <c r="LC134" s="1"/>
      <c r="LD134" s="1"/>
      <c r="LE134" s="1"/>
      <c r="LF134" s="1"/>
      <c r="LG134" s="1"/>
      <c r="LH134" s="1"/>
      <c r="LI134" s="1"/>
      <c r="LJ134" s="1"/>
      <c r="LK134" s="1"/>
      <c r="LL134" s="1"/>
      <c r="LM134" s="1"/>
      <c r="LN134" s="1"/>
      <c r="LO134" s="1"/>
      <c r="LP134" s="1"/>
      <c r="LQ134" s="1"/>
      <c r="LR134" s="1"/>
      <c r="LS134" s="1"/>
      <c r="LT134" s="1"/>
      <c r="LU134" s="1"/>
      <c r="LV134" s="1"/>
      <c r="LW134" s="1"/>
      <c r="LX134" s="1"/>
      <c r="LY134" s="1"/>
      <c r="LZ134" s="1"/>
      <c r="MA134" s="1"/>
      <c r="MB134" s="1"/>
      <c r="MC134" s="1"/>
      <c r="MD134" s="1"/>
      <c r="ME134" s="1"/>
      <c r="MF134" s="1"/>
      <c r="MG134" s="1"/>
      <c r="MH134" s="1"/>
      <c r="MI134" s="1"/>
      <c r="MJ134" s="1"/>
      <c r="MK134" s="1"/>
      <c r="ML134" s="1"/>
      <c r="MM134" s="1"/>
      <c r="MN134" s="1"/>
      <c r="MO134" s="1"/>
      <c r="MP134" s="1"/>
      <c r="MQ134" s="1"/>
      <c r="MR134" s="1"/>
      <c r="MS134" s="1"/>
      <c r="MT134" s="1"/>
      <c r="MU134" s="1"/>
      <c r="MV134" s="1"/>
      <c r="MW134" s="1"/>
      <c r="MX134" s="1"/>
      <c r="MY134" s="1"/>
      <c r="MZ134" s="1"/>
      <c r="NA134" s="1"/>
      <c r="NB134" s="1"/>
      <c r="NC134" s="1"/>
      <c r="ND134" s="1"/>
      <c r="NE134" s="1"/>
      <c r="NF134" s="1"/>
      <c r="NG134" s="1"/>
      <c r="NH134" s="1"/>
      <c r="NI134" s="1"/>
      <c r="NJ134" s="1"/>
      <c r="NK134" s="1"/>
      <c r="NL134" s="1"/>
      <c r="NM134" s="1"/>
      <c r="NN134" s="1"/>
      <c r="NO134" s="1"/>
      <c r="NP134" s="1"/>
      <c r="NQ134" s="1"/>
      <c r="NR134" s="1"/>
      <c r="NS134" s="1"/>
      <c r="NT134" s="1"/>
      <c r="NU134" s="1"/>
      <c r="NV134" s="1"/>
      <c r="NW134" s="1"/>
      <c r="NX134" s="1"/>
      <c r="NY134" s="1"/>
      <c r="NZ134" s="1"/>
      <c r="OA134" s="1"/>
      <c r="OB134" s="1"/>
      <c r="OC134" s="1"/>
      <c r="OD134" s="1"/>
      <c r="OE134" s="1"/>
      <c r="OF134" s="1"/>
      <c r="OG134" s="1"/>
      <c r="OH134" s="1"/>
      <c r="OI134" s="1"/>
      <c r="OJ134" s="1"/>
      <c r="OK134" s="1"/>
      <c r="OL134" s="1"/>
      <c r="OM134" s="1"/>
      <c r="ON134" s="1"/>
      <c r="OO134" s="1"/>
      <c r="OP134" s="1"/>
      <c r="OQ134" s="1"/>
      <c r="OR134" s="1"/>
      <c r="OS134" s="1"/>
      <c r="OT134" s="1"/>
      <c r="OU134" s="1"/>
      <c r="OV134" s="1"/>
      <c r="OW134" s="1"/>
      <c r="OX134" s="1"/>
      <c r="OY134" s="1"/>
      <c r="OZ134" s="1"/>
      <c r="PA134" s="1"/>
      <c r="PB134" s="1"/>
      <c r="PC134" s="1"/>
      <c r="PD134" s="1"/>
      <c r="PE134" s="1"/>
      <c r="PF134" s="1"/>
      <c r="PG134" s="1"/>
      <c r="PH134" s="1"/>
      <c r="PI134" s="1"/>
      <c r="PJ134" s="1"/>
      <c r="PK134" s="1"/>
      <c r="PL134" s="1"/>
      <c r="PM134" s="1"/>
      <c r="PN134" s="1"/>
      <c r="PO134" s="1"/>
      <c r="PP134" s="1"/>
      <c r="PQ134" s="1"/>
      <c r="PR134" s="1"/>
      <c r="PS134" s="1"/>
      <c r="PT134" s="1"/>
      <c r="PU134" s="1"/>
      <c r="PV134" s="1"/>
      <c r="PW134" s="1"/>
      <c r="PX134" s="1"/>
      <c r="PY134" s="1"/>
      <c r="PZ134" s="1"/>
      <c r="QA134" s="1"/>
      <c r="QB134" s="1"/>
      <c r="QC134" s="1"/>
      <c r="QD134" s="1"/>
      <c r="QE134" s="1"/>
      <c r="QF134" s="1"/>
      <c r="QG134" s="1"/>
      <c r="QH134" s="1"/>
      <c r="QI134" s="1"/>
      <c r="QJ134" s="1"/>
      <c r="QK134" s="1"/>
      <c r="QL134" s="1"/>
      <c r="QM134" s="1"/>
      <c r="QN134" s="1"/>
      <c r="QO134" s="1"/>
      <c r="QP134" s="1"/>
      <c r="QQ134" s="1"/>
      <c r="QR134" s="1"/>
      <c r="QS134" s="1"/>
      <c r="QT134" s="1"/>
      <c r="QU134" s="1"/>
      <c r="QV134" s="1"/>
      <c r="QW134" s="1"/>
      <c r="QX134" s="1"/>
      <c r="QY134" s="1"/>
      <c r="QZ134" s="1"/>
      <c r="RA134" s="1"/>
      <c r="RB134" s="1"/>
      <c r="RC134" s="1"/>
      <c r="RD134" s="1"/>
      <c r="RE134" s="1"/>
      <c r="RF134" s="1"/>
      <c r="RG134" s="1"/>
      <c r="RH134" s="1"/>
      <c r="RI134" s="1"/>
      <c r="RJ134" s="1"/>
      <c r="RK134" s="1"/>
      <c r="RL134" s="1"/>
      <c r="RM134" s="1"/>
      <c r="RN134" s="1"/>
      <c r="RO134" s="1"/>
      <c r="RP134" s="1"/>
      <c r="RQ134" s="1"/>
      <c r="RR134" s="1"/>
      <c r="RS134" s="1"/>
      <c r="RT134" s="1"/>
      <c r="RU134" s="1"/>
      <c r="RV134" s="1"/>
      <c r="RW134" s="1"/>
      <c r="RX134" s="1"/>
      <c r="RY134" s="1"/>
      <c r="RZ134" s="1"/>
      <c r="SA134" s="1"/>
      <c r="SB134" s="1"/>
      <c r="SC134" s="1"/>
      <c r="SD134" s="1"/>
      <c r="SE134" s="1"/>
      <c r="SF134" s="1"/>
      <c r="SG134" s="1"/>
      <c r="SH134" s="1"/>
      <c r="SI134" s="1"/>
      <c r="SJ134" s="1"/>
      <c r="SK134" s="1"/>
      <c r="SL134" s="1"/>
      <c r="SM134" s="1"/>
      <c r="SN134" s="1"/>
      <c r="SO134" s="1"/>
      <c r="SP134" s="1"/>
      <c r="SQ134" s="1"/>
      <c r="SR134" s="1"/>
      <c r="SS134" s="1"/>
      <c r="ST134" s="1"/>
      <c r="SU134" s="1"/>
      <c r="SV134" s="1"/>
      <c r="SW134" s="1"/>
      <c r="SX134" s="1"/>
      <c r="SY134" s="1"/>
      <c r="SZ134" s="1"/>
      <c r="TA134" s="1"/>
      <c r="TB134" s="1"/>
      <c r="TC134" s="1"/>
      <c r="TD134" s="1"/>
      <c r="TE134" s="1"/>
      <c r="TF134" s="1"/>
      <c r="TG134" s="1"/>
      <c r="TH134" s="1"/>
      <c r="TI134" s="1"/>
      <c r="TJ134" s="1"/>
      <c r="TK134" s="1"/>
      <c r="TL134" s="1"/>
      <c r="TM134" s="1"/>
      <c r="TN134" s="1"/>
      <c r="TO134" s="1"/>
      <c r="TP134" s="1"/>
      <c r="TQ134" s="1"/>
      <c r="TR134" s="1"/>
      <c r="TS134" s="1"/>
      <c r="TT134" s="1"/>
      <c r="TU134" s="1"/>
      <c r="TV134" s="1"/>
      <c r="TW134" s="1"/>
      <c r="TX134" s="1"/>
      <c r="TY134" s="1"/>
      <c r="TZ134" s="1"/>
      <c r="UA134" s="1"/>
      <c r="UB134" s="1"/>
      <c r="UC134" s="1"/>
      <c r="UD134" s="1"/>
      <c r="UE134" s="1"/>
      <c r="UF134" s="1"/>
      <c r="UG134" s="1"/>
      <c r="UH134" s="1"/>
      <c r="UI134" s="1"/>
      <c r="UJ134" s="1"/>
      <c r="UK134" s="1"/>
      <c r="UL134" s="1"/>
      <c r="UM134" s="1"/>
      <c r="UN134" s="1"/>
      <c r="UO134" s="1"/>
      <c r="UP134" s="1"/>
      <c r="UQ134" s="1"/>
      <c r="UR134" s="1"/>
      <c r="US134" s="1"/>
      <c r="UT134" s="1"/>
      <c r="UU134" s="1"/>
      <c r="UV134" s="1"/>
      <c r="UW134" s="1"/>
      <c r="UX134" s="1"/>
      <c r="UY134" s="1"/>
      <c r="UZ134" s="1"/>
      <c r="VA134" s="1"/>
      <c r="VB134" s="1"/>
      <c r="VC134" s="1"/>
      <c r="VD134" s="1"/>
      <c r="VE134" s="1"/>
      <c r="VF134" s="1"/>
      <c r="VG134" s="1"/>
      <c r="VH134" s="1"/>
      <c r="VI134" s="1"/>
      <c r="VJ134" s="1"/>
      <c r="VK134" s="1"/>
      <c r="VL134" s="1"/>
      <c r="VM134" s="1"/>
      <c r="VN134" s="1"/>
      <c r="VO134" s="1"/>
      <c r="VP134" s="1"/>
      <c r="VQ134" s="1"/>
      <c r="VR134" s="1"/>
      <c r="VS134" s="1"/>
      <c r="VT134" s="1"/>
      <c r="VU134" s="1"/>
      <c r="VV134" s="1"/>
      <c r="VW134" s="1"/>
      <c r="VX134" s="1"/>
      <c r="VY134" s="1"/>
      <c r="VZ134" s="1"/>
      <c r="WA134" s="1"/>
      <c r="WB134" s="1"/>
      <c r="WC134" s="1"/>
      <c r="WD134" s="1"/>
      <c r="WE134" s="1"/>
      <c r="WF134" s="1"/>
      <c r="WG134" s="1"/>
      <c r="WH134" s="1"/>
      <c r="WI134" s="1"/>
      <c r="WJ134" s="1"/>
      <c r="WK134" s="1"/>
      <c r="WL134" s="1"/>
      <c r="WM134" s="1"/>
      <c r="WN134" s="1"/>
      <c r="WO134" s="1"/>
      <c r="WP134" s="1"/>
      <c r="WQ134" s="1"/>
      <c r="WR134" s="1"/>
      <c r="WS134" s="1"/>
      <c r="WT134" s="1"/>
      <c r="WU134" s="1"/>
      <c r="WV134" s="1"/>
      <c r="WW134" s="1"/>
      <c r="WX134" s="1"/>
      <c r="WY134" s="1"/>
      <c r="WZ134" s="1"/>
      <c r="XA134" s="1"/>
      <c r="XB134" s="1"/>
      <c r="XC134" s="1"/>
      <c r="XD134" s="1"/>
      <c r="XE134" s="1"/>
      <c r="XF134" s="1"/>
      <c r="XG134" s="1"/>
      <c r="XH134" s="1"/>
      <c r="XI134" s="1"/>
      <c r="XJ134" s="1"/>
      <c r="XK134" s="1"/>
      <c r="XL134" s="1"/>
      <c r="XM134" s="1"/>
      <c r="XN134" s="1"/>
      <c r="XO134" s="1"/>
      <c r="XP134" s="1"/>
      <c r="XQ134" s="1"/>
      <c r="XR134" s="1"/>
      <c r="XS134" s="1"/>
      <c r="XT134" s="1"/>
      <c r="XU134" s="1"/>
      <c r="XV134" s="1"/>
      <c r="XW134" s="1"/>
      <c r="XX134" s="1"/>
      <c r="XY134" s="1"/>
      <c r="XZ134" s="1"/>
      <c r="YA134" s="1"/>
      <c r="YB134" s="1"/>
      <c r="YC134" s="1"/>
      <c r="YD134" s="1"/>
      <c r="YE134" s="1"/>
      <c r="YF134" s="1"/>
      <c r="YG134" s="1"/>
      <c r="YH134" s="1"/>
      <c r="YI134" s="1"/>
      <c r="YJ134" s="1"/>
      <c r="YK134" s="1"/>
      <c r="YL134" s="1"/>
      <c r="YM134" s="1"/>
      <c r="YN134" s="1"/>
      <c r="YO134" s="1"/>
      <c r="YP134" s="1"/>
      <c r="YQ134" s="1"/>
      <c r="YR134" s="1"/>
      <c r="YS134" s="1"/>
      <c r="YT134" s="1"/>
      <c r="YU134" s="1"/>
      <c r="YV134" s="1"/>
      <c r="YW134" s="1"/>
      <c r="YX134" s="1"/>
      <c r="YY134" s="1"/>
      <c r="YZ134" s="1"/>
      <c r="ZA134" s="1"/>
      <c r="ZB134" s="1"/>
      <c r="ZC134" s="1"/>
      <c r="ZD134" s="1"/>
      <c r="ZE134" s="1"/>
      <c r="ZF134" s="1"/>
      <c r="ZG134" s="1"/>
      <c r="ZH134" s="1"/>
      <c r="ZI134" s="1"/>
      <c r="ZJ134" s="1"/>
      <c r="ZK134" s="1"/>
      <c r="ZL134" s="1"/>
      <c r="ZM134" s="1"/>
      <c r="ZN134" s="1"/>
      <c r="ZO134" s="1"/>
      <c r="ZP134" s="1"/>
      <c r="ZQ134" s="1"/>
      <c r="ZR134" s="1"/>
      <c r="ZS134" s="1"/>
      <c r="ZT134" s="1"/>
      <c r="ZU134" s="1"/>
      <c r="ZV134" s="1"/>
      <c r="ZW134" s="1"/>
      <c r="ZX134" s="1"/>
      <c r="ZY134" s="1"/>
      <c r="ZZ134" s="1"/>
      <c r="AAA134" s="1"/>
      <c r="AAB134" s="1"/>
      <c r="AAC134" s="1"/>
      <c r="AAD134" s="1"/>
      <c r="AAE134" s="1"/>
      <c r="AAF134" s="1"/>
      <c r="AAG134" s="1"/>
      <c r="AAH134" s="1"/>
      <c r="AAI134" s="1"/>
      <c r="AAJ134" s="1"/>
      <c r="AAK134" s="1"/>
      <c r="AAL134" s="1"/>
      <c r="AAM134" s="1"/>
      <c r="AAN134" s="1"/>
      <c r="AAO134" s="1"/>
      <c r="AAP134" s="1"/>
      <c r="AAQ134" s="1"/>
      <c r="AAR134" s="1"/>
      <c r="AAS134" s="1"/>
      <c r="AAT134" s="1"/>
      <c r="AAU134" s="1"/>
      <c r="AAV134" s="1"/>
      <c r="AAW134" s="1"/>
      <c r="AAX134" s="1"/>
      <c r="AAY134" s="1"/>
      <c r="AAZ134" s="1"/>
      <c r="ABA134" s="1"/>
      <c r="ABB134" s="1"/>
      <c r="ABC134" s="1"/>
      <c r="ABD134" s="1"/>
      <c r="ABE134" s="1"/>
      <c r="ABF134" s="1"/>
      <c r="ABG134" s="1"/>
      <c r="ABH134" s="1"/>
      <c r="ABI134" s="1"/>
      <c r="ABJ134" s="1"/>
      <c r="ABK134" s="1"/>
      <c r="ABL134" s="1"/>
      <c r="ABM134" s="1"/>
      <c r="ABN134" s="1"/>
      <c r="ABO134" s="1"/>
      <c r="ABP134" s="1"/>
      <c r="ABQ134" s="1"/>
      <c r="ABR134" s="1"/>
      <c r="ABS134" s="1"/>
      <c r="ABT134" s="1"/>
      <c r="ABU134" s="1"/>
      <c r="ABV134" s="1"/>
      <c r="ABW134" s="1"/>
      <c r="ABX134" s="1"/>
      <c r="ABY134" s="1"/>
      <c r="ABZ134" s="1"/>
      <c r="ACA134" s="1"/>
      <c r="ACB134" s="1"/>
      <c r="ACC134" s="1"/>
      <c r="ACD134" s="1"/>
      <c r="ACE134" s="1"/>
      <c r="ACF134" s="1"/>
      <c r="ACG134" s="1"/>
      <c r="ACH134" s="1"/>
      <c r="ACI134" s="1"/>
      <c r="ACJ134" s="1"/>
      <c r="ACK134" s="1"/>
      <c r="ACL134" s="1"/>
      <c r="ACM134" s="1"/>
      <c r="ACN134" s="1"/>
      <c r="ACO134" s="1"/>
      <c r="ACP134" s="1"/>
      <c r="ACQ134" s="1"/>
      <c r="ACR134" s="1"/>
      <c r="ACS134" s="1"/>
      <c r="ACT134" s="1"/>
      <c r="ACU134" s="1"/>
      <c r="ACV134" s="1"/>
      <c r="ACW134" s="1"/>
      <c r="ACX134" s="1"/>
      <c r="ACY134" s="1"/>
      <c r="ACZ134" s="1"/>
      <c r="ADA134" s="1"/>
      <c r="ADB134" s="1"/>
      <c r="ADC134" s="1"/>
      <c r="ADD134" s="1"/>
      <c r="ADE134" s="1"/>
      <c r="ADF134" s="1"/>
      <c r="ADG134" s="1"/>
      <c r="ADH134" s="1"/>
      <c r="ADI134" s="1"/>
      <c r="ADJ134" s="1"/>
      <c r="ADK134" s="1"/>
      <c r="ADL134" s="1"/>
      <c r="ADM134" s="1"/>
      <c r="ADN134" s="1"/>
      <c r="ADO134" s="1"/>
      <c r="ADP134" s="1"/>
      <c r="ADQ134" s="1"/>
      <c r="ADR134" s="1"/>
      <c r="ADS134" s="1"/>
      <c r="ADT134" s="1"/>
      <c r="ADU134" s="1"/>
      <c r="ADV134" s="1"/>
      <c r="ADW134" s="1"/>
      <c r="ADX134" s="1"/>
      <c r="ADY134" s="1"/>
      <c r="ADZ134" s="1"/>
      <c r="AEA134" s="1"/>
      <c r="AEB134" s="1"/>
      <c r="AEC134" s="1"/>
      <c r="AED134" s="1"/>
      <c r="AEE134" s="1"/>
      <c r="AEF134" s="1"/>
      <c r="AEG134" s="1"/>
      <c r="AEH134" s="1"/>
      <c r="AEI134" s="1"/>
      <c r="AEJ134" s="1"/>
      <c r="AEK134" s="1"/>
      <c r="AEL134" s="1"/>
      <c r="AEM134" s="1"/>
      <c r="AEN134" s="1"/>
      <c r="AEO134" s="1"/>
      <c r="AEP134" s="1"/>
      <c r="AEQ134" s="1"/>
      <c r="AER134" s="1"/>
      <c r="AES134" s="1"/>
      <c r="AET134" s="1"/>
      <c r="AEU134" s="1"/>
      <c r="AEV134" s="1"/>
      <c r="AEW134" s="1"/>
      <c r="AEX134" s="1"/>
      <c r="AEY134" s="1"/>
      <c r="AEZ134" s="1"/>
      <c r="AFA134" s="1"/>
      <c r="AFB134" s="1"/>
      <c r="AFC134" s="1"/>
      <c r="AFD134" s="1"/>
      <c r="AFE134" s="1"/>
      <c r="AFF134" s="1"/>
      <c r="AFG134" s="1"/>
      <c r="AFH134" s="1"/>
      <c r="AFI134" s="1"/>
      <c r="AFJ134" s="1"/>
      <c r="AFK134" s="1"/>
      <c r="AFL134" s="1"/>
      <c r="AFM134" s="1"/>
      <c r="AFN134" s="1"/>
      <c r="AFO134" s="1"/>
      <c r="AFP134" s="1"/>
      <c r="AFQ134" s="1"/>
      <c r="AFR134" s="1"/>
      <c r="AFS134" s="1"/>
      <c r="AFT134" s="1"/>
      <c r="AFU134" s="1"/>
      <c r="AFV134" s="1"/>
      <c r="AFW134" s="1"/>
      <c r="AFX134" s="1"/>
      <c r="AFY134" s="1"/>
      <c r="AFZ134" s="1"/>
      <c r="AGA134" s="1"/>
      <c r="AGB134" s="1"/>
      <c r="AGC134" s="1"/>
      <c r="AGD134" s="1"/>
      <c r="AGE134" s="1"/>
      <c r="AGF134" s="1"/>
      <c r="AGG134" s="1"/>
      <c r="AGH134" s="1"/>
      <c r="AGI134" s="1"/>
      <c r="AGJ134" s="1"/>
      <c r="AGK134" s="1"/>
      <c r="AGL134" s="1"/>
      <c r="AGM134" s="1"/>
      <c r="AGN134" s="1"/>
      <c r="AGO134" s="1"/>
      <c r="AGP134" s="1"/>
      <c r="AGQ134" s="1"/>
      <c r="AGR134" s="1"/>
      <c r="AGS134" s="1"/>
      <c r="AGT134" s="1"/>
      <c r="AGU134" s="1"/>
      <c r="AGV134" s="1"/>
      <c r="AGW134" s="1"/>
      <c r="AGX134" s="1"/>
      <c r="AGY134" s="1"/>
      <c r="AGZ134" s="1"/>
      <c r="AHA134" s="1"/>
      <c r="AHB134" s="1"/>
      <c r="AHC134" s="1"/>
      <c r="AHD134" s="1"/>
      <c r="AHE134" s="1"/>
      <c r="AHF134" s="1"/>
      <c r="AHG134" s="1"/>
      <c r="AHH134" s="1"/>
      <c r="AHI134" s="1"/>
      <c r="AHJ134" s="1"/>
      <c r="AHK134" s="1"/>
      <c r="AHL134" s="1"/>
      <c r="AHM134" s="1"/>
      <c r="AHN134" s="1"/>
      <c r="AHO134" s="1"/>
      <c r="AHP134" s="1"/>
      <c r="AHQ134" s="1"/>
      <c r="AHR134" s="1"/>
      <c r="AHS134" s="1"/>
      <c r="AHT134" s="1"/>
      <c r="AHU134" s="1"/>
      <c r="AHV134" s="1"/>
      <c r="AHW134" s="1"/>
      <c r="AHX134" s="1"/>
      <c r="AHY134" s="1"/>
      <c r="AHZ134" s="1"/>
      <c r="AIA134" s="1"/>
      <c r="AIB134" s="1"/>
      <c r="AIC134" s="1"/>
      <c r="AID134" s="1"/>
      <c r="AIE134" s="1"/>
      <c r="AIF134" s="1"/>
      <c r="AIG134" s="1"/>
      <c r="AIH134" s="1"/>
      <c r="AII134" s="1"/>
      <c r="AIJ134" s="1"/>
      <c r="AIK134" s="1"/>
      <c r="AIL134" s="1"/>
      <c r="AIM134" s="1"/>
      <c r="AIN134" s="1"/>
      <c r="AIO134" s="1"/>
      <c r="AIP134" s="1"/>
      <c r="AIQ134" s="1"/>
      <c r="AIR134" s="1"/>
      <c r="AIS134" s="1"/>
      <c r="AIT134" s="1"/>
      <c r="AIU134" s="1"/>
      <c r="AIV134" s="1"/>
      <c r="AIW134" s="1"/>
      <c r="AIX134" s="1"/>
      <c r="AIY134" s="1"/>
      <c r="AIZ134" s="1"/>
      <c r="AJA134" s="1"/>
      <c r="AJB134" s="1"/>
      <c r="AJC134" s="1"/>
      <c r="AJD134" s="1"/>
      <c r="AJE134" s="1"/>
      <c r="AJF134" s="1"/>
      <c r="AJG134" s="1"/>
      <c r="AJH134" s="1"/>
      <c r="AJI134" s="1"/>
      <c r="AJJ134" s="1"/>
      <c r="AJK134" s="1"/>
      <c r="AJL134" s="1"/>
      <c r="AJM134" s="1"/>
      <c r="AJN134" s="1"/>
      <c r="AJO134" s="1"/>
      <c r="AJP134" s="1"/>
      <c r="AJQ134" s="1"/>
      <c r="AJR134" s="1"/>
      <c r="AJS134" s="1"/>
      <c r="AJT134" s="1"/>
      <c r="AJU134" s="1"/>
      <c r="AJV134" s="1"/>
      <c r="AJW134" s="1"/>
      <c r="AJX134" s="1"/>
      <c r="AJY134" s="1"/>
      <c r="AJZ134" s="1"/>
      <c r="AKA134" s="1"/>
      <c r="AKB134" s="1"/>
      <c r="AKC134" s="1"/>
      <c r="AKD134" s="1"/>
      <c r="AKE134" s="1"/>
      <c r="AKF134" s="1"/>
      <c r="AKG134" s="1"/>
      <c r="AKH134" s="1"/>
      <c r="AKI134" s="1"/>
      <c r="AKJ134" s="1"/>
      <c r="AKK134" s="1"/>
      <c r="AKL134" s="1"/>
      <c r="AKM134" s="1"/>
      <c r="AKN134" s="1"/>
      <c r="AKO134" s="1"/>
      <c r="AKP134" s="1"/>
      <c r="AKQ134" s="1"/>
      <c r="AKR134" s="1"/>
      <c r="AKS134" s="1"/>
      <c r="AKT134" s="1"/>
      <c r="AKU134" s="1"/>
      <c r="AKV134" s="1"/>
      <c r="AKW134" s="1"/>
      <c r="AKX134" s="1"/>
      <c r="AKY134" s="1"/>
      <c r="AKZ134" s="1"/>
      <c r="ALA134" s="1"/>
      <c r="ALB134" s="1"/>
      <c r="ALC134" s="1"/>
      <c r="ALD134" s="1"/>
      <c r="ALE134" s="1"/>
      <c r="ALF134" s="1"/>
      <c r="ALG134" s="1"/>
      <c r="ALH134" s="1"/>
      <c r="ALI134" s="1"/>
      <c r="ALJ134" s="1"/>
      <c r="ALK134" s="1"/>
      <c r="ALL134" s="1"/>
      <c r="ALM134" s="1"/>
      <c r="ALN134" s="1"/>
      <c r="ALO134" s="1"/>
      <c r="ALP134" s="1"/>
      <c r="ALQ134" s="1"/>
      <c r="ALR134" s="1"/>
      <c r="ALS134" s="1"/>
      <c r="ALT134" s="1"/>
      <c r="ALU134" s="1"/>
      <c r="ALV134" s="1"/>
      <c r="ALW134" s="1"/>
      <c r="ALX134" s="1"/>
      <c r="ALY134" s="1"/>
      <c r="ALZ134" s="1"/>
      <c r="AMA134" s="1"/>
      <c r="AMB134" s="1"/>
      <c r="AMC134" s="1"/>
      <c r="AMD134" s="1"/>
      <c r="AME134" s="1"/>
      <c r="AMF134" s="1"/>
      <c r="AMG134" s="1"/>
      <c r="AMH134" s="1"/>
      <c r="AMI134" s="1"/>
      <c r="AMJ134" s="1"/>
    </row>
    <row r="135" customFormat="false" ht="10.5" hidden="false" customHeight="true" outlineLevel="0" collapsed="false">
      <c r="A135" s="164"/>
      <c r="B135" s="164"/>
      <c r="C135" s="164"/>
      <c r="D135" s="164"/>
      <c r="E135" s="164"/>
      <c r="F135" s="164"/>
      <c r="G135" s="164"/>
      <c r="H135" s="164"/>
      <c r="I135" s="164"/>
      <c r="J135" s="23"/>
      <c r="K135" s="23"/>
      <c r="L135" s="23"/>
      <c r="M135" s="187"/>
      <c r="N135" s="187"/>
      <c r="O135" s="187"/>
      <c r="P135" s="188" t="n">
        <f aca="false">J135*M135</f>
        <v>0</v>
      </c>
      <c r="Q135" s="188"/>
      <c r="R135" s="188"/>
      <c r="S135" s="183"/>
      <c r="T135" s="168"/>
      <c r="U135" s="168"/>
      <c r="V135" s="168"/>
      <c r="W135" s="168"/>
      <c r="X135" s="168"/>
      <c r="Y135" s="168"/>
      <c r="Z135" s="168"/>
      <c r="AA135" s="168"/>
      <c r="AB135" s="168"/>
      <c r="AC135" s="168"/>
      <c r="AD135" s="168"/>
      <c r="AE135" s="23"/>
      <c r="AF135" s="23"/>
      <c r="AG135" s="23"/>
      <c r="AH135" s="187"/>
      <c r="AI135" s="187"/>
      <c r="AJ135" s="187"/>
      <c r="AK135" s="187"/>
      <c r="AL135" s="188" t="n">
        <f aca="false">AE135*AH135</f>
        <v>0</v>
      </c>
      <c r="AM135" s="188"/>
      <c r="AN135" s="188"/>
      <c r="AO135" s="188"/>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c r="IY135" s="1"/>
      <c r="IZ135" s="1"/>
      <c r="JA135" s="1"/>
      <c r="JB135" s="1"/>
      <c r="JC135" s="1"/>
      <c r="JD135" s="1"/>
      <c r="JE135" s="1"/>
      <c r="JF135" s="1"/>
      <c r="JG135" s="1"/>
      <c r="JH135" s="1"/>
      <c r="JI135" s="1"/>
      <c r="JJ135" s="1"/>
      <c r="JK135" s="1"/>
      <c r="JL135" s="1"/>
      <c r="JM135" s="1"/>
      <c r="JN135" s="1"/>
      <c r="JO135" s="1"/>
      <c r="JP135" s="1"/>
      <c r="JQ135" s="1"/>
      <c r="JR135" s="1"/>
      <c r="JS135" s="1"/>
      <c r="JT135" s="1"/>
      <c r="JU135" s="1"/>
      <c r="JV135" s="1"/>
      <c r="JW135" s="1"/>
      <c r="JX135" s="1"/>
      <c r="JY135" s="1"/>
      <c r="JZ135" s="1"/>
      <c r="KA135" s="1"/>
      <c r="KB135" s="1"/>
      <c r="KC135" s="1"/>
      <c r="KD135" s="1"/>
      <c r="KE135" s="1"/>
      <c r="KF135" s="1"/>
      <c r="KG135" s="1"/>
      <c r="KH135" s="1"/>
      <c r="KI135" s="1"/>
      <c r="KJ135" s="1"/>
      <c r="KK135" s="1"/>
      <c r="KL135" s="1"/>
      <c r="KM135" s="1"/>
      <c r="KN135" s="1"/>
      <c r="KO135" s="1"/>
      <c r="KP135" s="1"/>
      <c r="KQ135" s="1"/>
      <c r="KR135" s="1"/>
      <c r="KS135" s="1"/>
      <c r="KT135" s="1"/>
      <c r="KU135" s="1"/>
      <c r="KV135" s="1"/>
      <c r="KW135" s="1"/>
      <c r="KX135" s="1"/>
      <c r="KY135" s="1"/>
      <c r="KZ135" s="1"/>
      <c r="LA135" s="1"/>
      <c r="LB135" s="1"/>
      <c r="LC135" s="1"/>
      <c r="LD135" s="1"/>
      <c r="LE135" s="1"/>
      <c r="LF135" s="1"/>
      <c r="LG135" s="1"/>
      <c r="LH135" s="1"/>
      <c r="LI135" s="1"/>
      <c r="LJ135" s="1"/>
      <c r="LK135" s="1"/>
      <c r="LL135" s="1"/>
      <c r="LM135" s="1"/>
      <c r="LN135" s="1"/>
      <c r="LO135" s="1"/>
      <c r="LP135" s="1"/>
      <c r="LQ135" s="1"/>
      <c r="LR135" s="1"/>
      <c r="LS135" s="1"/>
      <c r="LT135" s="1"/>
      <c r="LU135" s="1"/>
      <c r="LV135" s="1"/>
      <c r="LW135" s="1"/>
      <c r="LX135" s="1"/>
      <c r="LY135" s="1"/>
      <c r="LZ135" s="1"/>
      <c r="MA135" s="1"/>
      <c r="MB135" s="1"/>
      <c r="MC135" s="1"/>
      <c r="MD135" s="1"/>
      <c r="ME135" s="1"/>
      <c r="MF135" s="1"/>
      <c r="MG135" s="1"/>
      <c r="MH135" s="1"/>
      <c r="MI135" s="1"/>
      <c r="MJ135" s="1"/>
      <c r="MK135" s="1"/>
      <c r="ML135" s="1"/>
      <c r="MM135" s="1"/>
      <c r="MN135" s="1"/>
      <c r="MO135" s="1"/>
      <c r="MP135" s="1"/>
      <c r="MQ135" s="1"/>
      <c r="MR135" s="1"/>
      <c r="MS135" s="1"/>
      <c r="MT135" s="1"/>
      <c r="MU135" s="1"/>
      <c r="MV135" s="1"/>
      <c r="MW135" s="1"/>
      <c r="MX135" s="1"/>
      <c r="MY135" s="1"/>
      <c r="MZ135" s="1"/>
      <c r="NA135" s="1"/>
      <c r="NB135" s="1"/>
      <c r="NC135" s="1"/>
      <c r="ND135" s="1"/>
      <c r="NE135" s="1"/>
      <c r="NF135" s="1"/>
      <c r="NG135" s="1"/>
      <c r="NH135" s="1"/>
      <c r="NI135" s="1"/>
      <c r="NJ135" s="1"/>
      <c r="NK135" s="1"/>
      <c r="NL135" s="1"/>
      <c r="NM135" s="1"/>
      <c r="NN135" s="1"/>
      <c r="NO135" s="1"/>
      <c r="NP135" s="1"/>
      <c r="NQ135" s="1"/>
      <c r="NR135" s="1"/>
      <c r="NS135" s="1"/>
      <c r="NT135" s="1"/>
      <c r="NU135" s="1"/>
      <c r="NV135" s="1"/>
      <c r="NW135" s="1"/>
      <c r="NX135" s="1"/>
      <c r="NY135" s="1"/>
      <c r="NZ135" s="1"/>
      <c r="OA135" s="1"/>
      <c r="OB135" s="1"/>
      <c r="OC135" s="1"/>
      <c r="OD135" s="1"/>
      <c r="OE135" s="1"/>
      <c r="OF135" s="1"/>
      <c r="OG135" s="1"/>
      <c r="OH135" s="1"/>
      <c r="OI135" s="1"/>
      <c r="OJ135" s="1"/>
      <c r="OK135" s="1"/>
      <c r="OL135" s="1"/>
      <c r="OM135" s="1"/>
      <c r="ON135" s="1"/>
      <c r="OO135" s="1"/>
      <c r="OP135" s="1"/>
      <c r="OQ135" s="1"/>
      <c r="OR135" s="1"/>
      <c r="OS135" s="1"/>
      <c r="OT135" s="1"/>
      <c r="OU135" s="1"/>
      <c r="OV135" s="1"/>
      <c r="OW135" s="1"/>
      <c r="OX135" s="1"/>
      <c r="OY135" s="1"/>
      <c r="OZ135" s="1"/>
      <c r="PA135" s="1"/>
      <c r="PB135" s="1"/>
      <c r="PC135" s="1"/>
      <c r="PD135" s="1"/>
      <c r="PE135" s="1"/>
      <c r="PF135" s="1"/>
      <c r="PG135" s="1"/>
      <c r="PH135" s="1"/>
      <c r="PI135" s="1"/>
      <c r="PJ135" s="1"/>
      <c r="PK135" s="1"/>
      <c r="PL135" s="1"/>
      <c r="PM135" s="1"/>
      <c r="PN135" s="1"/>
      <c r="PO135" s="1"/>
      <c r="PP135" s="1"/>
      <c r="PQ135" s="1"/>
      <c r="PR135" s="1"/>
      <c r="PS135" s="1"/>
      <c r="PT135" s="1"/>
      <c r="PU135" s="1"/>
      <c r="PV135" s="1"/>
      <c r="PW135" s="1"/>
      <c r="PX135" s="1"/>
      <c r="PY135" s="1"/>
      <c r="PZ135" s="1"/>
      <c r="QA135" s="1"/>
      <c r="QB135" s="1"/>
      <c r="QC135" s="1"/>
      <c r="QD135" s="1"/>
      <c r="QE135" s="1"/>
      <c r="QF135" s="1"/>
      <c r="QG135" s="1"/>
      <c r="QH135" s="1"/>
      <c r="QI135" s="1"/>
      <c r="QJ135" s="1"/>
      <c r="QK135" s="1"/>
      <c r="QL135" s="1"/>
      <c r="QM135" s="1"/>
      <c r="QN135" s="1"/>
      <c r="QO135" s="1"/>
      <c r="QP135" s="1"/>
      <c r="QQ135" s="1"/>
      <c r="QR135" s="1"/>
      <c r="QS135" s="1"/>
      <c r="QT135" s="1"/>
      <c r="QU135" s="1"/>
      <c r="QV135" s="1"/>
      <c r="QW135" s="1"/>
      <c r="QX135" s="1"/>
      <c r="QY135" s="1"/>
      <c r="QZ135" s="1"/>
      <c r="RA135" s="1"/>
      <c r="RB135" s="1"/>
      <c r="RC135" s="1"/>
      <c r="RD135" s="1"/>
      <c r="RE135" s="1"/>
      <c r="RF135" s="1"/>
      <c r="RG135" s="1"/>
      <c r="RH135" s="1"/>
      <c r="RI135" s="1"/>
      <c r="RJ135" s="1"/>
      <c r="RK135" s="1"/>
      <c r="RL135" s="1"/>
      <c r="RM135" s="1"/>
      <c r="RN135" s="1"/>
      <c r="RO135" s="1"/>
      <c r="RP135" s="1"/>
      <c r="RQ135" s="1"/>
      <c r="RR135" s="1"/>
      <c r="RS135" s="1"/>
      <c r="RT135" s="1"/>
      <c r="RU135" s="1"/>
      <c r="RV135" s="1"/>
      <c r="RW135" s="1"/>
      <c r="RX135" s="1"/>
      <c r="RY135" s="1"/>
      <c r="RZ135" s="1"/>
      <c r="SA135" s="1"/>
      <c r="SB135" s="1"/>
      <c r="SC135" s="1"/>
      <c r="SD135" s="1"/>
      <c r="SE135" s="1"/>
      <c r="SF135" s="1"/>
      <c r="SG135" s="1"/>
      <c r="SH135" s="1"/>
      <c r="SI135" s="1"/>
      <c r="SJ135" s="1"/>
      <c r="SK135" s="1"/>
      <c r="SL135" s="1"/>
      <c r="SM135" s="1"/>
      <c r="SN135" s="1"/>
      <c r="SO135" s="1"/>
      <c r="SP135" s="1"/>
      <c r="SQ135" s="1"/>
      <c r="SR135" s="1"/>
      <c r="SS135" s="1"/>
      <c r="ST135" s="1"/>
      <c r="SU135" s="1"/>
      <c r="SV135" s="1"/>
      <c r="SW135" s="1"/>
      <c r="SX135" s="1"/>
      <c r="SY135" s="1"/>
      <c r="SZ135" s="1"/>
      <c r="TA135" s="1"/>
      <c r="TB135" s="1"/>
      <c r="TC135" s="1"/>
      <c r="TD135" s="1"/>
      <c r="TE135" s="1"/>
      <c r="TF135" s="1"/>
      <c r="TG135" s="1"/>
      <c r="TH135" s="1"/>
      <c r="TI135" s="1"/>
      <c r="TJ135" s="1"/>
      <c r="TK135" s="1"/>
      <c r="TL135" s="1"/>
      <c r="TM135" s="1"/>
      <c r="TN135" s="1"/>
      <c r="TO135" s="1"/>
      <c r="TP135" s="1"/>
      <c r="TQ135" s="1"/>
      <c r="TR135" s="1"/>
      <c r="TS135" s="1"/>
      <c r="TT135" s="1"/>
      <c r="TU135" s="1"/>
      <c r="TV135" s="1"/>
      <c r="TW135" s="1"/>
      <c r="TX135" s="1"/>
      <c r="TY135" s="1"/>
      <c r="TZ135" s="1"/>
      <c r="UA135" s="1"/>
      <c r="UB135" s="1"/>
      <c r="UC135" s="1"/>
      <c r="UD135" s="1"/>
      <c r="UE135" s="1"/>
      <c r="UF135" s="1"/>
      <c r="UG135" s="1"/>
      <c r="UH135" s="1"/>
      <c r="UI135" s="1"/>
      <c r="UJ135" s="1"/>
      <c r="UK135" s="1"/>
      <c r="UL135" s="1"/>
      <c r="UM135" s="1"/>
      <c r="UN135" s="1"/>
      <c r="UO135" s="1"/>
      <c r="UP135" s="1"/>
      <c r="UQ135" s="1"/>
      <c r="UR135" s="1"/>
      <c r="US135" s="1"/>
      <c r="UT135" s="1"/>
      <c r="UU135" s="1"/>
      <c r="UV135" s="1"/>
      <c r="UW135" s="1"/>
      <c r="UX135" s="1"/>
      <c r="UY135" s="1"/>
      <c r="UZ135" s="1"/>
      <c r="VA135" s="1"/>
      <c r="VB135" s="1"/>
      <c r="VC135" s="1"/>
      <c r="VD135" s="1"/>
      <c r="VE135" s="1"/>
      <c r="VF135" s="1"/>
      <c r="VG135" s="1"/>
      <c r="VH135" s="1"/>
      <c r="VI135" s="1"/>
      <c r="VJ135" s="1"/>
      <c r="VK135" s="1"/>
      <c r="VL135" s="1"/>
      <c r="VM135" s="1"/>
      <c r="VN135" s="1"/>
      <c r="VO135" s="1"/>
      <c r="VP135" s="1"/>
      <c r="VQ135" s="1"/>
      <c r="VR135" s="1"/>
      <c r="VS135" s="1"/>
      <c r="VT135" s="1"/>
      <c r="VU135" s="1"/>
      <c r="VV135" s="1"/>
      <c r="VW135" s="1"/>
      <c r="VX135" s="1"/>
      <c r="VY135" s="1"/>
      <c r="VZ135" s="1"/>
      <c r="WA135" s="1"/>
      <c r="WB135" s="1"/>
      <c r="WC135" s="1"/>
      <c r="WD135" s="1"/>
      <c r="WE135" s="1"/>
      <c r="WF135" s="1"/>
      <c r="WG135" s="1"/>
      <c r="WH135" s="1"/>
      <c r="WI135" s="1"/>
      <c r="WJ135" s="1"/>
      <c r="WK135" s="1"/>
      <c r="WL135" s="1"/>
      <c r="WM135" s="1"/>
      <c r="WN135" s="1"/>
      <c r="WO135" s="1"/>
      <c r="WP135" s="1"/>
      <c r="WQ135" s="1"/>
      <c r="WR135" s="1"/>
      <c r="WS135" s="1"/>
      <c r="WT135" s="1"/>
      <c r="WU135" s="1"/>
      <c r="WV135" s="1"/>
      <c r="WW135" s="1"/>
      <c r="WX135" s="1"/>
      <c r="WY135" s="1"/>
      <c r="WZ135" s="1"/>
      <c r="XA135" s="1"/>
      <c r="XB135" s="1"/>
      <c r="XC135" s="1"/>
      <c r="XD135" s="1"/>
      <c r="XE135" s="1"/>
      <c r="XF135" s="1"/>
      <c r="XG135" s="1"/>
      <c r="XH135" s="1"/>
      <c r="XI135" s="1"/>
      <c r="XJ135" s="1"/>
      <c r="XK135" s="1"/>
      <c r="XL135" s="1"/>
      <c r="XM135" s="1"/>
      <c r="XN135" s="1"/>
      <c r="XO135" s="1"/>
      <c r="XP135" s="1"/>
      <c r="XQ135" s="1"/>
      <c r="XR135" s="1"/>
      <c r="XS135" s="1"/>
      <c r="XT135" s="1"/>
      <c r="XU135" s="1"/>
      <c r="XV135" s="1"/>
      <c r="XW135" s="1"/>
      <c r="XX135" s="1"/>
      <c r="XY135" s="1"/>
      <c r="XZ135" s="1"/>
      <c r="YA135" s="1"/>
      <c r="YB135" s="1"/>
      <c r="YC135" s="1"/>
      <c r="YD135" s="1"/>
      <c r="YE135" s="1"/>
      <c r="YF135" s="1"/>
      <c r="YG135" s="1"/>
      <c r="YH135" s="1"/>
      <c r="YI135" s="1"/>
      <c r="YJ135" s="1"/>
      <c r="YK135" s="1"/>
      <c r="YL135" s="1"/>
      <c r="YM135" s="1"/>
      <c r="YN135" s="1"/>
      <c r="YO135" s="1"/>
      <c r="YP135" s="1"/>
      <c r="YQ135" s="1"/>
      <c r="YR135" s="1"/>
      <c r="YS135" s="1"/>
      <c r="YT135" s="1"/>
      <c r="YU135" s="1"/>
      <c r="YV135" s="1"/>
      <c r="YW135" s="1"/>
      <c r="YX135" s="1"/>
      <c r="YY135" s="1"/>
      <c r="YZ135" s="1"/>
      <c r="ZA135" s="1"/>
      <c r="ZB135" s="1"/>
      <c r="ZC135" s="1"/>
      <c r="ZD135" s="1"/>
      <c r="ZE135" s="1"/>
      <c r="ZF135" s="1"/>
      <c r="ZG135" s="1"/>
      <c r="ZH135" s="1"/>
      <c r="ZI135" s="1"/>
      <c r="ZJ135" s="1"/>
      <c r="ZK135" s="1"/>
      <c r="ZL135" s="1"/>
      <c r="ZM135" s="1"/>
      <c r="ZN135" s="1"/>
      <c r="ZO135" s="1"/>
      <c r="ZP135" s="1"/>
      <c r="ZQ135" s="1"/>
      <c r="ZR135" s="1"/>
      <c r="ZS135" s="1"/>
      <c r="ZT135" s="1"/>
      <c r="ZU135" s="1"/>
      <c r="ZV135" s="1"/>
      <c r="ZW135" s="1"/>
      <c r="ZX135" s="1"/>
      <c r="ZY135" s="1"/>
      <c r="ZZ135" s="1"/>
      <c r="AAA135" s="1"/>
      <c r="AAB135" s="1"/>
      <c r="AAC135" s="1"/>
      <c r="AAD135" s="1"/>
      <c r="AAE135" s="1"/>
      <c r="AAF135" s="1"/>
      <c r="AAG135" s="1"/>
      <c r="AAH135" s="1"/>
      <c r="AAI135" s="1"/>
      <c r="AAJ135" s="1"/>
      <c r="AAK135" s="1"/>
      <c r="AAL135" s="1"/>
      <c r="AAM135" s="1"/>
      <c r="AAN135" s="1"/>
      <c r="AAO135" s="1"/>
      <c r="AAP135" s="1"/>
      <c r="AAQ135" s="1"/>
      <c r="AAR135" s="1"/>
      <c r="AAS135" s="1"/>
      <c r="AAT135" s="1"/>
      <c r="AAU135" s="1"/>
      <c r="AAV135" s="1"/>
      <c r="AAW135" s="1"/>
      <c r="AAX135" s="1"/>
      <c r="AAY135" s="1"/>
      <c r="AAZ135" s="1"/>
      <c r="ABA135" s="1"/>
      <c r="ABB135" s="1"/>
      <c r="ABC135" s="1"/>
      <c r="ABD135" s="1"/>
      <c r="ABE135" s="1"/>
      <c r="ABF135" s="1"/>
      <c r="ABG135" s="1"/>
      <c r="ABH135" s="1"/>
      <c r="ABI135" s="1"/>
      <c r="ABJ135" s="1"/>
      <c r="ABK135" s="1"/>
      <c r="ABL135" s="1"/>
      <c r="ABM135" s="1"/>
      <c r="ABN135" s="1"/>
      <c r="ABO135" s="1"/>
      <c r="ABP135" s="1"/>
      <c r="ABQ135" s="1"/>
      <c r="ABR135" s="1"/>
      <c r="ABS135" s="1"/>
      <c r="ABT135" s="1"/>
      <c r="ABU135" s="1"/>
      <c r="ABV135" s="1"/>
      <c r="ABW135" s="1"/>
      <c r="ABX135" s="1"/>
      <c r="ABY135" s="1"/>
      <c r="ABZ135" s="1"/>
      <c r="ACA135" s="1"/>
      <c r="ACB135" s="1"/>
      <c r="ACC135" s="1"/>
      <c r="ACD135" s="1"/>
      <c r="ACE135" s="1"/>
      <c r="ACF135" s="1"/>
      <c r="ACG135" s="1"/>
      <c r="ACH135" s="1"/>
      <c r="ACI135" s="1"/>
      <c r="ACJ135" s="1"/>
      <c r="ACK135" s="1"/>
      <c r="ACL135" s="1"/>
      <c r="ACM135" s="1"/>
      <c r="ACN135" s="1"/>
      <c r="ACO135" s="1"/>
      <c r="ACP135" s="1"/>
      <c r="ACQ135" s="1"/>
      <c r="ACR135" s="1"/>
      <c r="ACS135" s="1"/>
      <c r="ACT135" s="1"/>
      <c r="ACU135" s="1"/>
      <c r="ACV135" s="1"/>
      <c r="ACW135" s="1"/>
      <c r="ACX135" s="1"/>
      <c r="ACY135" s="1"/>
      <c r="ACZ135" s="1"/>
      <c r="ADA135" s="1"/>
      <c r="ADB135" s="1"/>
      <c r="ADC135" s="1"/>
      <c r="ADD135" s="1"/>
      <c r="ADE135" s="1"/>
      <c r="ADF135" s="1"/>
      <c r="ADG135" s="1"/>
      <c r="ADH135" s="1"/>
      <c r="ADI135" s="1"/>
      <c r="ADJ135" s="1"/>
      <c r="ADK135" s="1"/>
      <c r="ADL135" s="1"/>
      <c r="ADM135" s="1"/>
      <c r="ADN135" s="1"/>
      <c r="ADO135" s="1"/>
      <c r="ADP135" s="1"/>
      <c r="ADQ135" s="1"/>
      <c r="ADR135" s="1"/>
      <c r="ADS135" s="1"/>
      <c r="ADT135" s="1"/>
      <c r="ADU135" s="1"/>
      <c r="ADV135" s="1"/>
      <c r="ADW135" s="1"/>
      <c r="ADX135" s="1"/>
      <c r="ADY135" s="1"/>
      <c r="ADZ135" s="1"/>
      <c r="AEA135" s="1"/>
      <c r="AEB135" s="1"/>
      <c r="AEC135" s="1"/>
      <c r="AED135" s="1"/>
      <c r="AEE135" s="1"/>
      <c r="AEF135" s="1"/>
      <c r="AEG135" s="1"/>
      <c r="AEH135" s="1"/>
      <c r="AEI135" s="1"/>
      <c r="AEJ135" s="1"/>
      <c r="AEK135" s="1"/>
      <c r="AEL135" s="1"/>
      <c r="AEM135" s="1"/>
      <c r="AEN135" s="1"/>
      <c r="AEO135" s="1"/>
      <c r="AEP135" s="1"/>
      <c r="AEQ135" s="1"/>
      <c r="AER135" s="1"/>
      <c r="AES135" s="1"/>
      <c r="AET135" s="1"/>
      <c r="AEU135" s="1"/>
      <c r="AEV135" s="1"/>
      <c r="AEW135" s="1"/>
      <c r="AEX135" s="1"/>
      <c r="AEY135" s="1"/>
      <c r="AEZ135" s="1"/>
      <c r="AFA135" s="1"/>
      <c r="AFB135" s="1"/>
      <c r="AFC135" s="1"/>
      <c r="AFD135" s="1"/>
      <c r="AFE135" s="1"/>
      <c r="AFF135" s="1"/>
      <c r="AFG135" s="1"/>
      <c r="AFH135" s="1"/>
      <c r="AFI135" s="1"/>
      <c r="AFJ135" s="1"/>
      <c r="AFK135" s="1"/>
      <c r="AFL135" s="1"/>
      <c r="AFM135" s="1"/>
      <c r="AFN135" s="1"/>
      <c r="AFO135" s="1"/>
      <c r="AFP135" s="1"/>
      <c r="AFQ135" s="1"/>
      <c r="AFR135" s="1"/>
      <c r="AFS135" s="1"/>
      <c r="AFT135" s="1"/>
      <c r="AFU135" s="1"/>
      <c r="AFV135" s="1"/>
      <c r="AFW135" s="1"/>
      <c r="AFX135" s="1"/>
      <c r="AFY135" s="1"/>
      <c r="AFZ135" s="1"/>
      <c r="AGA135" s="1"/>
      <c r="AGB135" s="1"/>
      <c r="AGC135" s="1"/>
      <c r="AGD135" s="1"/>
      <c r="AGE135" s="1"/>
      <c r="AGF135" s="1"/>
      <c r="AGG135" s="1"/>
      <c r="AGH135" s="1"/>
      <c r="AGI135" s="1"/>
      <c r="AGJ135" s="1"/>
      <c r="AGK135" s="1"/>
      <c r="AGL135" s="1"/>
      <c r="AGM135" s="1"/>
      <c r="AGN135" s="1"/>
      <c r="AGO135" s="1"/>
      <c r="AGP135" s="1"/>
      <c r="AGQ135" s="1"/>
      <c r="AGR135" s="1"/>
      <c r="AGS135" s="1"/>
      <c r="AGT135" s="1"/>
      <c r="AGU135" s="1"/>
      <c r="AGV135" s="1"/>
      <c r="AGW135" s="1"/>
      <c r="AGX135" s="1"/>
      <c r="AGY135" s="1"/>
      <c r="AGZ135" s="1"/>
      <c r="AHA135" s="1"/>
      <c r="AHB135" s="1"/>
      <c r="AHC135" s="1"/>
      <c r="AHD135" s="1"/>
      <c r="AHE135" s="1"/>
      <c r="AHF135" s="1"/>
      <c r="AHG135" s="1"/>
      <c r="AHH135" s="1"/>
      <c r="AHI135" s="1"/>
      <c r="AHJ135" s="1"/>
      <c r="AHK135" s="1"/>
      <c r="AHL135" s="1"/>
      <c r="AHM135" s="1"/>
      <c r="AHN135" s="1"/>
      <c r="AHO135" s="1"/>
      <c r="AHP135" s="1"/>
      <c r="AHQ135" s="1"/>
      <c r="AHR135" s="1"/>
      <c r="AHS135" s="1"/>
      <c r="AHT135" s="1"/>
      <c r="AHU135" s="1"/>
      <c r="AHV135" s="1"/>
      <c r="AHW135" s="1"/>
      <c r="AHX135" s="1"/>
      <c r="AHY135" s="1"/>
      <c r="AHZ135" s="1"/>
      <c r="AIA135" s="1"/>
      <c r="AIB135" s="1"/>
      <c r="AIC135" s="1"/>
      <c r="AID135" s="1"/>
      <c r="AIE135" s="1"/>
      <c r="AIF135" s="1"/>
      <c r="AIG135" s="1"/>
      <c r="AIH135" s="1"/>
      <c r="AII135" s="1"/>
      <c r="AIJ135" s="1"/>
      <c r="AIK135" s="1"/>
      <c r="AIL135" s="1"/>
      <c r="AIM135" s="1"/>
      <c r="AIN135" s="1"/>
      <c r="AIO135" s="1"/>
      <c r="AIP135" s="1"/>
      <c r="AIQ135" s="1"/>
      <c r="AIR135" s="1"/>
      <c r="AIS135" s="1"/>
      <c r="AIT135" s="1"/>
      <c r="AIU135" s="1"/>
      <c r="AIV135" s="1"/>
      <c r="AIW135" s="1"/>
      <c r="AIX135" s="1"/>
      <c r="AIY135" s="1"/>
      <c r="AIZ135" s="1"/>
      <c r="AJA135" s="1"/>
      <c r="AJB135" s="1"/>
      <c r="AJC135" s="1"/>
      <c r="AJD135" s="1"/>
      <c r="AJE135" s="1"/>
      <c r="AJF135" s="1"/>
      <c r="AJG135" s="1"/>
      <c r="AJH135" s="1"/>
      <c r="AJI135" s="1"/>
      <c r="AJJ135" s="1"/>
      <c r="AJK135" s="1"/>
      <c r="AJL135" s="1"/>
      <c r="AJM135" s="1"/>
      <c r="AJN135" s="1"/>
      <c r="AJO135" s="1"/>
      <c r="AJP135" s="1"/>
      <c r="AJQ135" s="1"/>
      <c r="AJR135" s="1"/>
      <c r="AJS135" s="1"/>
      <c r="AJT135" s="1"/>
      <c r="AJU135" s="1"/>
      <c r="AJV135" s="1"/>
      <c r="AJW135" s="1"/>
      <c r="AJX135" s="1"/>
      <c r="AJY135" s="1"/>
      <c r="AJZ135" s="1"/>
      <c r="AKA135" s="1"/>
      <c r="AKB135" s="1"/>
      <c r="AKC135" s="1"/>
      <c r="AKD135" s="1"/>
      <c r="AKE135" s="1"/>
      <c r="AKF135" s="1"/>
      <c r="AKG135" s="1"/>
      <c r="AKH135" s="1"/>
      <c r="AKI135" s="1"/>
      <c r="AKJ135" s="1"/>
      <c r="AKK135" s="1"/>
      <c r="AKL135" s="1"/>
      <c r="AKM135" s="1"/>
      <c r="AKN135" s="1"/>
      <c r="AKO135" s="1"/>
      <c r="AKP135" s="1"/>
      <c r="AKQ135" s="1"/>
      <c r="AKR135" s="1"/>
      <c r="AKS135" s="1"/>
      <c r="AKT135" s="1"/>
      <c r="AKU135" s="1"/>
      <c r="AKV135" s="1"/>
      <c r="AKW135" s="1"/>
      <c r="AKX135" s="1"/>
      <c r="AKY135" s="1"/>
      <c r="AKZ135" s="1"/>
      <c r="ALA135" s="1"/>
      <c r="ALB135" s="1"/>
      <c r="ALC135" s="1"/>
      <c r="ALD135" s="1"/>
      <c r="ALE135" s="1"/>
      <c r="ALF135" s="1"/>
      <c r="ALG135" s="1"/>
      <c r="ALH135" s="1"/>
      <c r="ALI135" s="1"/>
      <c r="ALJ135" s="1"/>
      <c r="ALK135" s="1"/>
      <c r="ALL135" s="1"/>
      <c r="ALM135" s="1"/>
      <c r="ALN135" s="1"/>
      <c r="ALO135" s="1"/>
      <c r="ALP135" s="1"/>
      <c r="ALQ135" s="1"/>
      <c r="ALR135" s="1"/>
      <c r="ALS135" s="1"/>
      <c r="ALT135" s="1"/>
      <c r="ALU135" s="1"/>
      <c r="ALV135" s="1"/>
      <c r="ALW135" s="1"/>
      <c r="ALX135" s="1"/>
      <c r="ALY135" s="1"/>
      <c r="ALZ135" s="1"/>
      <c r="AMA135" s="1"/>
      <c r="AMB135" s="1"/>
      <c r="AMC135" s="1"/>
      <c r="AMD135" s="1"/>
      <c r="AME135" s="1"/>
      <c r="AMF135" s="1"/>
      <c r="AMG135" s="1"/>
      <c r="AMH135" s="1"/>
      <c r="AMI135" s="1"/>
      <c r="AMJ135" s="1"/>
    </row>
    <row r="136" customFormat="false" ht="10.5" hidden="false" customHeight="true" outlineLevel="0" collapsed="false">
      <c r="A136" s="164"/>
      <c r="B136" s="164"/>
      <c r="C136" s="164"/>
      <c r="D136" s="164"/>
      <c r="E136" s="164"/>
      <c r="F136" s="164"/>
      <c r="G136" s="164"/>
      <c r="H136" s="164"/>
      <c r="I136" s="164"/>
      <c r="J136" s="23"/>
      <c r="K136" s="23"/>
      <c r="L136" s="23"/>
      <c r="M136" s="187"/>
      <c r="N136" s="187"/>
      <c r="O136" s="187"/>
      <c r="P136" s="188" t="n">
        <f aca="false">J136*M136</f>
        <v>0</v>
      </c>
      <c r="Q136" s="188"/>
      <c r="R136" s="188"/>
      <c r="S136" s="183"/>
      <c r="T136" s="168"/>
      <c r="U136" s="168"/>
      <c r="V136" s="168"/>
      <c r="W136" s="168"/>
      <c r="X136" s="168"/>
      <c r="Y136" s="168"/>
      <c r="Z136" s="168"/>
      <c r="AA136" s="168"/>
      <c r="AB136" s="168"/>
      <c r="AC136" s="168"/>
      <c r="AD136" s="168"/>
      <c r="AE136" s="23"/>
      <c r="AF136" s="23"/>
      <c r="AG136" s="23"/>
      <c r="AH136" s="187"/>
      <c r="AI136" s="187"/>
      <c r="AJ136" s="187"/>
      <c r="AK136" s="187"/>
      <c r="AL136" s="188" t="n">
        <f aca="false">AE136*AH136</f>
        <v>0</v>
      </c>
      <c r="AM136" s="188"/>
      <c r="AN136" s="188"/>
      <c r="AO136" s="188"/>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c r="IY136" s="1"/>
      <c r="IZ136" s="1"/>
      <c r="JA136" s="1"/>
      <c r="JB136" s="1"/>
      <c r="JC136" s="1"/>
      <c r="JD136" s="1"/>
      <c r="JE136" s="1"/>
      <c r="JF136" s="1"/>
      <c r="JG136" s="1"/>
      <c r="JH136" s="1"/>
      <c r="JI136" s="1"/>
      <c r="JJ136" s="1"/>
      <c r="JK136" s="1"/>
      <c r="JL136" s="1"/>
      <c r="JM136" s="1"/>
      <c r="JN136" s="1"/>
      <c r="JO136" s="1"/>
      <c r="JP136" s="1"/>
      <c r="JQ136" s="1"/>
      <c r="JR136" s="1"/>
      <c r="JS136" s="1"/>
      <c r="JT136" s="1"/>
      <c r="JU136" s="1"/>
      <c r="JV136" s="1"/>
      <c r="JW136" s="1"/>
      <c r="JX136" s="1"/>
      <c r="JY136" s="1"/>
      <c r="JZ136" s="1"/>
      <c r="KA136" s="1"/>
      <c r="KB136" s="1"/>
      <c r="KC136" s="1"/>
      <c r="KD136" s="1"/>
      <c r="KE136" s="1"/>
      <c r="KF136" s="1"/>
      <c r="KG136" s="1"/>
      <c r="KH136" s="1"/>
      <c r="KI136" s="1"/>
      <c r="KJ136" s="1"/>
      <c r="KK136" s="1"/>
      <c r="KL136" s="1"/>
      <c r="KM136" s="1"/>
      <c r="KN136" s="1"/>
      <c r="KO136" s="1"/>
      <c r="KP136" s="1"/>
      <c r="KQ136" s="1"/>
      <c r="KR136" s="1"/>
      <c r="KS136" s="1"/>
      <c r="KT136" s="1"/>
      <c r="KU136" s="1"/>
      <c r="KV136" s="1"/>
      <c r="KW136" s="1"/>
      <c r="KX136" s="1"/>
      <c r="KY136" s="1"/>
      <c r="KZ136" s="1"/>
      <c r="LA136" s="1"/>
      <c r="LB136" s="1"/>
      <c r="LC136" s="1"/>
      <c r="LD136" s="1"/>
      <c r="LE136" s="1"/>
      <c r="LF136" s="1"/>
      <c r="LG136" s="1"/>
      <c r="LH136" s="1"/>
      <c r="LI136" s="1"/>
      <c r="LJ136" s="1"/>
      <c r="LK136" s="1"/>
      <c r="LL136" s="1"/>
      <c r="LM136" s="1"/>
      <c r="LN136" s="1"/>
      <c r="LO136" s="1"/>
      <c r="LP136" s="1"/>
      <c r="LQ136" s="1"/>
      <c r="LR136" s="1"/>
      <c r="LS136" s="1"/>
      <c r="LT136" s="1"/>
      <c r="LU136" s="1"/>
      <c r="LV136" s="1"/>
      <c r="LW136" s="1"/>
      <c r="LX136" s="1"/>
      <c r="LY136" s="1"/>
      <c r="LZ136" s="1"/>
      <c r="MA136" s="1"/>
      <c r="MB136" s="1"/>
      <c r="MC136" s="1"/>
      <c r="MD136" s="1"/>
      <c r="ME136" s="1"/>
      <c r="MF136" s="1"/>
      <c r="MG136" s="1"/>
      <c r="MH136" s="1"/>
      <c r="MI136" s="1"/>
      <c r="MJ136" s="1"/>
      <c r="MK136" s="1"/>
      <c r="ML136" s="1"/>
      <c r="MM136" s="1"/>
      <c r="MN136" s="1"/>
      <c r="MO136" s="1"/>
      <c r="MP136" s="1"/>
      <c r="MQ136" s="1"/>
      <c r="MR136" s="1"/>
      <c r="MS136" s="1"/>
      <c r="MT136" s="1"/>
      <c r="MU136" s="1"/>
      <c r="MV136" s="1"/>
      <c r="MW136" s="1"/>
      <c r="MX136" s="1"/>
      <c r="MY136" s="1"/>
      <c r="MZ136" s="1"/>
      <c r="NA136" s="1"/>
      <c r="NB136" s="1"/>
      <c r="NC136" s="1"/>
      <c r="ND136" s="1"/>
      <c r="NE136" s="1"/>
      <c r="NF136" s="1"/>
      <c r="NG136" s="1"/>
      <c r="NH136" s="1"/>
      <c r="NI136" s="1"/>
      <c r="NJ136" s="1"/>
      <c r="NK136" s="1"/>
      <c r="NL136" s="1"/>
      <c r="NM136" s="1"/>
      <c r="NN136" s="1"/>
      <c r="NO136" s="1"/>
      <c r="NP136" s="1"/>
      <c r="NQ136" s="1"/>
      <c r="NR136" s="1"/>
      <c r="NS136" s="1"/>
      <c r="NT136" s="1"/>
      <c r="NU136" s="1"/>
      <c r="NV136" s="1"/>
      <c r="NW136" s="1"/>
      <c r="NX136" s="1"/>
      <c r="NY136" s="1"/>
      <c r="NZ136" s="1"/>
      <c r="OA136" s="1"/>
      <c r="OB136" s="1"/>
      <c r="OC136" s="1"/>
      <c r="OD136" s="1"/>
      <c r="OE136" s="1"/>
      <c r="OF136" s="1"/>
      <c r="OG136" s="1"/>
      <c r="OH136" s="1"/>
      <c r="OI136" s="1"/>
      <c r="OJ136" s="1"/>
      <c r="OK136" s="1"/>
      <c r="OL136" s="1"/>
      <c r="OM136" s="1"/>
      <c r="ON136" s="1"/>
      <c r="OO136" s="1"/>
      <c r="OP136" s="1"/>
      <c r="OQ136" s="1"/>
      <c r="OR136" s="1"/>
      <c r="OS136" s="1"/>
      <c r="OT136" s="1"/>
      <c r="OU136" s="1"/>
      <c r="OV136" s="1"/>
      <c r="OW136" s="1"/>
      <c r="OX136" s="1"/>
      <c r="OY136" s="1"/>
      <c r="OZ136" s="1"/>
      <c r="PA136" s="1"/>
      <c r="PB136" s="1"/>
      <c r="PC136" s="1"/>
      <c r="PD136" s="1"/>
      <c r="PE136" s="1"/>
      <c r="PF136" s="1"/>
      <c r="PG136" s="1"/>
      <c r="PH136" s="1"/>
      <c r="PI136" s="1"/>
      <c r="PJ136" s="1"/>
      <c r="PK136" s="1"/>
      <c r="PL136" s="1"/>
      <c r="PM136" s="1"/>
      <c r="PN136" s="1"/>
      <c r="PO136" s="1"/>
      <c r="PP136" s="1"/>
      <c r="PQ136" s="1"/>
      <c r="PR136" s="1"/>
      <c r="PS136" s="1"/>
      <c r="PT136" s="1"/>
      <c r="PU136" s="1"/>
      <c r="PV136" s="1"/>
      <c r="PW136" s="1"/>
      <c r="PX136" s="1"/>
      <c r="PY136" s="1"/>
      <c r="PZ136" s="1"/>
      <c r="QA136" s="1"/>
      <c r="QB136" s="1"/>
      <c r="QC136" s="1"/>
      <c r="QD136" s="1"/>
      <c r="QE136" s="1"/>
      <c r="QF136" s="1"/>
      <c r="QG136" s="1"/>
      <c r="QH136" s="1"/>
      <c r="QI136" s="1"/>
      <c r="QJ136" s="1"/>
      <c r="QK136" s="1"/>
      <c r="QL136" s="1"/>
      <c r="QM136" s="1"/>
      <c r="QN136" s="1"/>
      <c r="QO136" s="1"/>
      <c r="QP136" s="1"/>
      <c r="QQ136" s="1"/>
      <c r="QR136" s="1"/>
      <c r="QS136" s="1"/>
      <c r="QT136" s="1"/>
      <c r="QU136" s="1"/>
      <c r="QV136" s="1"/>
      <c r="QW136" s="1"/>
      <c r="QX136" s="1"/>
      <c r="QY136" s="1"/>
      <c r="QZ136" s="1"/>
      <c r="RA136" s="1"/>
      <c r="RB136" s="1"/>
      <c r="RC136" s="1"/>
      <c r="RD136" s="1"/>
      <c r="RE136" s="1"/>
      <c r="RF136" s="1"/>
      <c r="RG136" s="1"/>
      <c r="RH136" s="1"/>
      <c r="RI136" s="1"/>
      <c r="RJ136" s="1"/>
      <c r="RK136" s="1"/>
      <c r="RL136" s="1"/>
      <c r="RM136" s="1"/>
      <c r="RN136" s="1"/>
      <c r="RO136" s="1"/>
      <c r="RP136" s="1"/>
      <c r="RQ136" s="1"/>
      <c r="RR136" s="1"/>
      <c r="RS136" s="1"/>
      <c r="RT136" s="1"/>
      <c r="RU136" s="1"/>
      <c r="RV136" s="1"/>
      <c r="RW136" s="1"/>
      <c r="RX136" s="1"/>
      <c r="RY136" s="1"/>
      <c r="RZ136" s="1"/>
      <c r="SA136" s="1"/>
      <c r="SB136" s="1"/>
      <c r="SC136" s="1"/>
      <c r="SD136" s="1"/>
      <c r="SE136" s="1"/>
      <c r="SF136" s="1"/>
      <c r="SG136" s="1"/>
      <c r="SH136" s="1"/>
      <c r="SI136" s="1"/>
      <c r="SJ136" s="1"/>
      <c r="SK136" s="1"/>
      <c r="SL136" s="1"/>
      <c r="SM136" s="1"/>
      <c r="SN136" s="1"/>
      <c r="SO136" s="1"/>
      <c r="SP136" s="1"/>
      <c r="SQ136" s="1"/>
      <c r="SR136" s="1"/>
      <c r="SS136" s="1"/>
      <c r="ST136" s="1"/>
      <c r="SU136" s="1"/>
      <c r="SV136" s="1"/>
      <c r="SW136" s="1"/>
      <c r="SX136" s="1"/>
      <c r="SY136" s="1"/>
      <c r="SZ136" s="1"/>
      <c r="TA136" s="1"/>
      <c r="TB136" s="1"/>
      <c r="TC136" s="1"/>
      <c r="TD136" s="1"/>
      <c r="TE136" s="1"/>
      <c r="TF136" s="1"/>
      <c r="TG136" s="1"/>
      <c r="TH136" s="1"/>
      <c r="TI136" s="1"/>
      <c r="TJ136" s="1"/>
      <c r="TK136" s="1"/>
      <c r="TL136" s="1"/>
      <c r="TM136" s="1"/>
      <c r="TN136" s="1"/>
      <c r="TO136" s="1"/>
      <c r="TP136" s="1"/>
      <c r="TQ136" s="1"/>
      <c r="TR136" s="1"/>
      <c r="TS136" s="1"/>
      <c r="TT136" s="1"/>
      <c r="TU136" s="1"/>
      <c r="TV136" s="1"/>
      <c r="TW136" s="1"/>
      <c r="TX136" s="1"/>
      <c r="TY136" s="1"/>
      <c r="TZ136" s="1"/>
      <c r="UA136" s="1"/>
      <c r="UB136" s="1"/>
      <c r="UC136" s="1"/>
      <c r="UD136" s="1"/>
      <c r="UE136" s="1"/>
      <c r="UF136" s="1"/>
      <c r="UG136" s="1"/>
      <c r="UH136" s="1"/>
      <c r="UI136" s="1"/>
      <c r="UJ136" s="1"/>
      <c r="UK136" s="1"/>
      <c r="UL136" s="1"/>
      <c r="UM136" s="1"/>
      <c r="UN136" s="1"/>
      <c r="UO136" s="1"/>
      <c r="UP136" s="1"/>
      <c r="UQ136" s="1"/>
      <c r="UR136" s="1"/>
      <c r="US136" s="1"/>
      <c r="UT136" s="1"/>
      <c r="UU136" s="1"/>
      <c r="UV136" s="1"/>
      <c r="UW136" s="1"/>
      <c r="UX136" s="1"/>
      <c r="UY136" s="1"/>
      <c r="UZ136" s="1"/>
      <c r="VA136" s="1"/>
      <c r="VB136" s="1"/>
      <c r="VC136" s="1"/>
      <c r="VD136" s="1"/>
      <c r="VE136" s="1"/>
      <c r="VF136" s="1"/>
      <c r="VG136" s="1"/>
      <c r="VH136" s="1"/>
      <c r="VI136" s="1"/>
      <c r="VJ136" s="1"/>
      <c r="VK136" s="1"/>
      <c r="VL136" s="1"/>
      <c r="VM136" s="1"/>
      <c r="VN136" s="1"/>
      <c r="VO136" s="1"/>
      <c r="VP136" s="1"/>
      <c r="VQ136" s="1"/>
      <c r="VR136" s="1"/>
      <c r="VS136" s="1"/>
      <c r="VT136" s="1"/>
      <c r="VU136" s="1"/>
      <c r="VV136" s="1"/>
      <c r="VW136" s="1"/>
      <c r="VX136" s="1"/>
      <c r="VY136" s="1"/>
      <c r="VZ136" s="1"/>
      <c r="WA136" s="1"/>
      <c r="WB136" s="1"/>
      <c r="WC136" s="1"/>
      <c r="WD136" s="1"/>
      <c r="WE136" s="1"/>
      <c r="WF136" s="1"/>
      <c r="WG136" s="1"/>
      <c r="WH136" s="1"/>
      <c r="WI136" s="1"/>
      <c r="WJ136" s="1"/>
      <c r="WK136" s="1"/>
      <c r="WL136" s="1"/>
      <c r="WM136" s="1"/>
      <c r="WN136" s="1"/>
      <c r="WO136" s="1"/>
      <c r="WP136" s="1"/>
      <c r="WQ136" s="1"/>
      <c r="WR136" s="1"/>
      <c r="WS136" s="1"/>
      <c r="WT136" s="1"/>
      <c r="WU136" s="1"/>
      <c r="WV136" s="1"/>
      <c r="WW136" s="1"/>
      <c r="WX136" s="1"/>
      <c r="WY136" s="1"/>
      <c r="WZ136" s="1"/>
      <c r="XA136" s="1"/>
      <c r="XB136" s="1"/>
      <c r="XC136" s="1"/>
      <c r="XD136" s="1"/>
      <c r="XE136" s="1"/>
      <c r="XF136" s="1"/>
      <c r="XG136" s="1"/>
      <c r="XH136" s="1"/>
      <c r="XI136" s="1"/>
      <c r="XJ136" s="1"/>
      <c r="XK136" s="1"/>
      <c r="XL136" s="1"/>
      <c r="XM136" s="1"/>
      <c r="XN136" s="1"/>
      <c r="XO136" s="1"/>
      <c r="XP136" s="1"/>
      <c r="XQ136" s="1"/>
      <c r="XR136" s="1"/>
      <c r="XS136" s="1"/>
      <c r="XT136" s="1"/>
      <c r="XU136" s="1"/>
      <c r="XV136" s="1"/>
      <c r="XW136" s="1"/>
      <c r="XX136" s="1"/>
      <c r="XY136" s="1"/>
      <c r="XZ136" s="1"/>
      <c r="YA136" s="1"/>
      <c r="YB136" s="1"/>
      <c r="YC136" s="1"/>
      <c r="YD136" s="1"/>
      <c r="YE136" s="1"/>
      <c r="YF136" s="1"/>
      <c r="YG136" s="1"/>
      <c r="YH136" s="1"/>
      <c r="YI136" s="1"/>
      <c r="YJ136" s="1"/>
      <c r="YK136" s="1"/>
      <c r="YL136" s="1"/>
      <c r="YM136" s="1"/>
      <c r="YN136" s="1"/>
      <c r="YO136" s="1"/>
      <c r="YP136" s="1"/>
      <c r="YQ136" s="1"/>
      <c r="YR136" s="1"/>
      <c r="YS136" s="1"/>
      <c r="YT136" s="1"/>
      <c r="YU136" s="1"/>
      <c r="YV136" s="1"/>
      <c r="YW136" s="1"/>
      <c r="YX136" s="1"/>
      <c r="YY136" s="1"/>
      <c r="YZ136" s="1"/>
      <c r="ZA136" s="1"/>
      <c r="ZB136" s="1"/>
      <c r="ZC136" s="1"/>
      <c r="ZD136" s="1"/>
      <c r="ZE136" s="1"/>
      <c r="ZF136" s="1"/>
      <c r="ZG136" s="1"/>
      <c r="ZH136" s="1"/>
      <c r="ZI136" s="1"/>
      <c r="ZJ136" s="1"/>
      <c r="ZK136" s="1"/>
      <c r="ZL136" s="1"/>
      <c r="ZM136" s="1"/>
      <c r="ZN136" s="1"/>
      <c r="ZO136" s="1"/>
      <c r="ZP136" s="1"/>
      <c r="ZQ136" s="1"/>
      <c r="ZR136" s="1"/>
      <c r="ZS136" s="1"/>
      <c r="ZT136" s="1"/>
      <c r="ZU136" s="1"/>
      <c r="ZV136" s="1"/>
      <c r="ZW136" s="1"/>
      <c r="ZX136" s="1"/>
      <c r="ZY136" s="1"/>
      <c r="ZZ136" s="1"/>
      <c r="AAA136" s="1"/>
      <c r="AAB136" s="1"/>
      <c r="AAC136" s="1"/>
      <c r="AAD136" s="1"/>
      <c r="AAE136" s="1"/>
      <c r="AAF136" s="1"/>
      <c r="AAG136" s="1"/>
      <c r="AAH136" s="1"/>
      <c r="AAI136" s="1"/>
      <c r="AAJ136" s="1"/>
      <c r="AAK136" s="1"/>
      <c r="AAL136" s="1"/>
      <c r="AAM136" s="1"/>
      <c r="AAN136" s="1"/>
      <c r="AAO136" s="1"/>
      <c r="AAP136" s="1"/>
      <c r="AAQ136" s="1"/>
      <c r="AAR136" s="1"/>
      <c r="AAS136" s="1"/>
      <c r="AAT136" s="1"/>
      <c r="AAU136" s="1"/>
      <c r="AAV136" s="1"/>
      <c r="AAW136" s="1"/>
      <c r="AAX136" s="1"/>
      <c r="AAY136" s="1"/>
      <c r="AAZ136" s="1"/>
      <c r="ABA136" s="1"/>
      <c r="ABB136" s="1"/>
      <c r="ABC136" s="1"/>
      <c r="ABD136" s="1"/>
      <c r="ABE136" s="1"/>
      <c r="ABF136" s="1"/>
      <c r="ABG136" s="1"/>
      <c r="ABH136" s="1"/>
      <c r="ABI136" s="1"/>
      <c r="ABJ136" s="1"/>
      <c r="ABK136" s="1"/>
      <c r="ABL136" s="1"/>
      <c r="ABM136" s="1"/>
      <c r="ABN136" s="1"/>
      <c r="ABO136" s="1"/>
      <c r="ABP136" s="1"/>
      <c r="ABQ136" s="1"/>
      <c r="ABR136" s="1"/>
      <c r="ABS136" s="1"/>
      <c r="ABT136" s="1"/>
      <c r="ABU136" s="1"/>
      <c r="ABV136" s="1"/>
      <c r="ABW136" s="1"/>
      <c r="ABX136" s="1"/>
      <c r="ABY136" s="1"/>
      <c r="ABZ136" s="1"/>
      <c r="ACA136" s="1"/>
      <c r="ACB136" s="1"/>
      <c r="ACC136" s="1"/>
      <c r="ACD136" s="1"/>
      <c r="ACE136" s="1"/>
      <c r="ACF136" s="1"/>
      <c r="ACG136" s="1"/>
      <c r="ACH136" s="1"/>
      <c r="ACI136" s="1"/>
      <c r="ACJ136" s="1"/>
      <c r="ACK136" s="1"/>
      <c r="ACL136" s="1"/>
      <c r="ACM136" s="1"/>
      <c r="ACN136" s="1"/>
      <c r="ACO136" s="1"/>
      <c r="ACP136" s="1"/>
      <c r="ACQ136" s="1"/>
      <c r="ACR136" s="1"/>
      <c r="ACS136" s="1"/>
      <c r="ACT136" s="1"/>
      <c r="ACU136" s="1"/>
      <c r="ACV136" s="1"/>
      <c r="ACW136" s="1"/>
      <c r="ACX136" s="1"/>
      <c r="ACY136" s="1"/>
      <c r="ACZ136" s="1"/>
      <c r="ADA136" s="1"/>
      <c r="ADB136" s="1"/>
      <c r="ADC136" s="1"/>
      <c r="ADD136" s="1"/>
      <c r="ADE136" s="1"/>
      <c r="ADF136" s="1"/>
      <c r="ADG136" s="1"/>
      <c r="ADH136" s="1"/>
      <c r="ADI136" s="1"/>
      <c r="ADJ136" s="1"/>
      <c r="ADK136" s="1"/>
      <c r="ADL136" s="1"/>
      <c r="ADM136" s="1"/>
      <c r="ADN136" s="1"/>
      <c r="ADO136" s="1"/>
      <c r="ADP136" s="1"/>
      <c r="ADQ136" s="1"/>
      <c r="ADR136" s="1"/>
      <c r="ADS136" s="1"/>
      <c r="ADT136" s="1"/>
      <c r="ADU136" s="1"/>
      <c r="ADV136" s="1"/>
      <c r="ADW136" s="1"/>
      <c r="ADX136" s="1"/>
      <c r="ADY136" s="1"/>
      <c r="ADZ136" s="1"/>
      <c r="AEA136" s="1"/>
      <c r="AEB136" s="1"/>
      <c r="AEC136" s="1"/>
      <c r="AED136" s="1"/>
      <c r="AEE136" s="1"/>
      <c r="AEF136" s="1"/>
      <c r="AEG136" s="1"/>
      <c r="AEH136" s="1"/>
      <c r="AEI136" s="1"/>
      <c r="AEJ136" s="1"/>
      <c r="AEK136" s="1"/>
      <c r="AEL136" s="1"/>
      <c r="AEM136" s="1"/>
      <c r="AEN136" s="1"/>
      <c r="AEO136" s="1"/>
      <c r="AEP136" s="1"/>
      <c r="AEQ136" s="1"/>
      <c r="AER136" s="1"/>
      <c r="AES136" s="1"/>
      <c r="AET136" s="1"/>
      <c r="AEU136" s="1"/>
      <c r="AEV136" s="1"/>
      <c r="AEW136" s="1"/>
      <c r="AEX136" s="1"/>
      <c r="AEY136" s="1"/>
      <c r="AEZ136" s="1"/>
      <c r="AFA136" s="1"/>
      <c r="AFB136" s="1"/>
      <c r="AFC136" s="1"/>
      <c r="AFD136" s="1"/>
      <c r="AFE136" s="1"/>
      <c r="AFF136" s="1"/>
      <c r="AFG136" s="1"/>
      <c r="AFH136" s="1"/>
      <c r="AFI136" s="1"/>
      <c r="AFJ136" s="1"/>
      <c r="AFK136" s="1"/>
      <c r="AFL136" s="1"/>
      <c r="AFM136" s="1"/>
      <c r="AFN136" s="1"/>
      <c r="AFO136" s="1"/>
      <c r="AFP136" s="1"/>
      <c r="AFQ136" s="1"/>
      <c r="AFR136" s="1"/>
      <c r="AFS136" s="1"/>
      <c r="AFT136" s="1"/>
      <c r="AFU136" s="1"/>
      <c r="AFV136" s="1"/>
      <c r="AFW136" s="1"/>
      <c r="AFX136" s="1"/>
      <c r="AFY136" s="1"/>
      <c r="AFZ136" s="1"/>
      <c r="AGA136" s="1"/>
      <c r="AGB136" s="1"/>
      <c r="AGC136" s="1"/>
      <c r="AGD136" s="1"/>
      <c r="AGE136" s="1"/>
      <c r="AGF136" s="1"/>
      <c r="AGG136" s="1"/>
      <c r="AGH136" s="1"/>
      <c r="AGI136" s="1"/>
      <c r="AGJ136" s="1"/>
      <c r="AGK136" s="1"/>
      <c r="AGL136" s="1"/>
      <c r="AGM136" s="1"/>
      <c r="AGN136" s="1"/>
      <c r="AGO136" s="1"/>
      <c r="AGP136" s="1"/>
      <c r="AGQ136" s="1"/>
      <c r="AGR136" s="1"/>
      <c r="AGS136" s="1"/>
      <c r="AGT136" s="1"/>
      <c r="AGU136" s="1"/>
      <c r="AGV136" s="1"/>
      <c r="AGW136" s="1"/>
      <c r="AGX136" s="1"/>
      <c r="AGY136" s="1"/>
      <c r="AGZ136" s="1"/>
      <c r="AHA136" s="1"/>
      <c r="AHB136" s="1"/>
      <c r="AHC136" s="1"/>
      <c r="AHD136" s="1"/>
      <c r="AHE136" s="1"/>
      <c r="AHF136" s="1"/>
      <c r="AHG136" s="1"/>
      <c r="AHH136" s="1"/>
      <c r="AHI136" s="1"/>
      <c r="AHJ136" s="1"/>
      <c r="AHK136" s="1"/>
      <c r="AHL136" s="1"/>
      <c r="AHM136" s="1"/>
      <c r="AHN136" s="1"/>
      <c r="AHO136" s="1"/>
      <c r="AHP136" s="1"/>
      <c r="AHQ136" s="1"/>
      <c r="AHR136" s="1"/>
      <c r="AHS136" s="1"/>
      <c r="AHT136" s="1"/>
      <c r="AHU136" s="1"/>
      <c r="AHV136" s="1"/>
      <c r="AHW136" s="1"/>
      <c r="AHX136" s="1"/>
      <c r="AHY136" s="1"/>
      <c r="AHZ136" s="1"/>
      <c r="AIA136" s="1"/>
      <c r="AIB136" s="1"/>
      <c r="AIC136" s="1"/>
      <c r="AID136" s="1"/>
      <c r="AIE136" s="1"/>
      <c r="AIF136" s="1"/>
      <c r="AIG136" s="1"/>
      <c r="AIH136" s="1"/>
      <c r="AII136" s="1"/>
      <c r="AIJ136" s="1"/>
      <c r="AIK136" s="1"/>
      <c r="AIL136" s="1"/>
      <c r="AIM136" s="1"/>
      <c r="AIN136" s="1"/>
      <c r="AIO136" s="1"/>
      <c r="AIP136" s="1"/>
      <c r="AIQ136" s="1"/>
      <c r="AIR136" s="1"/>
      <c r="AIS136" s="1"/>
      <c r="AIT136" s="1"/>
      <c r="AIU136" s="1"/>
      <c r="AIV136" s="1"/>
      <c r="AIW136" s="1"/>
      <c r="AIX136" s="1"/>
      <c r="AIY136" s="1"/>
      <c r="AIZ136" s="1"/>
      <c r="AJA136" s="1"/>
      <c r="AJB136" s="1"/>
      <c r="AJC136" s="1"/>
      <c r="AJD136" s="1"/>
      <c r="AJE136" s="1"/>
      <c r="AJF136" s="1"/>
      <c r="AJG136" s="1"/>
      <c r="AJH136" s="1"/>
      <c r="AJI136" s="1"/>
      <c r="AJJ136" s="1"/>
      <c r="AJK136" s="1"/>
      <c r="AJL136" s="1"/>
      <c r="AJM136" s="1"/>
      <c r="AJN136" s="1"/>
      <c r="AJO136" s="1"/>
      <c r="AJP136" s="1"/>
      <c r="AJQ136" s="1"/>
      <c r="AJR136" s="1"/>
      <c r="AJS136" s="1"/>
      <c r="AJT136" s="1"/>
      <c r="AJU136" s="1"/>
      <c r="AJV136" s="1"/>
      <c r="AJW136" s="1"/>
      <c r="AJX136" s="1"/>
      <c r="AJY136" s="1"/>
      <c r="AJZ136" s="1"/>
      <c r="AKA136" s="1"/>
      <c r="AKB136" s="1"/>
      <c r="AKC136" s="1"/>
      <c r="AKD136" s="1"/>
      <c r="AKE136" s="1"/>
      <c r="AKF136" s="1"/>
      <c r="AKG136" s="1"/>
      <c r="AKH136" s="1"/>
      <c r="AKI136" s="1"/>
      <c r="AKJ136" s="1"/>
      <c r="AKK136" s="1"/>
      <c r="AKL136" s="1"/>
      <c r="AKM136" s="1"/>
      <c r="AKN136" s="1"/>
      <c r="AKO136" s="1"/>
      <c r="AKP136" s="1"/>
      <c r="AKQ136" s="1"/>
      <c r="AKR136" s="1"/>
      <c r="AKS136" s="1"/>
      <c r="AKT136" s="1"/>
      <c r="AKU136" s="1"/>
      <c r="AKV136" s="1"/>
      <c r="AKW136" s="1"/>
      <c r="AKX136" s="1"/>
      <c r="AKY136" s="1"/>
      <c r="AKZ136" s="1"/>
      <c r="ALA136" s="1"/>
      <c r="ALB136" s="1"/>
      <c r="ALC136" s="1"/>
      <c r="ALD136" s="1"/>
      <c r="ALE136" s="1"/>
      <c r="ALF136" s="1"/>
      <c r="ALG136" s="1"/>
      <c r="ALH136" s="1"/>
      <c r="ALI136" s="1"/>
      <c r="ALJ136" s="1"/>
      <c r="ALK136" s="1"/>
      <c r="ALL136" s="1"/>
      <c r="ALM136" s="1"/>
      <c r="ALN136" s="1"/>
      <c r="ALO136" s="1"/>
      <c r="ALP136" s="1"/>
      <c r="ALQ136" s="1"/>
      <c r="ALR136" s="1"/>
      <c r="ALS136" s="1"/>
      <c r="ALT136" s="1"/>
      <c r="ALU136" s="1"/>
      <c r="ALV136" s="1"/>
      <c r="ALW136" s="1"/>
      <c r="ALX136" s="1"/>
      <c r="ALY136" s="1"/>
      <c r="ALZ136" s="1"/>
      <c r="AMA136" s="1"/>
      <c r="AMB136" s="1"/>
      <c r="AMC136" s="1"/>
      <c r="AMD136" s="1"/>
      <c r="AME136" s="1"/>
      <c r="AMF136" s="1"/>
      <c r="AMG136" s="1"/>
      <c r="AMH136" s="1"/>
      <c r="AMI136" s="1"/>
      <c r="AMJ136" s="1"/>
    </row>
    <row r="137" customFormat="false" ht="10.5" hidden="false" customHeight="true" outlineLevel="0" collapsed="false">
      <c r="A137" s="164"/>
      <c r="B137" s="164"/>
      <c r="C137" s="164"/>
      <c r="D137" s="164"/>
      <c r="E137" s="164"/>
      <c r="F137" s="164"/>
      <c r="G137" s="164"/>
      <c r="H137" s="164"/>
      <c r="I137" s="164"/>
      <c r="J137" s="23"/>
      <c r="K137" s="23"/>
      <c r="L137" s="23"/>
      <c r="M137" s="187"/>
      <c r="N137" s="187"/>
      <c r="O137" s="187"/>
      <c r="P137" s="188" t="n">
        <f aca="false">J137*M137</f>
        <v>0</v>
      </c>
      <c r="Q137" s="188"/>
      <c r="R137" s="188"/>
      <c r="S137" s="183"/>
      <c r="T137" s="168"/>
      <c r="U137" s="168"/>
      <c r="V137" s="168"/>
      <c r="W137" s="168"/>
      <c r="X137" s="168"/>
      <c r="Y137" s="168"/>
      <c r="Z137" s="168"/>
      <c r="AA137" s="168"/>
      <c r="AB137" s="168"/>
      <c r="AC137" s="168"/>
      <c r="AD137" s="168"/>
      <c r="AE137" s="23"/>
      <c r="AF137" s="23"/>
      <c r="AG137" s="23"/>
      <c r="AH137" s="187"/>
      <c r="AI137" s="187"/>
      <c r="AJ137" s="187"/>
      <c r="AK137" s="187"/>
      <c r="AL137" s="188" t="n">
        <f aca="false">AE137*AH137</f>
        <v>0</v>
      </c>
      <c r="AM137" s="188"/>
      <c r="AN137" s="188"/>
      <c r="AO137" s="188"/>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c r="IY137" s="1"/>
      <c r="IZ137" s="1"/>
      <c r="JA137" s="1"/>
      <c r="JB137" s="1"/>
      <c r="JC137" s="1"/>
      <c r="JD137" s="1"/>
      <c r="JE137" s="1"/>
      <c r="JF137" s="1"/>
      <c r="JG137" s="1"/>
      <c r="JH137" s="1"/>
      <c r="JI137" s="1"/>
      <c r="JJ137" s="1"/>
      <c r="JK137" s="1"/>
      <c r="JL137" s="1"/>
      <c r="JM137" s="1"/>
      <c r="JN137" s="1"/>
      <c r="JO137" s="1"/>
      <c r="JP137" s="1"/>
      <c r="JQ137" s="1"/>
      <c r="JR137" s="1"/>
      <c r="JS137" s="1"/>
      <c r="JT137" s="1"/>
      <c r="JU137" s="1"/>
      <c r="JV137" s="1"/>
      <c r="JW137" s="1"/>
      <c r="JX137" s="1"/>
      <c r="JY137" s="1"/>
      <c r="JZ137" s="1"/>
      <c r="KA137" s="1"/>
      <c r="KB137" s="1"/>
      <c r="KC137" s="1"/>
      <c r="KD137" s="1"/>
      <c r="KE137" s="1"/>
      <c r="KF137" s="1"/>
      <c r="KG137" s="1"/>
      <c r="KH137" s="1"/>
      <c r="KI137" s="1"/>
      <c r="KJ137" s="1"/>
      <c r="KK137" s="1"/>
      <c r="KL137" s="1"/>
      <c r="KM137" s="1"/>
      <c r="KN137" s="1"/>
      <c r="KO137" s="1"/>
      <c r="KP137" s="1"/>
      <c r="KQ137" s="1"/>
      <c r="KR137" s="1"/>
      <c r="KS137" s="1"/>
      <c r="KT137" s="1"/>
      <c r="KU137" s="1"/>
      <c r="KV137" s="1"/>
      <c r="KW137" s="1"/>
      <c r="KX137" s="1"/>
      <c r="KY137" s="1"/>
      <c r="KZ137" s="1"/>
      <c r="LA137" s="1"/>
      <c r="LB137" s="1"/>
      <c r="LC137" s="1"/>
      <c r="LD137" s="1"/>
      <c r="LE137" s="1"/>
      <c r="LF137" s="1"/>
      <c r="LG137" s="1"/>
      <c r="LH137" s="1"/>
      <c r="LI137" s="1"/>
      <c r="LJ137" s="1"/>
      <c r="LK137" s="1"/>
      <c r="LL137" s="1"/>
      <c r="LM137" s="1"/>
      <c r="LN137" s="1"/>
      <c r="LO137" s="1"/>
      <c r="LP137" s="1"/>
      <c r="LQ137" s="1"/>
      <c r="LR137" s="1"/>
      <c r="LS137" s="1"/>
      <c r="LT137" s="1"/>
      <c r="LU137" s="1"/>
      <c r="LV137" s="1"/>
      <c r="LW137" s="1"/>
      <c r="LX137" s="1"/>
      <c r="LY137" s="1"/>
      <c r="LZ137" s="1"/>
      <c r="MA137" s="1"/>
      <c r="MB137" s="1"/>
      <c r="MC137" s="1"/>
      <c r="MD137" s="1"/>
      <c r="ME137" s="1"/>
      <c r="MF137" s="1"/>
      <c r="MG137" s="1"/>
      <c r="MH137" s="1"/>
      <c r="MI137" s="1"/>
      <c r="MJ137" s="1"/>
      <c r="MK137" s="1"/>
      <c r="ML137" s="1"/>
      <c r="MM137" s="1"/>
      <c r="MN137" s="1"/>
      <c r="MO137" s="1"/>
      <c r="MP137" s="1"/>
      <c r="MQ137" s="1"/>
      <c r="MR137" s="1"/>
      <c r="MS137" s="1"/>
      <c r="MT137" s="1"/>
      <c r="MU137" s="1"/>
      <c r="MV137" s="1"/>
      <c r="MW137" s="1"/>
      <c r="MX137" s="1"/>
      <c r="MY137" s="1"/>
      <c r="MZ137" s="1"/>
      <c r="NA137" s="1"/>
      <c r="NB137" s="1"/>
      <c r="NC137" s="1"/>
      <c r="ND137" s="1"/>
      <c r="NE137" s="1"/>
      <c r="NF137" s="1"/>
      <c r="NG137" s="1"/>
      <c r="NH137" s="1"/>
      <c r="NI137" s="1"/>
      <c r="NJ137" s="1"/>
      <c r="NK137" s="1"/>
      <c r="NL137" s="1"/>
      <c r="NM137" s="1"/>
      <c r="NN137" s="1"/>
      <c r="NO137" s="1"/>
      <c r="NP137" s="1"/>
      <c r="NQ137" s="1"/>
      <c r="NR137" s="1"/>
      <c r="NS137" s="1"/>
      <c r="NT137" s="1"/>
      <c r="NU137" s="1"/>
      <c r="NV137" s="1"/>
      <c r="NW137" s="1"/>
      <c r="NX137" s="1"/>
      <c r="NY137" s="1"/>
      <c r="NZ137" s="1"/>
      <c r="OA137" s="1"/>
      <c r="OB137" s="1"/>
      <c r="OC137" s="1"/>
      <c r="OD137" s="1"/>
      <c r="OE137" s="1"/>
      <c r="OF137" s="1"/>
      <c r="OG137" s="1"/>
      <c r="OH137" s="1"/>
      <c r="OI137" s="1"/>
      <c r="OJ137" s="1"/>
      <c r="OK137" s="1"/>
      <c r="OL137" s="1"/>
      <c r="OM137" s="1"/>
      <c r="ON137" s="1"/>
      <c r="OO137" s="1"/>
      <c r="OP137" s="1"/>
      <c r="OQ137" s="1"/>
      <c r="OR137" s="1"/>
      <c r="OS137" s="1"/>
      <c r="OT137" s="1"/>
      <c r="OU137" s="1"/>
      <c r="OV137" s="1"/>
      <c r="OW137" s="1"/>
      <c r="OX137" s="1"/>
      <c r="OY137" s="1"/>
      <c r="OZ137" s="1"/>
      <c r="PA137" s="1"/>
      <c r="PB137" s="1"/>
      <c r="PC137" s="1"/>
      <c r="PD137" s="1"/>
      <c r="PE137" s="1"/>
      <c r="PF137" s="1"/>
      <c r="PG137" s="1"/>
      <c r="PH137" s="1"/>
      <c r="PI137" s="1"/>
      <c r="PJ137" s="1"/>
      <c r="PK137" s="1"/>
      <c r="PL137" s="1"/>
      <c r="PM137" s="1"/>
      <c r="PN137" s="1"/>
      <c r="PO137" s="1"/>
      <c r="PP137" s="1"/>
      <c r="PQ137" s="1"/>
      <c r="PR137" s="1"/>
      <c r="PS137" s="1"/>
      <c r="PT137" s="1"/>
      <c r="PU137" s="1"/>
      <c r="PV137" s="1"/>
      <c r="PW137" s="1"/>
      <c r="PX137" s="1"/>
      <c r="PY137" s="1"/>
      <c r="PZ137" s="1"/>
      <c r="QA137" s="1"/>
      <c r="QB137" s="1"/>
      <c r="QC137" s="1"/>
      <c r="QD137" s="1"/>
      <c r="QE137" s="1"/>
      <c r="QF137" s="1"/>
      <c r="QG137" s="1"/>
      <c r="QH137" s="1"/>
      <c r="QI137" s="1"/>
      <c r="QJ137" s="1"/>
      <c r="QK137" s="1"/>
      <c r="QL137" s="1"/>
      <c r="QM137" s="1"/>
      <c r="QN137" s="1"/>
      <c r="QO137" s="1"/>
      <c r="QP137" s="1"/>
      <c r="QQ137" s="1"/>
      <c r="QR137" s="1"/>
      <c r="QS137" s="1"/>
      <c r="QT137" s="1"/>
      <c r="QU137" s="1"/>
      <c r="QV137" s="1"/>
      <c r="QW137" s="1"/>
      <c r="QX137" s="1"/>
      <c r="QY137" s="1"/>
      <c r="QZ137" s="1"/>
      <c r="RA137" s="1"/>
      <c r="RB137" s="1"/>
      <c r="RC137" s="1"/>
      <c r="RD137" s="1"/>
      <c r="RE137" s="1"/>
      <c r="RF137" s="1"/>
      <c r="RG137" s="1"/>
      <c r="RH137" s="1"/>
      <c r="RI137" s="1"/>
      <c r="RJ137" s="1"/>
      <c r="RK137" s="1"/>
      <c r="RL137" s="1"/>
      <c r="RM137" s="1"/>
      <c r="RN137" s="1"/>
      <c r="RO137" s="1"/>
      <c r="RP137" s="1"/>
      <c r="RQ137" s="1"/>
      <c r="RR137" s="1"/>
      <c r="RS137" s="1"/>
      <c r="RT137" s="1"/>
      <c r="RU137" s="1"/>
      <c r="RV137" s="1"/>
      <c r="RW137" s="1"/>
      <c r="RX137" s="1"/>
      <c r="RY137" s="1"/>
      <c r="RZ137" s="1"/>
      <c r="SA137" s="1"/>
      <c r="SB137" s="1"/>
      <c r="SC137" s="1"/>
      <c r="SD137" s="1"/>
      <c r="SE137" s="1"/>
      <c r="SF137" s="1"/>
      <c r="SG137" s="1"/>
      <c r="SH137" s="1"/>
      <c r="SI137" s="1"/>
      <c r="SJ137" s="1"/>
      <c r="SK137" s="1"/>
      <c r="SL137" s="1"/>
      <c r="SM137" s="1"/>
      <c r="SN137" s="1"/>
      <c r="SO137" s="1"/>
      <c r="SP137" s="1"/>
      <c r="SQ137" s="1"/>
      <c r="SR137" s="1"/>
      <c r="SS137" s="1"/>
      <c r="ST137" s="1"/>
      <c r="SU137" s="1"/>
      <c r="SV137" s="1"/>
      <c r="SW137" s="1"/>
      <c r="SX137" s="1"/>
      <c r="SY137" s="1"/>
      <c r="SZ137" s="1"/>
      <c r="TA137" s="1"/>
      <c r="TB137" s="1"/>
      <c r="TC137" s="1"/>
      <c r="TD137" s="1"/>
      <c r="TE137" s="1"/>
      <c r="TF137" s="1"/>
      <c r="TG137" s="1"/>
      <c r="TH137" s="1"/>
      <c r="TI137" s="1"/>
      <c r="TJ137" s="1"/>
      <c r="TK137" s="1"/>
      <c r="TL137" s="1"/>
      <c r="TM137" s="1"/>
      <c r="TN137" s="1"/>
      <c r="TO137" s="1"/>
      <c r="TP137" s="1"/>
      <c r="TQ137" s="1"/>
      <c r="TR137" s="1"/>
      <c r="TS137" s="1"/>
      <c r="TT137" s="1"/>
      <c r="TU137" s="1"/>
      <c r="TV137" s="1"/>
      <c r="TW137" s="1"/>
      <c r="TX137" s="1"/>
      <c r="TY137" s="1"/>
      <c r="TZ137" s="1"/>
      <c r="UA137" s="1"/>
      <c r="UB137" s="1"/>
      <c r="UC137" s="1"/>
      <c r="UD137" s="1"/>
      <c r="UE137" s="1"/>
      <c r="UF137" s="1"/>
      <c r="UG137" s="1"/>
      <c r="UH137" s="1"/>
      <c r="UI137" s="1"/>
      <c r="UJ137" s="1"/>
      <c r="UK137" s="1"/>
      <c r="UL137" s="1"/>
      <c r="UM137" s="1"/>
      <c r="UN137" s="1"/>
      <c r="UO137" s="1"/>
      <c r="UP137" s="1"/>
      <c r="UQ137" s="1"/>
      <c r="UR137" s="1"/>
      <c r="US137" s="1"/>
      <c r="UT137" s="1"/>
      <c r="UU137" s="1"/>
      <c r="UV137" s="1"/>
      <c r="UW137" s="1"/>
      <c r="UX137" s="1"/>
      <c r="UY137" s="1"/>
      <c r="UZ137" s="1"/>
      <c r="VA137" s="1"/>
      <c r="VB137" s="1"/>
      <c r="VC137" s="1"/>
      <c r="VD137" s="1"/>
      <c r="VE137" s="1"/>
      <c r="VF137" s="1"/>
      <c r="VG137" s="1"/>
      <c r="VH137" s="1"/>
      <c r="VI137" s="1"/>
      <c r="VJ137" s="1"/>
      <c r="VK137" s="1"/>
      <c r="VL137" s="1"/>
      <c r="VM137" s="1"/>
      <c r="VN137" s="1"/>
      <c r="VO137" s="1"/>
      <c r="VP137" s="1"/>
      <c r="VQ137" s="1"/>
      <c r="VR137" s="1"/>
      <c r="VS137" s="1"/>
      <c r="VT137" s="1"/>
      <c r="VU137" s="1"/>
      <c r="VV137" s="1"/>
      <c r="VW137" s="1"/>
      <c r="VX137" s="1"/>
      <c r="VY137" s="1"/>
      <c r="VZ137" s="1"/>
      <c r="WA137" s="1"/>
      <c r="WB137" s="1"/>
      <c r="WC137" s="1"/>
      <c r="WD137" s="1"/>
      <c r="WE137" s="1"/>
      <c r="WF137" s="1"/>
      <c r="WG137" s="1"/>
      <c r="WH137" s="1"/>
      <c r="WI137" s="1"/>
      <c r="WJ137" s="1"/>
      <c r="WK137" s="1"/>
      <c r="WL137" s="1"/>
      <c r="WM137" s="1"/>
      <c r="WN137" s="1"/>
      <c r="WO137" s="1"/>
      <c r="WP137" s="1"/>
      <c r="WQ137" s="1"/>
      <c r="WR137" s="1"/>
      <c r="WS137" s="1"/>
      <c r="WT137" s="1"/>
      <c r="WU137" s="1"/>
      <c r="WV137" s="1"/>
      <c r="WW137" s="1"/>
      <c r="WX137" s="1"/>
      <c r="WY137" s="1"/>
      <c r="WZ137" s="1"/>
      <c r="XA137" s="1"/>
      <c r="XB137" s="1"/>
      <c r="XC137" s="1"/>
      <c r="XD137" s="1"/>
      <c r="XE137" s="1"/>
      <c r="XF137" s="1"/>
      <c r="XG137" s="1"/>
      <c r="XH137" s="1"/>
      <c r="XI137" s="1"/>
      <c r="XJ137" s="1"/>
      <c r="XK137" s="1"/>
      <c r="XL137" s="1"/>
      <c r="XM137" s="1"/>
      <c r="XN137" s="1"/>
      <c r="XO137" s="1"/>
      <c r="XP137" s="1"/>
      <c r="XQ137" s="1"/>
      <c r="XR137" s="1"/>
      <c r="XS137" s="1"/>
      <c r="XT137" s="1"/>
      <c r="XU137" s="1"/>
      <c r="XV137" s="1"/>
      <c r="XW137" s="1"/>
      <c r="XX137" s="1"/>
      <c r="XY137" s="1"/>
      <c r="XZ137" s="1"/>
      <c r="YA137" s="1"/>
      <c r="YB137" s="1"/>
      <c r="YC137" s="1"/>
      <c r="YD137" s="1"/>
      <c r="YE137" s="1"/>
      <c r="YF137" s="1"/>
      <c r="YG137" s="1"/>
      <c r="YH137" s="1"/>
      <c r="YI137" s="1"/>
      <c r="YJ137" s="1"/>
      <c r="YK137" s="1"/>
      <c r="YL137" s="1"/>
      <c r="YM137" s="1"/>
      <c r="YN137" s="1"/>
      <c r="YO137" s="1"/>
      <c r="YP137" s="1"/>
      <c r="YQ137" s="1"/>
      <c r="YR137" s="1"/>
      <c r="YS137" s="1"/>
      <c r="YT137" s="1"/>
      <c r="YU137" s="1"/>
      <c r="YV137" s="1"/>
      <c r="YW137" s="1"/>
      <c r="YX137" s="1"/>
      <c r="YY137" s="1"/>
      <c r="YZ137" s="1"/>
      <c r="ZA137" s="1"/>
      <c r="ZB137" s="1"/>
      <c r="ZC137" s="1"/>
      <c r="ZD137" s="1"/>
      <c r="ZE137" s="1"/>
      <c r="ZF137" s="1"/>
      <c r="ZG137" s="1"/>
      <c r="ZH137" s="1"/>
      <c r="ZI137" s="1"/>
      <c r="ZJ137" s="1"/>
      <c r="ZK137" s="1"/>
      <c r="ZL137" s="1"/>
      <c r="ZM137" s="1"/>
      <c r="ZN137" s="1"/>
      <c r="ZO137" s="1"/>
      <c r="ZP137" s="1"/>
      <c r="ZQ137" s="1"/>
      <c r="ZR137" s="1"/>
      <c r="ZS137" s="1"/>
      <c r="ZT137" s="1"/>
      <c r="ZU137" s="1"/>
      <c r="ZV137" s="1"/>
      <c r="ZW137" s="1"/>
      <c r="ZX137" s="1"/>
      <c r="ZY137" s="1"/>
      <c r="ZZ137" s="1"/>
      <c r="AAA137" s="1"/>
      <c r="AAB137" s="1"/>
      <c r="AAC137" s="1"/>
      <c r="AAD137" s="1"/>
      <c r="AAE137" s="1"/>
      <c r="AAF137" s="1"/>
      <c r="AAG137" s="1"/>
      <c r="AAH137" s="1"/>
      <c r="AAI137" s="1"/>
      <c r="AAJ137" s="1"/>
      <c r="AAK137" s="1"/>
      <c r="AAL137" s="1"/>
      <c r="AAM137" s="1"/>
      <c r="AAN137" s="1"/>
      <c r="AAO137" s="1"/>
      <c r="AAP137" s="1"/>
      <c r="AAQ137" s="1"/>
      <c r="AAR137" s="1"/>
      <c r="AAS137" s="1"/>
      <c r="AAT137" s="1"/>
      <c r="AAU137" s="1"/>
      <c r="AAV137" s="1"/>
      <c r="AAW137" s="1"/>
      <c r="AAX137" s="1"/>
      <c r="AAY137" s="1"/>
      <c r="AAZ137" s="1"/>
      <c r="ABA137" s="1"/>
      <c r="ABB137" s="1"/>
      <c r="ABC137" s="1"/>
      <c r="ABD137" s="1"/>
      <c r="ABE137" s="1"/>
      <c r="ABF137" s="1"/>
      <c r="ABG137" s="1"/>
      <c r="ABH137" s="1"/>
      <c r="ABI137" s="1"/>
      <c r="ABJ137" s="1"/>
      <c r="ABK137" s="1"/>
      <c r="ABL137" s="1"/>
      <c r="ABM137" s="1"/>
      <c r="ABN137" s="1"/>
      <c r="ABO137" s="1"/>
      <c r="ABP137" s="1"/>
      <c r="ABQ137" s="1"/>
      <c r="ABR137" s="1"/>
      <c r="ABS137" s="1"/>
      <c r="ABT137" s="1"/>
      <c r="ABU137" s="1"/>
      <c r="ABV137" s="1"/>
      <c r="ABW137" s="1"/>
      <c r="ABX137" s="1"/>
      <c r="ABY137" s="1"/>
      <c r="ABZ137" s="1"/>
      <c r="ACA137" s="1"/>
      <c r="ACB137" s="1"/>
      <c r="ACC137" s="1"/>
      <c r="ACD137" s="1"/>
      <c r="ACE137" s="1"/>
      <c r="ACF137" s="1"/>
      <c r="ACG137" s="1"/>
      <c r="ACH137" s="1"/>
      <c r="ACI137" s="1"/>
      <c r="ACJ137" s="1"/>
      <c r="ACK137" s="1"/>
      <c r="ACL137" s="1"/>
      <c r="ACM137" s="1"/>
      <c r="ACN137" s="1"/>
      <c r="ACO137" s="1"/>
      <c r="ACP137" s="1"/>
      <c r="ACQ137" s="1"/>
      <c r="ACR137" s="1"/>
      <c r="ACS137" s="1"/>
      <c r="ACT137" s="1"/>
      <c r="ACU137" s="1"/>
      <c r="ACV137" s="1"/>
      <c r="ACW137" s="1"/>
      <c r="ACX137" s="1"/>
      <c r="ACY137" s="1"/>
      <c r="ACZ137" s="1"/>
      <c r="ADA137" s="1"/>
      <c r="ADB137" s="1"/>
      <c r="ADC137" s="1"/>
      <c r="ADD137" s="1"/>
      <c r="ADE137" s="1"/>
      <c r="ADF137" s="1"/>
      <c r="ADG137" s="1"/>
      <c r="ADH137" s="1"/>
      <c r="ADI137" s="1"/>
      <c r="ADJ137" s="1"/>
      <c r="ADK137" s="1"/>
      <c r="ADL137" s="1"/>
      <c r="ADM137" s="1"/>
      <c r="ADN137" s="1"/>
      <c r="ADO137" s="1"/>
      <c r="ADP137" s="1"/>
      <c r="ADQ137" s="1"/>
      <c r="ADR137" s="1"/>
      <c r="ADS137" s="1"/>
      <c r="ADT137" s="1"/>
      <c r="ADU137" s="1"/>
      <c r="ADV137" s="1"/>
      <c r="ADW137" s="1"/>
      <c r="ADX137" s="1"/>
      <c r="ADY137" s="1"/>
      <c r="ADZ137" s="1"/>
      <c r="AEA137" s="1"/>
      <c r="AEB137" s="1"/>
      <c r="AEC137" s="1"/>
      <c r="AED137" s="1"/>
      <c r="AEE137" s="1"/>
      <c r="AEF137" s="1"/>
      <c r="AEG137" s="1"/>
      <c r="AEH137" s="1"/>
      <c r="AEI137" s="1"/>
      <c r="AEJ137" s="1"/>
      <c r="AEK137" s="1"/>
      <c r="AEL137" s="1"/>
      <c r="AEM137" s="1"/>
      <c r="AEN137" s="1"/>
      <c r="AEO137" s="1"/>
      <c r="AEP137" s="1"/>
      <c r="AEQ137" s="1"/>
      <c r="AER137" s="1"/>
      <c r="AES137" s="1"/>
      <c r="AET137" s="1"/>
      <c r="AEU137" s="1"/>
      <c r="AEV137" s="1"/>
      <c r="AEW137" s="1"/>
      <c r="AEX137" s="1"/>
      <c r="AEY137" s="1"/>
      <c r="AEZ137" s="1"/>
      <c r="AFA137" s="1"/>
      <c r="AFB137" s="1"/>
      <c r="AFC137" s="1"/>
      <c r="AFD137" s="1"/>
      <c r="AFE137" s="1"/>
      <c r="AFF137" s="1"/>
      <c r="AFG137" s="1"/>
      <c r="AFH137" s="1"/>
      <c r="AFI137" s="1"/>
      <c r="AFJ137" s="1"/>
      <c r="AFK137" s="1"/>
      <c r="AFL137" s="1"/>
      <c r="AFM137" s="1"/>
      <c r="AFN137" s="1"/>
      <c r="AFO137" s="1"/>
      <c r="AFP137" s="1"/>
      <c r="AFQ137" s="1"/>
      <c r="AFR137" s="1"/>
      <c r="AFS137" s="1"/>
      <c r="AFT137" s="1"/>
      <c r="AFU137" s="1"/>
      <c r="AFV137" s="1"/>
      <c r="AFW137" s="1"/>
      <c r="AFX137" s="1"/>
      <c r="AFY137" s="1"/>
      <c r="AFZ137" s="1"/>
      <c r="AGA137" s="1"/>
      <c r="AGB137" s="1"/>
      <c r="AGC137" s="1"/>
      <c r="AGD137" s="1"/>
      <c r="AGE137" s="1"/>
      <c r="AGF137" s="1"/>
      <c r="AGG137" s="1"/>
      <c r="AGH137" s="1"/>
      <c r="AGI137" s="1"/>
      <c r="AGJ137" s="1"/>
      <c r="AGK137" s="1"/>
      <c r="AGL137" s="1"/>
      <c r="AGM137" s="1"/>
      <c r="AGN137" s="1"/>
      <c r="AGO137" s="1"/>
      <c r="AGP137" s="1"/>
      <c r="AGQ137" s="1"/>
      <c r="AGR137" s="1"/>
      <c r="AGS137" s="1"/>
      <c r="AGT137" s="1"/>
      <c r="AGU137" s="1"/>
      <c r="AGV137" s="1"/>
      <c r="AGW137" s="1"/>
      <c r="AGX137" s="1"/>
      <c r="AGY137" s="1"/>
      <c r="AGZ137" s="1"/>
      <c r="AHA137" s="1"/>
      <c r="AHB137" s="1"/>
      <c r="AHC137" s="1"/>
      <c r="AHD137" s="1"/>
      <c r="AHE137" s="1"/>
      <c r="AHF137" s="1"/>
      <c r="AHG137" s="1"/>
      <c r="AHH137" s="1"/>
      <c r="AHI137" s="1"/>
      <c r="AHJ137" s="1"/>
      <c r="AHK137" s="1"/>
      <c r="AHL137" s="1"/>
      <c r="AHM137" s="1"/>
      <c r="AHN137" s="1"/>
      <c r="AHO137" s="1"/>
      <c r="AHP137" s="1"/>
      <c r="AHQ137" s="1"/>
      <c r="AHR137" s="1"/>
      <c r="AHS137" s="1"/>
      <c r="AHT137" s="1"/>
      <c r="AHU137" s="1"/>
      <c r="AHV137" s="1"/>
      <c r="AHW137" s="1"/>
      <c r="AHX137" s="1"/>
      <c r="AHY137" s="1"/>
      <c r="AHZ137" s="1"/>
      <c r="AIA137" s="1"/>
      <c r="AIB137" s="1"/>
      <c r="AIC137" s="1"/>
      <c r="AID137" s="1"/>
      <c r="AIE137" s="1"/>
      <c r="AIF137" s="1"/>
      <c r="AIG137" s="1"/>
      <c r="AIH137" s="1"/>
      <c r="AII137" s="1"/>
      <c r="AIJ137" s="1"/>
      <c r="AIK137" s="1"/>
      <c r="AIL137" s="1"/>
      <c r="AIM137" s="1"/>
      <c r="AIN137" s="1"/>
      <c r="AIO137" s="1"/>
      <c r="AIP137" s="1"/>
      <c r="AIQ137" s="1"/>
      <c r="AIR137" s="1"/>
      <c r="AIS137" s="1"/>
      <c r="AIT137" s="1"/>
      <c r="AIU137" s="1"/>
      <c r="AIV137" s="1"/>
      <c r="AIW137" s="1"/>
      <c r="AIX137" s="1"/>
      <c r="AIY137" s="1"/>
      <c r="AIZ137" s="1"/>
      <c r="AJA137" s="1"/>
      <c r="AJB137" s="1"/>
      <c r="AJC137" s="1"/>
      <c r="AJD137" s="1"/>
      <c r="AJE137" s="1"/>
      <c r="AJF137" s="1"/>
      <c r="AJG137" s="1"/>
      <c r="AJH137" s="1"/>
      <c r="AJI137" s="1"/>
      <c r="AJJ137" s="1"/>
      <c r="AJK137" s="1"/>
      <c r="AJL137" s="1"/>
      <c r="AJM137" s="1"/>
      <c r="AJN137" s="1"/>
      <c r="AJO137" s="1"/>
      <c r="AJP137" s="1"/>
      <c r="AJQ137" s="1"/>
      <c r="AJR137" s="1"/>
      <c r="AJS137" s="1"/>
      <c r="AJT137" s="1"/>
      <c r="AJU137" s="1"/>
      <c r="AJV137" s="1"/>
      <c r="AJW137" s="1"/>
      <c r="AJX137" s="1"/>
      <c r="AJY137" s="1"/>
      <c r="AJZ137" s="1"/>
      <c r="AKA137" s="1"/>
      <c r="AKB137" s="1"/>
      <c r="AKC137" s="1"/>
      <c r="AKD137" s="1"/>
      <c r="AKE137" s="1"/>
      <c r="AKF137" s="1"/>
      <c r="AKG137" s="1"/>
      <c r="AKH137" s="1"/>
      <c r="AKI137" s="1"/>
      <c r="AKJ137" s="1"/>
      <c r="AKK137" s="1"/>
      <c r="AKL137" s="1"/>
      <c r="AKM137" s="1"/>
      <c r="AKN137" s="1"/>
      <c r="AKO137" s="1"/>
      <c r="AKP137" s="1"/>
      <c r="AKQ137" s="1"/>
      <c r="AKR137" s="1"/>
      <c r="AKS137" s="1"/>
      <c r="AKT137" s="1"/>
      <c r="AKU137" s="1"/>
      <c r="AKV137" s="1"/>
      <c r="AKW137" s="1"/>
      <c r="AKX137" s="1"/>
      <c r="AKY137" s="1"/>
      <c r="AKZ137" s="1"/>
      <c r="ALA137" s="1"/>
      <c r="ALB137" s="1"/>
      <c r="ALC137" s="1"/>
      <c r="ALD137" s="1"/>
      <c r="ALE137" s="1"/>
      <c r="ALF137" s="1"/>
      <c r="ALG137" s="1"/>
      <c r="ALH137" s="1"/>
      <c r="ALI137" s="1"/>
      <c r="ALJ137" s="1"/>
      <c r="ALK137" s="1"/>
      <c r="ALL137" s="1"/>
      <c r="ALM137" s="1"/>
      <c r="ALN137" s="1"/>
      <c r="ALO137" s="1"/>
      <c r="ALP137" s="1"/>
      <c r="ALQ137" s="1"/>
      <c r="ALR137" s="1"/>
      <c r="ALS137" s="1"/>
      <c r="ALT137" s="1"/>
      <c r="ALU137" s="1"/>
      <c r="ALV137" s="1"/>
      <c r="ALW137" s="1"/>
      <c r="ALX137" s="1"/>
      <c r="ALY137" s="1"/>
      <c r="ALZ137" s="1"/>
      <c r="AMA137" s="1"/>
      <c r="AMB137" s="1"/>
      <c r="AMC137" s="1"/>
      <c r="AMD137" s="1"/>
      <c r="AME137" s="1"/>
      <c r="AMF137" s="1"/>
      <c r="AMG137" s="1"/>
      <c r="AMH137" s="1"/>
      <c r="AMI137" s="1"/>
      <c r="AMJ137" s="1"/>
    </row>
    <row r="138" customFormat="false" ht="10.5" hidden="false" customHeight="true" outlineLevel="0" collapsed="false">
      <c r="A138" s="164"/>
      <c r="B138" s="164"/>
      <c r="C138" s="164"/>
      <c r="D138" s="164"/>
      <c r="E138" s="164"/>
      <c r="F138" s="164"/>
      <c r="G138" s="164"/>
      <c r="H138" s="164"/>
      <c r="I138" s="164"/>
      <c r="J138" s="23"/>
      <c r="K138" s="23"/>
      <c r="L138" s="23"/>
      <c r="M138" s="187"/>
      <c r="N138" s="187"/>
      <c r="O138" s="187"/>
      <c r="P138" s="188" t="n">
        <f aca="false">J138*M138</f>
        <v>0</v>
      </c>
      <c r="Q138" s="188"/>
      <c r="R138" s="188"/>
      <c r="S138" s="183"/>
      <c r="T138" s="168"/>
      <c r="U138" s="168"/>
      <c r="V138" s="168"/>
      <c r="W138" s="168"/>
      <c r="X138" s="168"/>
      <c r="Y138" s="168"/>
      <c r="Z138" s="168"/>
      <c r="AA138" s="168"/>
      <c r="AB138" s="168"/>
      <c r="AC138" s="168"/>
      <c r="AD138" s="168"/>
      <c r="AE138" s="23"/>
      <c r="AF138" s="23"/>
      <c r="AG138" s="23"/>
      <c r="AH138" s="187"/>
      <c r="AI138" s="187"/>
      <c r="AJ138" s="187"/>
      <c r="AK138" s="187"/>
      <c r="AL138" s="188" t="n">
        <f aca="false">AE138*AH138</f>
        <v>0</v>
      </c>
      <c r="AM138" s="188"/>
      <c r="AN138" s="188"/>
      <c r="AO138" s="188"/>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c r="IY138" s="1"/>
      <c r="IZ138" s="1"/>
      <c r="JA138" s="1"/>
      <c r="JB138" s="1"/>
      <c r="JC138" s="1"/>
      <c r="JD138" s="1"/>
      <c r="JE138" s="1"/>
      <c r="JF138" s="1"/>
      <c r="JG138" s="1"/>
      <c r="JH138" s="1"/>
      <c r="JI138" s="1"/>
      <c r="JJ138" s="1"/>
      <c r="JK138" s="1"/>
      <c r="JL138" s="1"/>
      <c r="JM138" s="1"/>
      <c r="JN138" s="1"/>
      <c r="JO138" s="1"/>
      <c r="JP138" s="1"/>
      <c r="JQ138" s="1"/>
      <c r="JR138" s="1"/>
      <c r="JS138" s="1"/>
      <c r="JT138" s="1"/>
      <c r="JU138" s="1"/>
      <c r="JV138" s="1"/>
      <c r="JW138" s="1"/>
      <c r="JX138" s="1"/>
      <c r="JY138" s="1"/>
      <c r="JZ138" s="1"/>
      <c r="KA138" s="1"/>
      <c r="KB138" s="1"/>
      <c r="KC138" s="1"/>
      <c r="KD138" s="1"/>
      <c r="KE138" s="1"/>
      <c r="KF138" s="1"/>
      <c r="KG138" s="1"/>
      <c r="KH138" s="1"/>
      <c r="KI138" s="1"/>
      <c r="KJ138" s="1"/>
      <c r="KK138" s="1"/>
      <c r="KL138" s="1"/>
      <c r="KM138" s="1"/>
      <c r="KN138" s="1"/>
      <c r="KO138" s="1"/>
      <c r="KP138" s="1"/>
      <c r="KQ138" s="1"/>
      <c r="KR138" s="1"/>
      <c r="KS138" s="1"/>
      <c r="KT138" s="1"/>
      <c r="KU138" s="1"/>
      <c r="KV138" s="1"/>
      <c r="KW138" s="1"/>
      <c r="KX138" s="1"/>
      <c r="KY138" s="1"/>
      <c r="KZ138" s="1"/>
      <c r="LA138" s="1"/>
      <c r="LB138" s="1"/>
      <c r="LC138" s="1"/>
      <c r="LD138" s="1"/>
      <c r="LE138" s="1"/>
      <c r="LF138" s="1"/>
      <c r="LG138" s="1"/>
      <c r="LH138" s="1"/>
      <c r="LI138" s="1"/>
      <c r="LJ138" s="1"/>
      <c r="LK138" s="1"/>
      <c r="LL138" s="1"/>
      <c r="LM138" s="1"/>
      <c r="LN138" s="1"/>
      <c r="LO138" s="1"/>
      <c r="LP138" s="1"/>
      <c r="LQ138" s="1"/>
      <c r="LR138" s="1"/>
      <c r="LS138" s="1"/>
      <c r="LT138" s="1"/>
      <c r="LU138" s="1"/>
      <c r="LV138" s="1"/>
      <c r="LW138" s="1"/>
      <c r="LX138" s="1"/>
      <c r="LY138" s="1"/>
      <c r="LZ138" s="1"/>
      <c r="MA138" s="1"/>
      <c r="MB138" s="1"/>
      <c r="MC138" s="1"/>
      <c r="MD138" s="1"/>
      <c r="ME138" s="1"/>
      <c r="MF138" s="1"/>
      <c r="MG138" s="1"/>
      <c r="MH138" s="1"/>
      <c r="MI138" s="1"/>
      <c r="MJ138" s="1"/>
      <c r="MK138" s="1"/>
      <c r="ML138" s="1"/>
      <c r="MM138" s="1"/>
      <c r="MN138" s="1"/>
      <c r="MO138" s="1"/>
      <c r="MP138" s="1"/>
      <c r="MQ138" s="1"/>
      <c r="MR138" s="1"/>
      <c r="MS138" s="1"/>
      <c r="MT138" s="1"/>
      <c r="MU138" s="1"/>
      <c r="MV138" s="1"/>
      <c r="MW138" s="1"/>
      <c r="MX138" s="1"/>
      <c r="MY138" s="1"/>
      <c r="MZ138" s="1"/>
      <c r="NA138" s="1"/>
      <c r="NB138" s="1"/>
      <c r="NC138" s="1"/>
      <c r="ND138" s="1"/>
      <c r="NE138" s="1"/>
      <c r="NF138" s="1"/>
      <c r="NG138" s="1"/>
      <c r="NH138" s="1"/>
      <c r="NI138" s="1"/>
      <c r="NJ138" s="1"/>
      <c r="NK138" s="1"/>
      <c r="NL138" s="1"/>
      <c r="NM138" s="1"/>
      <c r="NN138" s="1"/>
      <c r="NO138" s="1"/>
      <c r="NP138" s="1"/>
      <c r="NQ138" s="1"/>
      <c r="NR138" s="1"/>
      <c r="NS138" s="1"/>
      <c r="NT138" s="1"/>
      <c r="NU138" s="1"/>
      <c r="NV138" s="1"/>
      <c r="NW138" s="1"/>
      <c r="NX138" s="1"/>
      <c r="NY138" s="1"/>
      <c r="NZ138" s="1"/>
      <c r="OA138" s="1"/>
      <c r="OB138" s="1"/>
      <c r="OC138" s="1"/>
      <c r="OD138" s="1"/>
      <c r="OE138" s="1"/>
      <c r="OF138" s="1"/>
      <c r="OG138" s="1"/>
      <c r="OH138" s="1"/>
      <c r="OI138" s="1"/>
      <c r="OJ138" s="1"/>
      <c r="OK138" s="1"/>
      <c r="OL138" s="1"/>
      <c r="OM138" s="1"/>
      <c r="ON138" s="1"/>
      <c r="OO138" s="1"/>
      <c r="OP138" s="1"/>
      <c r="OQ138" s="1"/>
      <c r="OR138" s="1"/>
      <c r="OS138" s="1"/>
      <c r="OT138" s="1"/>
      <c r="OU138" s="1"/>
      <c r="OV138" s="1"/>
      <c r="OW138" s="1"/>
      <c r="OX138" s="1"/>
      <c r="OY138" s="1"/>
      <c r="OZ138" s="1"/>
      <c r="PA138" s="1"/>
      <c r="PB138" s="1"/>
      <c r="PC138" s="1"/>
      <c r="PD138" s="1"/>
      <c r="PE138" s="1"/>
      <c r="PF138" s="1"/>
      <c r="PG138" s="1"/>
      <c r="PH138" s="1"/>
      <c r="PI138" s="1"/>
      <c r="PJ138" s="1"/>
      <c r="PK138" s="1"/>
      <c r="PL138" s="1"/>
      <c r="PM138" s="1"/>
      <c r="PN138" s="1"/>
      <c r="PO138" s="1"/>
      <c r="PP138" s="1"/>
      <c r="PQ138" s="1"/>
      <c r="PR138" s="1"/>
      <c r="PS138" s="1"/>
      <c r="PT138" s="1"/>
      <c r="PU138" s="1"/>
      <c r="PV138" s="1"/>
      <c r="PW138" s="1"/>
      <c r="PX138" s="1"/>
      <c r="PY138" s="1"/>
      <c r="PZ138" s="1"/>
      <c r="QA138" s="1"/>
      <c r="QB138" s="1"/>
      <c r="QC138" s="1"/>
      <c r="QD138" s="1"/>
      <c r="QE138" s="1"/>
      <c r="QF138" s="1"/>
      <c r="QG138" s="1"/>
      <c r="QH138" s="1"/>
      <c r="QI138" s="1"/>
      <c r="QJ138" s="1"/>
      <c r="QK138" s="1"/>
      <c r="QL138" s="1"/>
      <c r="QM138" s="1"/>
      <c r="QN138" s="1"/>
      <c r="QO138" s="1"/>
      <c r="QP138" s="1"/>
      <c r="QQ138" s="1"/>
      <c r="QR138" s="1"/>
      <c r="QS138" s="1"/>
      <c r="QT138" s="1"/>
      <c r="QU138" s="1"/>
      <c r="QV138" s="1"/>
      <c r="QW138" s="1"/>
      <c r="QX138" s="1"/>
      <c r="QY138" s="1"/>
      <c r="QZ138" s="1"/>
      <c r="RA138" s="1"/>
      <c r="RB138" s="1"/>
      <c r="RC138" s="1"/>
      <c r="RD138" s="1"/>
      <c r="RE138" s="1"/>
      <c r="RF138" s="1"/>
      <c r="RG138" s="1"/>
      <c r="RH138" s="1"/>
      <c r="RI138" s="1"/>
      <c r="RJ138" s="1"/>
      <c r="RK138" s="1"/>
      <c r="RL138" s="1"/>
      <c r="RM138" s="1"/>
      <c r="RN138" s="1"/>
      <c r="RO138" s="1"/>
      <c r="RP138" s="1"/>
      <c r="RQ138" s="1"/>
      <c r="RR138" s="1"/>
      <c r="RS138" s="1"/>
      <c r="RT138" s="1"/>
      <c r="RU138" s="1"/>
      <c r="RV138" s="1"/>
      <c r="RW138" s="1"/>
      <c r="RX138" s="1"/>
      <c r="RY138" s="1"/>
      <c r="RZ138" s="1"/>
      <c r="SA138" s="1"/>
      <c r="SB138" s="1"/>
      <c r="SC138" s="1"/>
      <c r="SD138" s="1"/>
      <c r="SE138" s="1"/>
      <c r="SF138" s="1"/>
      <c r="SG138" s="1"/>
      <c r="SH138" s="1"/>
      <c r="SI138" s="1"/>
      <c r="SJ138" s="1"/>
      <c r="SK138" s="1"/>
      <c r="SL138" s="1"/>
      <c r="SM138" s="1"/>
      <c r="SN138" s="1"/>
      <c r="SO138" s="1"/>
      <c r="SP138" s="1"/>
      <c r="SQ138" s="1"/>
      <c r="SR138" s="1"/>
      <c r="SS138" s="1"/>
      <c r="ST138" s="1"/>
      <c r="SU138" s="1"/>
      <c r="SV138" s="1"/>
      <c r="SW138" s="1"/>
      <c r="SX138" s="1"/>
      <c r="SY138" s="1"/>
      <c r="SZ138" s="1"/>
      <c r="TA138" s="1"/>
      <c r="TB138" s="1"/>
      <c r="TC138" s="1"/>
      <c r="TD138" s="1"/>
      <c r="TE138" s="1"/>
      <c r="TF138" s="1"/>
      <c r="TG138" s="1"/>
      <c r="TH138" s="1"/>
      <c r="TI138" s="1"/>
      <c r="TJ138" s="1"/>
      <c r="TK138" s="1"/>
      <c r="TL138" s="1"/>
      <c r="TM138" s="1"/>
      <c r="TN138" s="1"/>
      <c r="TO138" s="1"/>
      <c r="TP138" s="1"/>
      <c r="TQ138" s="1"/>
      <c r="TR138" s="1"/>
      <c r="TS138" s="1"/>
      <c r="TT138" s="1"/>
      <c r="TU138" s="1"/>
      <c r="TV138" s="1"/>
      <c r="TW138" s="1"/>
      <c r="TX138" s="1"/>
      <c r="TY138" s="1"/>
      <c r="TZ138" s="1"/>
      <c r="UA138" s="1"/>
      <c r="UB138" s="1"/>
      <c r="UC138" s="1"/>
      <c r="UD138" s="1"/>
      <c r="UE138" s="1"/>
      <c r="UF138" s="1"/>
      <c r="UG138" s="1"/>
      <c r="UH138" s="1"/>
      <c r="UI138" s="1"/>
      <c r="UJ138" s="1"/>
      <c r="UK138" s="1"/>
      <c r="UL138" s="1"/>
      <c r="UM138" s="1"/>
      <c r="UN138" s="1"/>
      <c r="UO138" s="1"/>
      <c r="UP138" s="1"/>
      <c r="UQ138" s="1"/>
      <c r="UR138" s="1"/>
      <c r="US138" s="1"/>
      <c r="UT138" s="1"/>
      <c r="UU138" s="1"/>
      <c r="UV138" s="1"/>
      <c r="UW138" s="1"/>
      <c r="UX138" s="1"/>
      <c r="UY138" s="1"/>
      <c r="UZ138" s="1"/>
      <c r="VA138" s="1"/>
      <c r="VB138" s="1"/>
      <c r="VC138" s="1"/>
      <c r="VD138" s="1"/>
      <c r="VE138" s="1"/>
      <c r="VF138" s="1"/>
      <c r="VG138" s="1"/>
      <c r="VH138" s="1"/>
      <c r="VI138" s="1"/>
      <c r="VJ138" s="1"/>
      <c r="VK138" s="1"/>
      <c r="VL138" s="1"/>
      <c r="VM138" s="1"/>
      <c r="VN138" s="1"/>
      <c r="VO138" s="1"/>
      <c r="VP138" s="1"/>
      <c r="VQ138" s="1"/>
      <c r="VR138" s="1"/>
      <c r="VS138" s="1"/>
      <c r="VT138" s="1"/>
      <c r="VU138" s="1"/>
      <c r="VV138" s="1"/>
      <c r="VW138" s="1"/>
      <c r="VX138" s="1"/>
      <c r="VY138" s="1"/>
      <c r="VZ138" s="1"/>
      <c r="WA138" s="1"/>
      <c r="WB138" s="1"/>
      <c r="WC138" s="1"/>
      <c r="WD138" s="1"/>
      <c r="WE138" s="1"/>
      <c r="WF138" s="1"/>
      <c r="WG138" s="1"/>
      <c r="WH138" s="1"/>
      <c r="WI138" s="1"/>
      <c r="WJ138" s="1"/>
      <c r="WK138" s="1"/>
      <c r="WL138" s="1"/>
      <c r="WM138" s="1"/>
      <c r="WN138" s="1"/>
      <c r="WO138" s="1"/>
      <c r="WP138" s="1"/>
      <c r="WQ138" s="1"/>
      <c r="WR138" s="1"/>
      <c r="WS138" s="1"/>
      <c r="WT138" s="1"/>
      <c r="WU138" s="1"/>
      <c r="WV138" s="1"/>
      <c r="WW138" s="1"/>
      <c r="WX138" s="1"/>
      <c r="WY138" s="1"/>
      <c r="WZ138" s="1"/>
      <c r="XA138" s="1"/>
      <c r="XB138" s="1"/>
      <c r="XC138" s="1"/>
      <c r="XD138" s="1"/>
      <c r="XE138" s="1"/>
      <c r="XF138" s="1"/>
      <c r="XG138" s="1"/>
      <c r="XH138" s="1"/>
      <c r="XI138" s="1"/>
      <c r="XJ138" s="1"/>
      <c r="XK138" s="1"/>
      <c r="XL138" s="1"/>
      <c r="XM138" s="1"/>
      <c r="XN138" s="1"/>
      <c r="XO138" s="1"/>
      <c r="XP138" s="1"/>
      <c r="XQ138" s="1"/>
      <c r="XR138" s="1"/>
      <c r="XS138" s="1"/>
      <c r="XT138" s="1"/>
      <c r="XU138" s="1"/>
      <c r="XV138" s="1"/>
      <c r="XW138" s="1"/>
      <c r="XX138" s="1"/>
      <c r="XY138" s="1"/>
      <c r="XZ138" s="1"/>
      <c r="YA138" s="1"/>
      <c r="YB138" s="1"/>
      <c r="YC138" s="1"/>
      <c r="YD138" s="1"/>
      <c r="YE138" s="1"/>
      <c r="YF138" s="1"/>
      <c r="YG138" s="1"/>
      <c r="YH138" s="1"/>
      <c r="YI138" s="1"/>
      <c r="YJ138" s="1"/>
      <c r="YK138" s="1"/>
      <c r="YL138" s="1"/>
      <c r="YM138" s="1"/>
      <c r="YN138" s="1"/>
      <c r="YO138" s="1"/>
      <c r="YP138" s="1"/>
      <c r="YQ138" s="1"/>
      <c r="YR138" s="1"/>
      <c r="YS138" s="1"/>
      <c r="YT138" s="1"/>
      <c r="YU138" s="1"/>
      <c r="YV138" s="1"/>
      <c r="YW138" s="1"/>
      <c r="YX138" s="1"/>
      <c r="YY138" s="1"/>
      <c r="YZ138" s="1"/>
      <c r="ZA138" s="1"/>
      <c r="ZB138" s="1"/>
      <c r="ZC138" s="1"/>
      <c r="ZD138" s="1"/>
      <c r="ZE138" s="1"/>
      <c r="ZF138" s="1"/>
      <c r="ZG138" s="1"/>
      <c r="ZH138" s="1"/>
      <c r="ZI138" s="1"/>
      <c r="ZJ138" s="1"/>
      <c r="ZK138" s="1"/>
      <c r="ZL138" s="1"/>
      <c r="ZM138" s="1"/>
      <c r="ZN138" s="1"/>
      <c r="ZO138" s="1"/>
      <c r="ZP138" s="1"/>
      <c r="ZQ138" s="1"/>
      <c r="ZR138" s="1"/>
      <c r="ZS138" s="1"/>
      <c r="ZT138" s="1"/>
      <c r="ZU138" s="1"/>
      <c r="ZV138" s="1"/>
      <c r="ZW138" s="1"/>
      <c r="ZX138" s="1"/>
      <c r="ZY138" s="1"/>
      <c r="ZZ138" s="1"/>
      <c r="AAA138" s="1"/>
      <c r="AAB138" s="1"/>
      <c r="AAC138" s="1"/>
      <c r="AAD138" s="1"/>
      <c r="AAE138" s="1"/>
      <c r="AAF138" s="1"/>
      <c r="AAG138" s="1"/>
      <c r="AAH138" s="1"/>
      <c r="AAI138" s="1"/>
      <c r="AAJ138" s="1"/>
      <c r="AAK138" s="1"/>
      <c r="AAL138" s="1"/>
      <c r="AAM138" s="1"/>
      <c r="AAN138" s="1"/>
      <c r="AAO138" s="1"/>
      <c r="AAP138" s="1"/>
      <c r="AAQ138" s="1"/>
      <c r="AAR138" s="1"/>
      <c r="AAS138" s="1"/>
      <c r="AAT138" s="1"/>
      <c r="AAU138" s="1"/>
      <c r="AAV138" s="1"/>
      <c r="AAW138" s="1"/>
      <c r="AAX138" s="1"/>
      <c r="AAY138" s="1"/>
      <c r="AAZ138" s="1"/>
      <c r="ABA138" s="1"/>
      <c r="ABB138" s="1"/>
      <c r="ABC138" s="1"/>
      <c r="ABD138" s="1"/>
      <c r="ABE138" s="1"/>
      <c r="ABF138" s="1"/>
      <c r="ABG138" s="1"/>
      <c r="ABH138" s="1"/>
      <c r="ABI138" s="1"/>
      <c r="ABJ138" s="1"/>
      <c r="ABK138" s="1"/>
      <c r="ABL138" s="1"/>
      <c r="ABM138" s="1"/>
      <c r="ABN138" s="1"/>
      <c r="ABO138" s="1"/>
      <c r="ABP138" s="1"/>
      <c r="ABQ138" s="1"/>
      <c r="ABR138" s="1"/>
      <c r="ABS138" s="1"/>
      <c r="ABT138" s="1"/>
      <c r="ABU138" s="1"/>
      <c r="ABV138" s="1"/>
      <c r="ABW138" s="1"/>
      <c r="ABX138" s="1"/>
      <c r="ABY138" s="1"/>
      <c r="ABZ138" s="1"/>
      <c r="ACA138" s="1"/>
      <c r="ACB138" s="1"/>
      <c r="ACC138" s="1"/>
      <c r="ACD138" s="1"/>
      <c r="ACE138" s="1"/>
      <c r="ACF138" s="1"/>
      <c r="ACG138" s="1"/>
      <c r="ACH138" s="1"/>
      <c r="ACI138" s="1"/>
      <c r="ACJ138" s="1"/>
      <c r="ACK138" s="1"/>
      <c r="ACL138" s="1"/>
      <c r="ACM138" s="1"/>
      <c r="ACN138" s="1"/>
      <c r="ACO138" s="1"/>
      <c r="ACP138" s="1"/>
      <c r="ACQ138" s="1"/>
      <c r="ACR138" s="1"/>
      <c r="ACS138" s="1"/>
      <c r="ACT138" s="1"/>
      <c r="ACU138" s="1"/>
      <c r="ACV138" s="1"/>
      <c r="ACW138" s="1"/>
      <c r="ACX138" s="1"/>
      <c r="ACY138" s="1"/>
      <c r="ACZ138" s="1"/>
      <c r="ADA138" s="1"/>
      <c r="ADB138" s="1"/>
      <c r="ADC138" s="1"/>
      <c r="ADD138" s="1"/>
      <c r="ADE138" s="1"/>
      <c r="ADF138" s="1"/>
      <c r="ADG138" s="1"/>
      <c r="ADH138" s="1"/>
      <c r="ADI138" s="1"/>
      <c r="ADJ138" s="1"/>
      <c r="ADK138" s="1"/>
      <c r="ADL138" s="1"/>
      <c r="ADM138" s="1"/>
      <c r="ADN138" s="1"/>
      <c r="ADO138" s="1"/>
      <c r="ADP138" s="1"/>
      <c r="ADQ138" s="1"/>
      <c r="ADR138" s="1"/>
      <c r="ADS138" s="1"/>
      <c r="ADT138" s="1"/>
      <c r="ADU138" s="1"/>
      <c r="ADV138" s="1"/>
      <c r="ADW138" s="1"/>
      <c r="ADX138" s="1"/>
      <c r="ADY138" s="1"/>
      <c r="ADZ138" s="1"/>
      <c r="AEA138" s="1"/>
      <c r="AEB138" s="1"/>
      <c r="AEC138" s="1"/>
      <c r="AED138" s="1"/>
      <c r="AEE138" s="1"/>
      <c r="AEF138" s="1"/>
      <c r="AEG138" s="1"/>
      <c r="AEH138" s="1"/>
      <c r="AEI138" s="1"/>
      <c r="AEJ138" s="1"/>
      <c r="AEK138" s="1"/>
      <c r="AEL138" s="1"/>
      <c r="AEM138" s="1"/>
      <c r="AEN138" s="1"/>
      <c r="AEO138" s="1"/>
      <c r="AEP138" s="1"/>
      <c r="AEQ138" s="1"/>
      <c r="AER138" s="1"/>
      <c r="AES138" s="1"/>
      <c r="AET138" s="1"/>
      <c r="AEU138" s="1"/>
      <c r="AEV138" s="1"/>
      <c r="AEW138" s="1"/>
      <c r="AEX138" s="1"/>
      <c r="AEY138" s="1"/>
      <c r="AEZ138" s="1"/>
      <c r="AFA138" s="1"/>
      <c r="AFB138" s="1"/>
      <c r="AFC138" s="1"/>
      <c r="AFD138" s="1"/>
      <c r="AFE138" s="1"/>
      <c r="AFF138" s="1"/>
      <c r="AFG138" s="1"/>
      <c r="AFH138" s="1"/>
      <c r="AFI138" s="1"/>
      <c r="AFJ138" s="1"/>
      <c r="AFK138" s="1"/>
      <c r="AFL138" s="1"/>
      <c r="AFM138" s="1"/>
      <c r="AFN138" s="1"/>
      <c r="AFO138" s="1"/>
      <c r="AFP138" s="1"/>
      <c r="AFQ138" s="1"/>
      <c r="AFR138" s="1"/>
      <c r="AFS138" s="1"/>
      <c r="AFT138" s="1"/>
      <c r="AFU138" s="1"/>
      <c r="AFV138" s="1"/>
      <c r="AFW138" s="1"/>
      <c r="AFX138" s="1"/>
      <c r="AFY138" s="1"/>
      <c r="AFZ138" s="1"/>
      <c r="AGA138" s="1"/>
      <c r="AGB138" s="1"/>
      <c r="AGC138" s="1"/>
      <c r="AGD138" s="1"/>
      <c r="AGE138" s="1"/>
      <c r="AGF138" s="1"/>
      <c r="AGG138" s="1"/>
      <c r="AGH138" s="1"/>
      <c r="AGI138" s="1"/>
      <c r="AGJ138" s="1"/>
      <c r="AGK138" s="1"/>
      <c r="AGL138" s="1"/>
      <c r="AGM138" s="1"/>
      <c r="AGN138" s="1"/>
      <c r="AGO138" s="1"/>
      <c r="AGP138" s="1"/>
      <c r="AGQ138" s="1"/>
      <c r="AGR138" s="1"/>
      <c r="AGS138" s="1"/>
      <c r="AGT138" s="1"/>
      <c r="AGU138" s="1"/>
      <c r="AGV138" s="1"/>
      <c r="AGW138" s="1"/>
      <c r="AGX138" s="1"/>
      <c r="AGY138" s="1"/>
      <c r="AGZ138" s="1"/>
      <c r="AHA138" s="1"/>
      <c r="AHB138" s="1"/>
      <c r="AHC138" s="1"/>
      <c r="AHD138" s="1"/>
      <c r="AHE138" s="1"/>
      <c r="AHF138" s="1"/>
      <c r="AHG138" s="1"/>
      <c r="AHH138" s="1"/>
      <c r="AHI138" s="1"/>
      <c r="AHJ138" s="1"/>
      <c r="AHK138" s="1"/>
      <c r="AHL138" s="1"/>
      <c r="AHM138" s="1"/>
      <c r="AHN138" s="1"/>
      <c r="AHO138" s="1"/>
      <c r="AHP138" s="1"/>
      <c r="AHQ138" s="1"/>
      <c r="AHR138" s="1"/>
      <c r="AHS138" s="1"/>
      <c r="AHT138" s="1"/>
      <c r="AHU138" s="1"/>
      <c r="AHV138" s="1"/>
      <c r="AHW138" s="1"/>
      <c r="AHX138" s="1"/>
      <c r="AHY138" s="1"/>
      <c r="AHZ138" s="1"/>
      <c r="AIA138" s="1"/>
      <c r="AIB138" s="1"/>
      <c r="AIC138" s="1"/>
      <c r="AID138" s="1"/>
      <c r="AIE138" s="1"/>
      <c r="AIF138" s="1"/>
      <c r="AIG138" s="1"/>
      <c r="AIH138" s="1"/>
      <c r="AII138" s="1"/>
      <c r="AIJ138" s="1"/>
      <c r="AIK138" s="1"/>
      <c r="AIL138" s="1"/>
      <c r="AIM138" s="1"/>
      <c r="AIN138" s="1"/>
      <c r="AIO138" s="1"/>
      <c r="AIP138" s="1"/>
      <c r="AIQ138" s="1"/>
      <c r="AIR138" s="1"/>
      <c r="AIS138" s="1"/>
      <c r="AIT138" s="1"/>
      <c r="AIU138" s="1"/>
      <c r="AIV138" s="1"/>
      <c r="AIW138" s="1"/>
      <c r="AIX138" s="1"/>
      <c r="AIY138" s="1"/>
      <c r="AIZ138" s="1"/>
      <c r="AJA138" s="1"/>
      <c r="AJB138" s="1"/>
      <c r="AJC138" s="1"/>
      <c r="AJD138" s="1"/>
      <c r="AJE138" s="1"/>
      <c r="AJF138" s="1"/>
      <c r="AJG138" s="1"/>
      <c r="AJH138" s="1"/>
      <c r="AJI138" s="1"/>
      <c r="AJJ138" s="1"/>
      <c r="AJK138" s="1"/>
      <c r="AJL138" s="1"/>
      <c r="AJM138" s="1"/>
      <c r="AJN138" s="1"/>
      <c r="AJO138" s="1"/>
      <c r="AJP138" s="1"/>
      <c r="AJQ138" s="1"/>
      <c r="AJR138" s="1"/>
      <c r="AJS138" s="1"/>
      <c r="AJT138" s="1"/>
      <c r="AJU138" s="1"/>
      <c r="AJV138" s="1"/>
      <c r="AJW138" s="1"/>
      <c r="AJX138" s="1"/>
      <c r="AJY138" s="1"/>
      <c r="AJZ138" s="1"/>
      <c r="AKA138" s="1"/>
      <c r="AKB138" s="1"/>
      <c r="AKC138" s="1"/>
      <c r="AKD138" s="1"/>
      <c r="AKE138" s="1"/>
      <c r="AKF138" s="1"/>
      <c r="AKG138" s="1"/>
      <c r="AKH138" s="1"/>
      <c r="AKI138" s="1"/>
      <c r="AKJ138" s="1"/>
      <c r="AKK138" s="1"/>
      <c r="AKL138" s="1"/>
      <c r="AKM138" s="1"/>
      <c r="AKN138" s="1"/>
      <c r="AKO138" s="1"/>
      <c r="AKP138" s="1"/>
      <c r="AKQ138" s="1"/>
      <c r="AKR138" s="1"/>
      <c r="AKS138" s="1"/>
      <c r="AKT138" s="1"/>
      <c r="AKU138" s="1"/>
      <c r="AKV138" s="1"/>
      <c r="AKW138" s="1"/>
      <c r="AKX138" s="1"/>
      <c r="AKY138" s="1"/>
      <c r="AKZ138" s="1"/>
      <c r="ALA138" s="1"/>
      <c r="ALB138" s="1"/>
      <c r="ALC138" s="1"/>
      <c r="ALD138" s="1"/>
      <c r="ALE138" s="1"/>
      <c r="ALF138" s="1"/>
      <c r="ALG138" s="1"/>
      <c r="ALH138" s="1"/>
      <c r="ALI138" s="1"/>
      <c r="ALJ138" s="1"/>
      <c r="ALK138" s="1"/>
      <c r="ALL138" s="1"/>
      <c r="ALM138" s="1"/>
      <c r="ALN138" s="1"/>
      <c r="ALO138" s="1"/>
      <c r="ALP138" s="1"/>
      <c r="ALQ138" s="1"/>
      <c r="ALR138" s="1"/>
      <c r="ALS138" s="1"/>
      <c r="ALT138" s="1"/>
      <c r="ALU138" s="1"/>
      <c r="ALV138" s="1"/>
      <c r="ALW138" s="1"/>
      <c r="ALX138" s="1"/>
      <c r="ALY138" s="1"/>
      <c r="ALZ138" s="1"/>
      <c r="AMA138" s="1"/>
      <c r="AMB138" s="1"/>
      <c r="AMC138" s="1"/>
      <c r="AMD138" s="1"/>
      <c r="AME138" s="1"/>
      <c r="AMF138" s="1"/>
      <c r="AMG138" s="1"/>
      <c r="AMH138" s="1"/>
      <c r="AMI138" s="1"/>
      <c r="AMJ138" s="1"/>
    </row>
    <row r="139" customFormat="false" ht="10.5" hidden="false" customHeight="true" outlineLevel="0" collapsed="false">
      <c r="A139" s="164"/>
      <c r="B139" s="164"/>
      <c r="C139" s="164"/>
      <c r="D139" s="164"/>
      <c r="E139" s="164"/>
      <c r="F139" s="164"/>
      <c r="G139" s="164"/>
      <c r="H139" s="164"/>
      <c r="I139" s="164"/>
      <c r="J139" s="23"/>
      <c r="K139" s="23"/>
      <c r="L139" s="23"/>
      <c r="M139" s="187"/>
      <c r="N139" s="187"/>
      <c r="O139" s="187"/>
      <c r="P139" s="188" t="n">
        <f aca="false">J139*M139</f>
        <v>0</v>
      </c>
      <c r="Q139" s="188"/>
      <c r="R139" s="188"/>
      <c r="S139" s="183"/>
      <c r="T139" s="168"/>
      <c r="U139" s="168"/>
      <c r="V139" s="168"/>
      <c r="W139" s="168"/>
      <c r="X139" s="168"/>
      <c r="Y139" s="168"/>
      <c r="Z139" s="168"/>
      <c r="AA139" s="168"/>
      <c r="AB139" s="168"/>
      <c r="AC139" s="168"/>
      <c r="AD139" s="168"/>
      <c r="AE139" s="23"/>
      <c r="AF139" s="23"/>
      <c r="AG139" s="23"/>
      <c r="AH139" s="187"/>
      <c r="AI139" s="187"/>
      <c r="AJ139" s="187"/>
      <c r="AK139" s="187"/>
      <c r="AL139" s="188" t="n">
        <f aca="false">AE139*AH139</f>
        <v>0</v>
      </c>
      <c r="AM139" s="188"/>
      <c r="AN139" s="188"/>
      <c r="AO139" s="188"/>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c r="IY139" s="1"/>
      <c r="IZ139" s="1"/>
      <c r="JA139" s="1"/>
      <c r="JB139" s="1"/>
      <c r="JC139" s="1"/>
      <c r="JD139" s="1"/>
      <c r="JE139" s="1"/>
      <c r="JF139" s="1"/>
      <c r="JG139" s="1"/>
      <c r="JH139" s="1"/>
      <c r="JI139" s="1"/>
      <c r="JJ139" s="1"/>
      <c r="JK139" s="1"/>
      <c r="JL139" s="1"/>
      <c r="JM139" s="1"/>
      <c r="JN139" s="1"/>
      <c r="JO139" s="1"/>
      <c r="JP139" s="1"/>
      <c r="JQ139" s="1"/>
      <c r="JR139" s="1"/>
      <c r="JS139" s="1"/>
      <c r="JT139" s="1"/>
      <c r="JU139" s="1"/>
      <c r="JV139" s="1"/>
      <c r="JW139" s="1"/>
      <c r="JX139" s="1"/>
      <c r="JY139" s="1"/>
      <c r="JZ139" s="1"/>
      <c r="KA139" s="1"/>
      <c r="KB139" s="1"/>
      <c r="KC139" s="1"/>
      <c r="KD139" s="1"/>
      <c r="KE139" s="1"/>
      <c r="KF139" s="1"/>
      <c r="KG139" s="1"/>
      <c r="KH139" s="1"/>
      <c r="KI139" s="1"/>
      <c r="KJ139" s="1"/>
      <c r="KK139" s="1"/>
      <c r="KL139" s="1"/>
      <c r="KM139" s="1"/>
      <c r="KN139" s="1"/>
      <c r="KO139" s="1"/>
      <c r="KP139" s="1"/>
      <c r="KQ139" s="1"/>
      <c r="KR139" s="1"/>
      <c r="KS139" s="1"/>
      <c r="KT139" s="1"/>
      <c r="KU139" s="1"/>
      <c r="KV139" s="1"/>
      <c r="KW139" s="1"/>
      <c r="KX139" s="1"/>
      <c r="KY139" s="1"/>
      <c r="KZ139" s="1"/>
      <c r="LA139" s="1"/>
      <c r="LB139" s="1"/>
      <c r="LC139" s="1"/>
      <c r="LD139" s="1"/>
      <c r="LE139" s="1"/>
      <c r="LF139" s="1"/>
      <c r="LG139" s="1"/>
      <c r="LH139" s="1"/>
      <c r="LI139" s="1"/>
      <c r="LJ139" s="1"/>
      <c r="LK139" s="1"/>
      <c r="LL139" s="1"/>
      <c r="LM139" s="1"/>
      <c r="LN139" s="1"/>
      <c r="LO139" s="1"/>
      <c r="LP139" s="1"/>
      <c r="LQ139" s="1"/>
      <c r="LR139" s="1"/>
      <c r="LS139" s="1"/>
      <c r="LT139" s="1"/>
      <c r="LU139" s="1"/>
      <c r="LV139" s="1"/>
      <c r="LW139" s="1"/>
      <c r="LX139" s="1"/>
      <c r="LY139" s="1"/>
      <c r="LZ139" s="1"/>
      <c r="MA139" s="1"/>
      <c r="MB139" s="1"/>
      <c r="MC139" s="1"/>
      <c r="MD139" s="1"/>
      <c r="ME139" s="1"/>
      <c r="MF139" s="1"/>
      <c r="MG139" s="1"/>
      <c r="MH139" s="1"/>
      <c r="MI139" s="1"/>
      <c r="MJ139" s="1"/>
      <c r="MK139" s="1"/>
      <c r="ML139" s="1"/>
      <c r="MM139" s="1"/>
      <c r="MN139" s="1"/>
      <c r="MO139" s="1"/>
      <c r="MP139" s="1"/>
      <c r="MQ139" s="1"/>
      <c r="MR139" s="1"/>
      <c r="MS139" s="1"/>
      <c r="MT139" s="1"/>
      <c r="MU139" s="1"/>
      <c r="MV139" s="1"/>
      <c r="MW139" s="1"/>
      <c r="MX139" s="1"/>
      <c r="MY139" s="1"/>
      <c r="MZ139" s="1"/>
      <c r="NA139" s="1"/>
      <c r="NB139" s="1"/>
      <c r="NC139" s="1"/>
      <c r="ND139" s="1"/>
      <c r="NE139" s="1"/>
      <c r="NF139" s="1"/>
      <c r="NG139" s="1"/>
      <c r="NH139" s="1"/>
      <c r="NI139" s="1"/>
      <c r="NJ139" s="1"/>
      <c r="NK139" s="1"/>
      <c r="NL139" s="1"/>
      <c r="NM139" s="1"/>
      <c r="NN139" s="1"/>
      <c r="NO139" s="1"/>
      <c r="NP139" s="1"/>
      <c r="NQ139" s="1"/>
      <c r="NR139" s="1"/>
      <c r="NS139" s="1"/>
      <c r="NT139" s="1"/>
      <c r="NU139" s="1"/>
      <c r="NV139" s="1"/>
      <c r="NW139" s="1"/>
      <c r="NX139" s="1"/>
      <c r="NY139" s="1"/>
      <c r="NZ139" s="1"/>
      <c r="OA139" s="1"/>
      <c r="OB139" s="1"/>
      <c r="OC139" s="1"/>
      <c r="OD139" s="1"/>
      <c r="OE139" s="1"/>
      <c r="OF139" s="1"/>
      <c r="OG139" s="1"/>
      <c r="OH139" s="1"/>
      <c r="OI139" s="1"/>
      <c r="OJ139" s="1"/>
      <c r="OK139" s="1"/>
      <c r="OL139" s="1"/>
      <c r="OM139" s="1"/>
      <c r="ON139" s="1"/>
      <c r="OO139" s="1"/>
      <c r="OP139" s="1"/>
      <c r="OQ139" s="1"/>
      <c r="OR139" s="1"/>
      <c r="OS139" s="1"/>
      <c r="OT139" s="1"/>
      <c r="OU139" s="1"/>
      <c r="OV139" s="1"/>
      <c r="OW139" s="1"/>
      <c r="OX139" s="1"/>
      <c r="OY139" s="1"/>
      <c r="OZ139" s="1"/>
      <c r="PA139" s="1"/>
      <c r="PB139" s="1"/>
      <c r="PC139" s="1"/>
      <c r="PD139" s="1"/>
      <c r="PE139" s="1"/>
      <c r="PF139" s="1"/>
      <c r="PG139" s="1"/>
      <c r="PH139" s="1"/>
      <c r="PI139" s="1"/>
      <c r="PJ139" s="1"/>
      <c r="PK139" s="1"/>
      <c r="PL139" s="1"/>
      <c r="PM139" s="1"/>
      <c r="PN139" s="1"/>
      <c r="PO139" s="1"/>
      <c r="PP139" s="1"/>
      <c r="PQ139" s="1"/>
      <c r="PR139" s="1"/>
      <c r="PS139" s="1"/>
      <c r="PT139" s="1"/>
      <c r="PU139" s="1"/>
      <c r="PV139" s="1"/>
      <c r="PW139" s="1"/>
      <c r="PX139" s="1"/>
      <c r="PY139" s="1"/>
      <c r="PZ139" s="1"/>
      <c r="QA139" s="1"/>
      <c r="QB139" s="1"/>
      <c r="QC139" s="1"/>
      <c r="QD139" s="1"/>
      <c r="QE139" s="1"/>
      <c r="QF139" s="1"/>
      <c r="QG139" s="1"/>
      <c r="QH139" s="1"/>
      <c r="QI139" s="1"/>
      <c r="QJ139" s="1"/>
      <c r="QK139" s="1"/>
      <c r="QL139" s="1"/>
      <c r="QM139" s="1"/>
      <c r="QN139" s="1"/>
      <c r="QO139" s="1"/>
      <c r="QP139" s="1"/>
      <c r="QQ139" s="1"/>
      <c r="QR139" s="1"/>
      <c r="QS139" s="1"/>
      <c r="QT139" s="1"/>
      <c r="QU139" s="1"/>
      <c r="QV139" s="1"/>
      <c r="QW139" s="1"/>
      <c r="QX139" s="1"/>
      <c r="QY139" s="1"/>
      <c r="QZ139" s="1"/>
      <c r="RA139" s="1"/>
      <c r="RB139" s="1"/>
      <c r="RC139" s="1"/>
      <c r="RD139" s="1"/>
      <c r="RE139" s="1"/>
      <c r="RF139" s="1"/>
      <c r="RG139" s="1"/>
      <c r="RH139" s="1"/>
      <c r="RI139" s="1"/>
      <c r="RJ139" s="1"/>
      <c r="RK139" s="1"/>
      <c r="RL139" s="1"/>
      <c r="RM139" s="1"/>
      <c r="RN139" s="1"/>
      <c r="RO139" s="1"/>
      <c r="RP139" s="1"/>
      <c r="RQ139" s="1"/>
      <c r="RR139" s="1"/>
      <c r="RS139" s="1"/>
      <c r="RT139" s="1"/>
      <c r="RU139" s="1"/>
      <c r="RV139" s="1"/>
      <c r="RW139" s="1"/>
      <c r="RX139" s="1"/>
      <c r="RY139" s="1"/>
      <c r="RZ139" s="1"/>
      <c r="SA139" s="1"/>
      <c r="SB139" s="1"/>
      <c r="SC139" s="1"/>
      <c r="SD139" s="1"/>
      <c r="SE139" s="1"/>
      <c r="SF139" s="1"/>
      <c r="SG139" s="1"/>
      <c r="SH139" s="1"/>
      <c r="SI139" s="1"/>
      <c r="SJ139" s="1"/>
      <c r="SK139" s="1"/>
      <c r="SL139" s="1"/>
      <c r="SM139" s="1"/>
      <c r="SN139" s="1"/>
      <c r="SO139" s="1"/>
      <c r="SP139" s="1"/>
      <c r="SQ139" s="1"/>
      <c r="SR139" s="1"/>
      <c r="SS139" s="1"/>
      <c r="ST139" s="1"/>
      <c r="SU139" s="1"/>
      <c r="SV139" s="1"/>
      <c r="SW139" s="1"/>
      <c r="SX139" s="1"/>
      <c r="SY139" s="1"/>
      <c r="SZ139" s="1"/>
      <c r="TA139" s="1"/>
      <c r="TB139" s="1"/>
      <c r="TC139" s="1"/>
      <c r="TD139" s="1"/>
      <c r="TE139" s="1"/>
      <c r="TF139" s="1"/>
      <c r="TG139" s="1"/>
      <c r="TH139" s="1"/>
      <c r="TI139" s="1"/>
      <c r="TJ139" s="1"/>
      <c r="TK139" s="1"/>
      <c r="TL139" s="1"/>
      <c r="TM139" s="1"/>
      <c r="TN139" s="1"/>
      <c r="TO139" s="1"/>
      <c r="TP139" s="1"/>
      <c r="TQ139" s="1"/>
      <c r="TR139" s="1"/>
      <c r="TS139" s="1"/>
      <c r="TT139" s="1"/>
      <c r="TU139" s="1"/>
      <c r="TV139" s="1"/>
      <c r="TW139" s="1"/>
      <c r="TX139" s="1"/>
      <c r="TY139" s="1"/>
      <c r="TZ139" s="1"/>
      <c r="UA139" s="1"/>
      <c r="UB139" s="1"/>
      <c r="UC139" s="1"/>
      <c r="UD139" s="1"/>
      <c r="UE139" s="1"/>
      <c r="UF139" s="1"/>
      <c r="UG139" s="1"/>
      <c r="UH139" s="1"/>
      <c r="UI139" s="1"/>
      <c r="UJ139" s="1"/>
      <c r="UK139" s="1"/>
      <c r="UL139" s="1"/>
      <c r="UM139" s="1"/>
      <c r="UN139" s="1"/>
      <c r="UO139" s="1"/>
      <c r="UP139" s="1"/>
      <c r="UQ139" s="1"/>
      <c r="UR139" s="1"/>
      <c r="US139" s="1"/>
      <c r="UT139" s="1"/>
      <c r="UU139" s="1"/>
      <c r="UV139" s="1"/>
      <c r="UW139" s="1"/>
      <c r="UX139" s="1"/>
      <c r="UY139" s="1"/>
      <c r="UZ139" s="1"/>
      <c r="VA139" s="1"/>
      <c r="VB139" s="1"/>
      <c r="VC139" s="1"/>
      <c r="VD139" s="1"/>
      <c r="VE139" s="1"/>
      <c r="VF139" s="1"/>
      <c r="VG139" s="1"/>
      <c r="VH139" s="1"/>
      <c r="VI139" s="1"/>
      <c r="VJ139" s="1"/>
      <c r="VK139" s="1"/>
      <c r="VL139" s="1"/>
      <c r="VM139" s="1"/>
      <c r="VN139" s="1"/>
      <c r="VO139" s="1"/>
      <c r="VP139" s="1"/>
      <c r="VQ139" s="1"/>
      <c r="VR139" s="1"/>
      <c r="VS139" s="1"/>
      <c r="VT139" s="1"/>
      <c r="VU139" s="1"/>
      <c r="VV139" s="1"/>
      <c r="VW139" s="1"/>
      <c r="VX139" s="1"/>
      <c r="VY139" s="1"/>
      <c r="VZ139" s="1"/>
      <c r="WA139" s="1"/>
      <c r="WB139" s="1"/>
      <c r="WC139" s="1"/>
      <c r="WD139" s="1"/>
      <c r="WE139" s="1"/>
      <c r="WF139" s="1"/>
      <c r="WG139" s="1"/>
      <c r="WH139" s="1"/>
      <c r="WI139" s="1"/>
      <c r="WJ139" s="1"/>
      <c r="WK139" s="1"/>
      <c r="WL139" s="1"/>
      <c r="WM139" s="1"/>
      <c r="WN139" s="1"/>
      <c r="WO139" s="1"/>
      <c r="WP139" s="1"/>
      <c r="WQ139" s="1"/>
      <c r="WR139" s="1"/>
      <c r="WS139" s="1"/>
      <c r="WT139" s="1"/>
      <c r="WU139" s="1"/>
      <c r="WV139" s="1"/>
      <c r="WW139" s="1"/>
      <c r="WX139" s="1"/>
      <c r="WY139" s="1"/>
      <c r="WZ139" s="1"/>
      <c r="XA139" s="1"/>
      <c r="XB139" s="1"/>
      <c r="XC139" s="1"/>
      <c r="XD139" s="1"/>
      <c r="XE139" s="1"/>
      <c r="XF139" s="1"/>
      <c r="XG139" s="1"/>
      <c r="XH139" s="1"/>
      <c r="XI139" s="1"/>
      <c r="XJ139" s="1"/>
      <c r="XK139" s="1"/>
      <c r="XL139" s="1"/>
      <c r="XM139" s="1"/>
      <c r="XN139" s="1"/>
      <c r="XO139" s="1"/>
      <c r="XP139" s="1"/>
      <c r="XQ139" s="1"/>
      <c r="XR139" s="1"/>
      <c r="XS139" s="1"/>
      <c r="XT139" s="1"/>
      <c r="XU139" s="1"/>
      <c r="XV139" s="1"/>
      <c r="XW139" s="1"/>
      <c r="XX139" s="1"/>
      <c r="XY139" s="1"/>
      <c r="XZ139" s="1"/>
      <c r="YA139" s="1"/>
      <c r="YB139" s="1"/>
      <c r="YC139" s="1"/>
      <c r="YD139" s="1"/>
      <c r="YE139" s="1"/>
      <c r="YF139" s="1"/>
      <c r="YG139" s="1"/>
      <c r="YH139" s="1"/>
      <c r="YI139" s="1"/>
      <c r="YJ139" s="1"/>
      <c r="YK139" s="1"/>
      <c r="YL139" s="1"/>
      <c r="YM139" s="1"/>
      <c r="YN139" s="1"/>
      <c r="YO139" s="1"/>
      <c r="YP139" s="1"/>
      <c r="YQ139" s="1"/>
      <c r="YR139" s="1"/>
      <c r="YS139" s="1"/>
      <c r="YT139" s="1"/>
      <c r="YU139" s="1"/>
      <c r="YV139" s="1"/>
      <c r="YW139" s="1"/>
      <c r="YX139" s="1"/>
      <c r="YY139" s="1"/>
      <c r="YZ139" s="1"/>
      <c r="ZA139" s="1"/>
      <c r="ZB139" s="1"/>
      <c r="ZC139" s="1"/>
      <c r="ZD139" s="1"/>
      <c r="ZE139" s="1"/>
      <c r="ZF139" s="1"/>
      <c r="ZG139" s="1"/>
      <c r="ZH139" s="1"/>
      <c r="ZI139" s="1"/>
      <c r="ZJ139" s="1"/>
      <c r="ZK139" s="1"/>
      <c r="ZL139" s="1"/>
      <c r="ZM139" s="1"/>
      <c r="ZN139" s="1"/>
      <c r="ZO139" s="1"/>
      <c r="ZP139" s="1"/>
      <c r="ZQ139" s="1"/>
      <c r="ZR139" s="1"/>
      <c r="ZS139" s="1"/>
      <c r="ZT139" s="1"/>
      <c r="ZU139" s="1"/>
      <c r="ZV139" s="1"/>
      <c r="ZW139" s="1"/>
      <c r="ZX139" s="1"/>
      <c r="ZY139" s="1"/>
      <c r="ZZ139" s="1"/>
      <c r="AAA139" s="1"/>
      <c r="AAB139" s="1"/>
      <c r="AAC139" s="1"/>
      <c r="AAD139" s="1"/>
      <c r="AAE139" s="1"/>
      <c r="AAF139" s="1"/>
      <c r="AAG139" s="1"/>
      <c r="AAH139" s="1"/>
      <c r="AAI139" s="1"/>
      <c r="AAJ139" s="1"/>
      <c r="AAK139" s="1"/>
      <c r="AAL139" s="1"/>
      <c r="AAM139" s="1"/>
      <c r="AAN139" s="1"/>
      <c r="AAO139" s="1"/>
      <c r="AAP139" s="1"/>
      <c r="AAQ139" s="1"/>
      <c r="AAR139" s="1"/>
      <c r="AAS139" s="1"/>
      <c r="AAT139" s="1"/>
      <c r="AAU139" s="1"/>
      <c r="AAV139" s="1"/>
      <c r="AAW139" s="1"/>
      <c r="AAX139" s="1"/>
      <c r="AAY139" s="1"/>
      <c r="AAZ139" s="1"/>
      <c r="ABA139" s="1"/>
      <c r="ABB139" s="1"/>
      <c r="ABC139" s="1"/>
      <c r="ABD139" s="1"/>
      <c r="ABE139" s="1"/>
      <c r="ABF139" s="1"/>
      <c r="ABG139" s="1"/>
      <c r="ABH139" s="1"/>
      <c r="ABI139" s="1"/>
      <c r="ABJ139" s="1"/>
      <c r="ABK139" s="1"/>
      <c r="ABL139" s="1"/>
      <c r="ABM139" s="1"/>
      <c r="ABN139" s="1"/>
      <c r="ABO139" s="1"/>
      <c r="ABP139" s="1"/>
      <c r="ABQ139" s="1"/>
      <c r="ABR139" s="1"/>
      <c r="ABS139" s="1"/>
      <c r="ABT139" s="1"/>
      <c r="ABU139" s="1"/>
      <c r="ABV139" s="1"/>
      <c r="ABW139" s="1"/>
      <c r="ABX139" s="1"/>
      <c r="ABY139" s="1"/>
      <c r="ABZ139" s="1"/>
      <c r="ACA139" s="1"/>
      <c r="ACB139" s="1"/>
      <c r="ACC139" s="1"/>
      <c r="ACD139" s="1"/>
      <c r="ACE139" s="1"/>
      <c r="ACF139" s="1"/>
      <c r="ACG139" s="1"/>
      <c r="ACH139" s="1"/>
      <c r="ACI139" s="1"/>
      <c r="ACJ139" s="1"/>
      <c r="ACK139" s="1"/>
      <c r="ACL139" s="1"/>
      <c r="ACM139" s="1"/>
      <c r="ACN139" s="1"/>
      <c r="ACO139" s="1"/>
      <c r="ACP139" s="1"/>
      <c r="ACQ139" s="1"/>
      <c r="ACR139" s="1"/>
      <c r="ACS139" s="1"/>
      <c r="ACT139" s="1"/>
      <c r="ACU139" s="1"/>
      <c r="ACV139" s="1"/>
      <c r="ACW139" s="1"/>
      <c r="ACX139" s="1"/>
      <c r="ACY139" s="1"/>
      <c r="ACZ139" s="1"/>
      <c r="ADA139" s="1"/>
      <c r="ADB139" s="1"/>
      <c r="ADC139" s="1"/>
      <c r="ADD139" s="1"/>
      <c r="ADE139" s="1"/>
      <c r="ADF139" s="1"/>
      <c r="ADG139" s="1"/>
      <c r="ADH139" s="1"/>
      <c r="ADI139" s="1"/>
      <c r="ADJ139" s="1"/>
      <c r="ADK139" s="1"/>
      <c r="ADL139" s="1"/>
      <c r="ADM139" s="1"/>
      <c r="ADN139" s="1"/>
      <c r="ADO139" s="1"/>
      <c r="ADP139" s="1"/>
      <c r="ADQ139" s="1"/>
      <c r="ADR139" s="1"/>
      <c r="ADS139" s="1"/>
      <c r="ADT139" s="1"/>
      <c r="ADU139" s="1"/>
      <c r="ADV139" s="1"/>
      <c r="ADW139" s="1"/>
      <c r="ADX139" s="1"/>
      <c r="ADY139" s="1"/>
      <c r="ADZ139" s="1"/>
      <c r="AEA139" s="1"/>
      <c r="AEB139" s="1"/>
      <c r="AEC139" s="1"/>
      <c r="AED139" s="1"/>
      <c r="AEE139" s="1"/>
      <c r="AEF139" s="1"/>
      <c r="AEG139" s="1"/>
      <c r="AEH139" s="1"/>
      <c r="AEI139" s="1"/>
      <c r="AEJ139" s="1"/>
      <c r="AEK139" s="1"/>
      <c r="AEL139" s="1"/>
      <c r="AEM139" s="1"/>
      <c r="AEN139" s="1"/>
      <c r="AEO139" s="1"/>
      <c r="AEP139" s="1"/>
      <c r="AEQ139" s="1"/>
      <c r="AER139" s="1"/>
      <c r="AES139" s="1"/>
      <c r="AET139" s="1"/>
      <c r="AEU139" s="1"/>
      <c r="AEV139" s="1"/>
      <c r="AEW139" s="1"/>
      <c r="AEX139" s="1"/>
      <c r="AEY139" s="1"/>
      <c r="AEZ139" s="1"/>
      <c r="AFA139" s="1"/>
      <c r="AFB139" s="1"/>
      <c r="AFC139" s="1"/>
      <c r="AFD139" s="1"/>
      <c r="AFE139" s="1"/>
      <c r="AFF139" s="1"/>
      <c r="AFG139" s="1"/>
      <c r="AFH139" s="1"/>
      <c r="AFI139" s="1"/>
      <c r="AFJ139" s="1"/>
      <c r="AFK139" s="1"/>
      <c r="AFL139" s="1"/>
      <c r="AFM139" s="1"/>
      <c r="AFN139" s="1"/>
      <c r="AFO139" s="1"/>
      <c r="AFP139" s="1"/>
      <c r="AFQ139" s="1"/>
      <c r="AFR139" s="1"/>
      <c r="AFS139" s="1"/>
      <c r="AFT139" s="1"/>
      <c r="AFU139" s="1"/>
      <c r="AFV139" s="1"/>
      <c r="AFW139" s="1"/>
      <c r="AFX139" s="1"/>
      <c r="AFY139" s="1"/>
      <c r="AFZ139" s="1"/>
      <c r="AGA139" s="1"/>
      <c r="AGB139" s="1"/>
      <c r="AGC139" s="1"/>
      <c r="AGD139" s="1"/>
      <c r="AGE139" s="1"/>
      <c r="AGF139" s="1"/>
      <c r="AGG139" s="1"/>
      <c r="AGH139" s="1"/>
      <c r="AGI139" s="1"/>
      <c r="AGJ139" s="1"/>
      <c r="AGK139" s="1"/>
      <c r="AGL139" s="1"/>
      <c r="AGM139" s="1"/>
      <c r="AGN139" s="1"/>
      <c r="AGO139" s="1"/>
      <c r="AGP139" s="1"/>
      <c r="AGQ139" s="1"/>
      <c r="AGR139" s="1"/>
      <c r="AGS139" s="1"/>
      <c r="AGT139" s="1"/>
      <c r="AGU139" s="1"/>
      <c r="AGV139" s="1"/>
      <c r="AGW139" s="1"/>
      <c r="AGX139" s="1"/>
      <c r="AGY139" s="1"/>
      <c r="AGZ139" s="1"/>
      <c r="AHA139" s="1"/>
      <c r="AHB139" s="1"/>
      <c r="AHC139" s="1"/>
      <c r="AHD139" s="1"/>
      <c r="AHE139" s="1"/>
      <c r="AHF139" s="1"/>
      <c r="AHG139" s="1"/>
      <c r="AHH139" s="1"/>
      <c r="AHI139" s="1"/>
      <c r="AHJ139" s="1"/>
      <c r="AHK139" s="1"/>
      <c r="AHL139" s="1"/>
      <c r="AHM139" s="1"/>
      <c r="AHN139" s="1"/>
      <c r="AHO139" s="1"/>
      <c r="AHP139" s="1"/>
      <c r="AHQ139" s="1"/>
      <c r="AHR139" s="1"/>
      <c r="AHS139" s="1"/>
      <c r="AHT139" s="1"/>
      <c r="AHU139" s="1"/>
      <c r="AHV139" s="1"/>
      <c r="AHW139" s="1"/>
      <c r="AHX139" s="1"/>
      <c r="AHY139" s="1"/>
      <c r="AHZ139" s="1"/>
      <c r="AIA139" s="1"/>
      <c r="AIB139" s="1"/>
      <c r="AIC139" s="1"/>
      <c r="AID139" s="1"/>
      <c r="AIE139" s="1"/>
      <c r="AIF139" s="1"/>
      <c r="AIG139" s="1"/>
      <c r="AIH139" s="1"/>
      <c r="AII139" s="1"/>
      <c r="AIJ139" s="1"/>
      <c r="AIK139" s="1"/>
      <c r="AIL139" s="1"/>
      <c r="AIM139" s="1"/>
      <c r="AIN139" s="1"/>
      <c r="AIO139" s="1"/>
      <c r="AIP139" s="1"/>
      <c r="AIQ139" s="1"/>
      <c r="AIR139" s="1"/>
      <c r="AIS139" s="1"/>
      <c r="AIT139" s="1"/>
      <c r="AIU139" s="1"/>
      <c r="AIV139" s="1"/>
      <c r="AIW139" s="1"/>
      <c r="AIX139" s="1"/>
      <c r="AIY139" s="1"/>
      <c r="AIZ139" s="1"/>
      <c r="AJA139" s="1"/>
      <c r="AJB139" s="1"/>
      <c r="AJC139" s="1"/>
      <c r="AJD139" s="1"/>
      <c r="AJE139" s="1"/>
      <c r="AJF139" s="1"/>
      <c r="AJG139" s="1"/>
      <c r="AJH139" s="1"/>
      <c r="AJI139" s="1"/>
      <c r="AJJ139" s="1"/>
      <c r="AJK139" s="1"/>
      <c r="AJL139" s="1"/>
      <c r="AJM139" s="1"/>
      <c r="AJN139" s="1"/>
      <c r="AJO139" s="1"/>
      <c r="AJP139" s="1"/>
      <c r="AJQ139" s="1"/>
      <c r="AJR139" s="1"/>
      <c r="AJS139" s="1"/>
      <c r="AJT139" s="1"/>
      <c r="AJU139" s="1"/>
      <c r="AJV139" s="1"/>
      <c r="AJW139" s="1"/>
      <c r="AJX139" s="1"/>
      <c r="AJY139" s="1"/>
      <c r="AJZ139" s="1"/>
      <c r="AKA139" s="1"/>
      <c r="AKB139" s="1"/>
      <c r="AKC139" s="1"/>
      <c r="AKD139" s="1"/>
      <c r="AKE139" s="1"/>
      <c r="AKF139" s="1"/>
      <c r="AKG139" s="1"/>
      <c r="AKH139" s="1"/>
      <c r="AKI139" s="1"/>
      <c r="AKJ139" s="1"/>
      <c r="AKK139" s="1"/>
      <c r="AKL139" s="1"/>
      <c r="AKM139" s="1"/>
      <c r="AKN139" s="1"/>
      <c r="AKO139" s="1"/>
      <c r="AKP139" s="1"/>
      <c r="AKQ139" s="1"/>
      <c r="AKR139" s="1"/>
      <c r="AKS139" s="1"/>
      <c r="AKT139" s="1"/>
      <c r="AKU139" s="1"/>
      <c r="AKV139" s="1"/>
      <c r="AKW139" s="1"/>
      <c r="AKX139" s="1"/>
      <c r="AKY139" s="1"/>
      <c r="AKZ139" s="1"/>
      <c r="ALA139" s="1"/>
      <c r="ALB139" s="1"/>
      <c r="ALC139" s="1"/>
      <c r="ALD139" s="1"/>
      <c r="ALE139" s="1"/>
      <c r="ALF139" s="1"/>
      <c r="ALG139" s="1"/>
      <c r="ALH139" s="1"/>
      <c r="ALI139" s="1"/>
      <c r="ALJ139" s="1"/>
      <c r="ALK139" s="1"/>
      <c r="ALL139" s="1"/>
      <c r="ALM139" s="1"/>
      <c r="ALN139" s="1"/>
      <c r="ALO139" s="1"/>
      <c r="ALP139" s="1"/>
      <c r="ALQ139" s="1"/>
      <c r="ALR139" s="1"/>
      <c r="ALS139" s="1"/>
      <c r="ALT139" s="1"/>
      <c r="ALU139" s="1"/>
      <c r="ALV139" s="1"/>
      <c r="ALW139" s="1"/>
      <c r="ALX139" s="1"/>
      <c r="ALY139" s="1"/>
      <c r="ALZ139" s="1"/>
      <c r="AMA139" s="1"/>
      <c r="AMB139" s="1"/>
      <c r="AMC139" s="1"/>
      <c r="AMD139" s="1"/>
      <c r="AME139" s="1"/>
      <c r="AMF139" s="1"/>
      <c r="AMG139" s="1"/>
      <c r="AMH139" s="1"/>
      <c r="AMI139" s="1"/>
      <c r="AMJ139" s="1"/>
    </row>
    <row r="140" customFormat="false" ht="10.5" hidden="false" customHeight="true" outlineLevel="0" collapsed="false">
      <c r="A140" s="164"/>
      <c r="B140" s="164"/>
      <c r="C140" s="164"/>
      <c r="D140" s="164"/>
      <c r="E140" s="164"/>
      <c r="F140" s="164"/>
      <c r="G140" s="164"/>
      <c r="H140" s="164"/>
      <c r="I140" s="164"/>
      <c r="J140" s="23"/>
      <c r="K140" s="23"/>
      <c r="L140" s="23"/>
      <c r="M140" s="187"/>
      <c r="N140" s="187"/>
      <c r="O140" s="187"/>
      <c r="P140" s="188" t="n">
        <f aca="false">J140*M140</f>
        <v>0</v>
      </c>
      <c r="Q140" s="188"/>
      <c r="R140" s="188"/>
      <c r="S140" s="183"/>
      <c r="T140" s="168"/>
      <c r="U140" s="168"/>
      <c r="V140" s="168"/>
      <c r="W140" s="168"/>
      <c r="X140" s="168"/>
      <c r="Y140" s="168"/>
      <c r="Z140" s="168"/>
      <c r="AA140" s="168"/>
      <c r="AB140" s="168"/>
      <c r="AC140" s="168"/>
      <c r="AD140" s="168"/>
      <c r="AE140" s="23"/>
      <c r="AF140" s="23"/>
      <c r="AG140" s="23"/>
      <c r="AH140" s="187"/>
      <c r="AI140" s="187"/>
      <c r="AJ140" s="187"/>
      <c r="AK140" s="187"/>
      <c r="AL140" s="188" t="n">
        <f aca="false">AE140*AH140</f>
        <v>0</v>
      </c>
      <c r="AM140" s="188"/>
      <c r="AN140" s="188"/>
      <c r="AO140" s="188"/>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c r="IY140" s="1"/>
      <c r="IZ140" s="1"/>
      <c r="JA140" s="1"/>
      <c r="JB140" s="1"/>
      <c r="JC140" s="1"/>
      <c r="JD140" s="1"/>
      <c r="JE140" s="1"/>
      <c r="JF140" s="1"/>
      <c r="JG140" s="1"/>
      <c r="JH140" s="1"/>
      <c r="JI140" s="1"/>
      <c r="JJ140" s="1"/>
      <c r="JK140" s="1"/>
      <c r="JL140" s="1"/>
      <c r="JM140" s="1"/>
      <c r="JN140" s="1"/>
      <c r="JO140" s="1"/>
      <c r="JP140" s="1"/>
      <c r="JQ140" s="1"/>
      <c r="JR140" s="1"/>
      <c r="JS140" s="1"/>
      <c r="JT140" s="1"/>
      <c r="JU140" s="1"/>
      <c r="JV140" s="1"/>
      <c r="JW140" s="1"/>
      <c r="JX140" s="1"/>
      <c r="JY140" s="1"/>
      <c r="JZ140" s="1"/>
      <c r="KA140" s="1"/>
      <c r="KB140" s="1"/>
      <c r="KC140" s="1"/>
      <c r="KD140" s="1"/>
      <c r="KE140" s="1"/>
      <c r="KF140" s="1"/>
      <c r="KG140" s="1"/>
      <c r="KH140" s="1"/>
      <c r="KI140" s="1"/>
      <c r="KJ140" s="1"/>
      <c r="KK140" s="1"/>
      <c r="KL140" s="1"/>
      <c r="KM140" s="1"/>
      <c r="KN140" s="1"/>
      <c r="KO140" s="1"/>
      <c r="KP140" s="1"/>
      <c r="KQ140" s="1"/>
      <c r="KR140" s="1"/>
      <c r="KS140" s="1"/>
      <c r="KT140" s="1"/>
      <c r="KU140" s="1"/>
      <c r="KV140" s="1"/>
      <c r="KW140" s="1"/>
      <c r="KX140" s="1"/>
      <c r="KY140" s="1"/>
      <c r="KZ140" s="1"/>
      <c r="LA140" s="1"/>
      <c r="LB140" s="1"/>
      <c r="LC140" s="1"/>
      <c r="LD140" s="1"/>
      <c r="LE140" s="1"/>
      <c r="LF140" s="1"/>
      <c r="LG140" s="1"/>
      <c r="LH140" s="1"/>
      <c r="LI140" s="1"/>
      <c r="LJ140" s="1"/>
      <c r="LK140" s="1"/>
      <c r="LL140" s="1"/>
      <c r="LM140" s="1"/>
      <c r="LN140" s="1"/>
      <c r="LO140" s="1"/>
      <c r="LP140" s="1"/>
      <c r="LQ140" s="1"/>
      <c r="LR140" s="1"/>
      <c r="LS140" s="1"/>
      <c r="LT140" s="1"/>
      <c r="LU140" s="1"/>
      <c r="LV140" s="1"/>
      <c r="LW140" s="1"/>
      <c r="LX140" s="1"/>
      <c r="LY140" s="1"/>
      <c r="LZ140" s="1"/>
      <c r="MA140" s="1"/>
      <c r="MB140" s="1"/>
      <c r="MC140" s="1"/>
      <c r="MD140" s="1"/>
      <c r="ME140" s="1"/>
      <c r="MF140" s="1"/>
      <c r="MG140" s="1"/>
      <c r="MH140" s="1"/>
      <c r="MI140" s="1"/>
      <c r="MJ140" s="1"/>
      <c r="MK140" s="1"/>
      <c r="ML140" s="1"/>
      <c r="MM140" s="1"/>
      <c r="MN140" s="1"/>
      <c r="MO140" s="1"/>
      <c r="MP140" s="1"/>
      <c r="MQ140" s="1"/>
      <c r="MR140" s="1"/>
      <c r="MS140" s="1"/>
      <c r="MT140" s="1"/>
      <c r="MU140" s="1"/>
      <c r="MV140" s="1"/>
      <c r="MW140" s="1"/>
      <c r="MX140" s="1"/>
      <c r="MY140" s="1"/>
      <c r="MZ140" s="1"/>
      <c r="NA140" s="1"/>
      <c r="NB140" s="1"/>
      <c r="NC140" s="1"/>
      <c r="ND140" s="1"/>
      <c r="NE140" s="1"/>
      <c r="NF140" s="1"/>
      <c r="NG140" s="1"/>
      <c r="NH140" s="1"/>
      <c r="NI140" s="1"/>
      <c r="NJ140" s="1"/>
      <c r="NK140" s="1"/>
      <c r="NL140" s="1"/>
      <c r="NM140" s="1"/>
      <c r="NN140" s="1"/>
      <c r="NO140" s="1"/>
      <c r="NP140" s="1"/>
      <c r="NQ140" s="1"/>
      <c r="NR140" s="1"/>
      <c r="NS140" s="1"/>
      <c r="NT140" s="1"/>
      <c r="NU140" s="1"/>
      <c r="NV140" s="1"/>
      <c r="NW140" s="1"/>
      <c r="NX140" s="1"/>
      <c r="NY140" s="1"/>
      <c r="NZ140" s="1"/>
      <c r="OA140" s="1"/>
      <c r="OB140" s="1"/>
      <c r="OC140" s="1"/>
      <c r="OD140" s="1"/>
      <c r="OE140" s="1"/>
      <c r="OF140" s="1"/>
      <c r="OG140" s="1"/>
      <c r="OH140" s="1"/>
      <c r="OI140" s="1"/>
      <c r="OJ140" s="1"/>
      <c r="OK140" s="1"/>
      <c r="OL140" s="1"/>
      <c r="OM140" s="1"/>
      <c r="ON140" s="1"/>
      <c r="OO140" s="1"/>
      <c r="OP140" s="1"/>
      <c r="OQ140" s="1"/>
      <c r="OR140" s="1"/>
      <c r="OS140" s="1"/>
      <c r="OT140" s="1"/>
      <c r="OU140" s="1"/>
      <c r="OV140" s="1"/>
      <c r="OW140" s="1"/>
      <c r="OX140" s="1"/>
      <c r="OY140" s="1"/>
      <c r="OZ140" s="1"/>
      <c r="PA140" s="1"/>
      <c r="PB140" s="1"/>
      <c r="PC140" s="1"/>
      <c r="PD140" s="1"/>
      <c r="PE140" s="1"/>
      <c r="PF140" s="1"/>
      <c r="PG140" s="1"/>
      <c r="PH140" s="1"/>
      <c r="PI140" s="1"/>
      <c r="PJ140" s="1"/>
      <c r="PK140" s="1"/>
      <c r="PL140" s="1"/>
      <c r="PM140" s="1"/>
      <c r="PN140" s="1"/>
      <c r="PO140" s="1"/>
      <c r="PP140" s="1"/>
      <c r="PQ140" s="1"/>
      <c r="PR140" s="1"/>
      <c r="PS140" s="1"/>
      <c r="PT140" s="1"/>
      <c r="PU140" s="1"/>
      <c r="PV140" s="1"/>
      <c r="PW140" s="1"/>
      <c r="PX140" s="1"/>
      <c r="PY140" s="1"/>
      <c r="PZ140" s="1"/>
      <c r="QA140" s="1"/>
      <c r="QB140" s="1"/>
      <c r="QC140" s="1"/>
      <c r="QD140" s="1"/>
      <c r="QE140" s="1"/>
      <c r="QF140" s="1"/>
      <c r="QG140" s="1"/>
      <c r="QH140" s="1"/>
      <c r="QI140" s="1"/>
      <c r="QJ140" s="1"/>
      <c r="QK140" s="1"/>
      <c r="QL140" s="1"/>
      <c r="QM140" s="1"/>
      <c r="QN140" s="1"/>
      <c r="QO140" s="1"/>
      <c r="QP140" s="1"/>
      <c r="QQ140" s="1"/>
      <c r="QR140" s="1"/>
      <c r="QS140" s="1"/>
      <c r="QT140" s="1"/>
      <c r="QU140" s="1"/>
      <c r="QV140" s="1"/>
      <c r="QW140" s="1"/>
      <c r="QX140" s="1"/>
      <c r="QY140" s="1"/>
      <c r="QZ140" s="1"/>
      <c r="RA140" s="1"/>
      <c r="RB140" s="1"/>
      <c r="RC140" s="1"/>
      <c r="RD140" s="1"/>
      <c r="RE140" s="1"/>
      <c r="RF140" s="1"/>
      <c r="RG140" s="1"/>
      <c r="RH140" s="1"/>
      <c r="RI140" s="1"/>
      <c r="RJ140" s="1"/>
      <c r="RK140" s="1"/>
      <c r="RL140" s="1"/>
      <c r="RM140" s="1"/>
      <c r="RN140" s="1"/>
      <c r="RO140" s="1"/>
      <c r="RP140" s="1"/>
      <c r="RQ140" s="1"/>
      <c r="RR140" s="1"/>
      <c r="RS140" s="1"/>
      <c r="RT140" s="1"/>
      <c r="RU140" s="1"/>
      <c r="RV140" s="1"/>
      <c r="RW140" s="1"/>
      <c r="RX140" s="1"/>
      <c r="RY140" s="1"/>
      <c r="RZ140" s="1"/>
      <c r="SA140" s="1"/>
      <c r="SB140" s="1"/>
      <c r="SC140" s="1"/>
      <c r="SD140" s="1"/>
      <c r="SE140" s="1"/>
      <c r="SF140" s="1"/>
      <c r="SG140" s="1"/>
      <c r="SH140" s="1"/>
      <c r="SI140" s="1"/>
      <c r="SJ140" s="1"/>
      <c r="SK140" s="1"/>
      <c r="SL140" s="1"/>
      <c r="SM140" s="1"/>
      <c r="SN140" s="1"/>
      <c r="SO140" s="1"/>
      <c r="SP140" s="1"/>
      <c r="SQ140" s="1"/>
      <c r="SR140" s="1"/>
      <c r="SS140" s="1"/>
      <c r="ST140" s="1"/>
      <c r="SU140" s="1"/>
      <c r="SV140" s="1"/>
      <c r="SW140" s="1"/>
      <c r="SX140" s="1"/>
      <c r="SY140" s="1"/>
      <c r="SZ140" s="1"/>
      <c r="TA140" s="1"/>
      <c r="TB140" s="1"/>
      <c r="TC140" s="1"/>
      <c r="TD140" s="1"/>
      <c r="TE140" s="1"/>
      <c r="TF140" s="1"/>
      <c r="TG140" s="1"/>
      <c r="TH140" s="1"/>
      <c r="TI140" s="1"/>
      <c r="TJ140" s="1"/>
      <c r="TK140" s="1"/>
      <c r="TL140" s="1"/>
      <c r="TM140" s="1"/>
      <c r="TN140" s="1"/>
      <c r="TO140" s="1"/>
      <c r="TP140" s="1"/>
      <c r="TQ140" s="1"/>
      <c r="TR140" s="1"/>
      <c r="TS140" s="1"/>
      <c r="TT140" s="1"/>
      <c r="TU140" s="1"/>
      <c r="TV140" s="1"/>
      <c r="TW140" s="1"/>
      <c r="TX140" s="1"/>
      <c r="TY140" s="1"/>
      <c r="TZ140" s="1"/>
      <c r="UA140" s="1"/>
      <c r="UB140" s="1"/>
      <c r="UC140" s="1"/>
      <c r="UD140" s="1"/>
      <c r="UE140" s="1"/>
      <c r="UF140" s="1"/>
      <c r="UG140" s="1"/>
      <c r="UH140" s="1"/>
      <c r="UI140" s="1"/>
      <c r="UJ140" s="1"/>
      <c r="UK140" s="1"/>
      <c r="UL140" s="1"/>
      <c r="UM140" s="1"/>
      <c r="UN140" s="1"/>
      <c r="UO140" s="1"/>
      <c r="UP140" s="1"/>
      <c r="UQ140" s="1"/>
      <c r="UR140" s="1"/>
      <c r="US140" s="1"/>
      <c r="UT140" s="1"/>
      <c r="UU140" s="1"/>
      <c r="UV140" s="1"/>
      <c r="UW140" s="1"/>
      <c r="UX140" s="1"/>
      <c r="UY140" s="1"/>
      <c r="UZ140" s="1"/>
      <c r="VA140" s="1"/>
      <c r="VB140" s="1"/>
      <c r="VC140" s="1"/>
      <c r="VD140" s="1"/>
      <c r="VE140" s="1"/>
      <c r="VF140" s="1"/>
      <c r="VG140" s="1"/>
      <c r="VH140" s="1"/>
      <c r="VI140" s="1"/>
      <c r="VJ140" s="1"/>
      <c r="VK140" s="1"/>
      <c r="VL140" s="1"/>
      <c r="VM140" s="1"/>
      <c r="VN140" s="1"/>
      <c r="VO140" s="1"/>
      <c r="VP140" s="1"/>
      <c r="VQ140" s="1"/>
      <c r="VR140" s="1"/>
      <c r="VS140" s="1"/>
      <c r="VT140" s="1"/>
      <c r="VU140" s="1"/>
      <c r="VV140" s="1"/>
      <c r="VW140" s="1"/>
      <c r="VX140" s="1"/>
      <c r="VY140" s="1"/>
      <c r="VZ140" s="1"/>
      <c r="WA140" s="1"/>
      <c r="WB140" s="1"/>
      <c r="WC140" s="1"/>
      <c r="WD140" s="1"/>
      <c r="WE140" s="1"/>
      <c r="WF140" s="1"/>
      <c r="WG140" s="1"/>
      <c r="WH140" s="1"/>
      <c r="WI140" s="1"/>
      <c r="WJ140" s="1"/>
      <c r="WK140" s="1"/>
      <c r="WL140" s="1"/>
      <c r="WM140" s="1"/>
      <c r="WN140" s="1"/>
      <c r="WO140" s="1"/>
      <c r="WP140" s="1"/>
      <c r="WQ140" s="1"/>
      <c r="WR140" s="1"/>
      <c r="WS140" s="1"/>
      <c r="WT140" s="1"/>
      <c r="WU140" s="1"/>
      <c r="WV140" s="1"/>
      <c r="WW140" s="1"/>
      <c r="WX140" s="1"/>
      <c r="WY140" s="1"/>
      <c r="WZ140" s="1"/>
      <c r="XA140" s="1"/>
      <c r="XB140" s="1"/>
      <c r="XC140" s="1"/>
      <c r="XD140" s="1"/>
      <c r="XE140" s="1"/>
      <c r="XF140" s="1"/>
      <c r="XG140" s="1"/>
      <c r="XH140" s="1"/>
      <c r="XI140" s="1"/>
      <c r="XJ140" s="1"/>
      <c r="XK140" s="1"/>
      <c r="XL140" s="1"/>
      <c r="XM140" s="1"/>
      <c r="XN140" s="1"/>
      <c r="XO140" s="1"/>
      <c r="XP140" s="1"/>
      <c r="XQ140" s="1"/>
      <c r="XR140" s="1"/>
      <c r="XS140" s="1"/>
      <c r="XT140" s="1"/>
      <c r="XU140" s="1"/>
      <c r="XV140" s="1"/>
      <c r="XW140" s="1"/>
      <c r="XX140" s="1"/>
      <c r="XY140" s="1"/>
      <c r="XZ140" s="1"/>
      <c r="YA140" s="1"/>
      <c r="YB140" s="1"/>
      <c r="YC140" s="1"/>
      <c r="YD140" s="1"/>
      <c r="YE140" s="1"/>
      <c r="YF140" s="1"/>
      <c r="YG140" s="1"/>
      <c r="YH140" s="1"/>
      <c r="YI140" s="1"/>
      <c r="YJ140" s="1"/>
      <c r="YK140" s="1"/>
      <c r="YL140" s="1"/>
      <c r="YM140" s="1"/>
      <c r="YN140" s="1"/>
      <c r="YO140" s="1"/>
      <c r="YP140" s="1"/>
      <c r="YQ140" s="1"/>
      <c r="YR140" s="1"/>
      <c r="YS140" s="1"/>
      <c r="YT140" s="1"/>
      <c r="YU140" s="1"/>
      <c r="YV140" s="1"/>
      <c r="YW140" s="1"/>
      <c r="YX140" s="1"/>
      <c r="YY140" s="1"/>
      <c r="YZ140" s="1"/>
      <c r="ZA140" s="1"/>
      <c r="ZB140" s="1"/>
      <c r="ZC140" s="1"/>
      <c r="ZD140" s="1"/>
      <c r="ZE140" s="1"/>
      <c r="ZF140" s="1"/>
      <c r="ZG140" s="1"/>
      <c r="ZH140" s="1"/>
      <c r="ZI140" s="1"/>
      <c r="ZJ140" s="1"/>
      <c r="ZK140" s="1"/>
      <c r="ZL140" s="1"/>
      <c r="ZM140" s="1"/>
      <c r="ZN140" s="1"/>
      <c r="ZO140" s="1"/>
      <c r="ZP140" s="1"/>
      <c r="ZQ140" s="1"/>
      <c r="ZR140" s="1"/>
      <c r="ZS140" s="1"/>
      <c r="ZT140" s="1"/>
      <c r="ZU140" s="1"/>
      <c r="ZV140" s="1"/>
      <c r="ZW140" s="1"/>
      <c r="ZX140" s="1"/>
      <c r="ZY140" s="1"/>
      <c r="ZZ140" s="1"/>
      <c r="AAA140" s="1"/>
      <c r="AAB140" s="1"/>
      <c r="AAC140" s="1"/>
      <c r="AAD140" s="1"/>
      <c r="AAE140" s="1"/>
      <c r="AAF140" s="1"/>
      <c r="AAG140" s="1"/>
      <c r="AAH140" s="1"/>
      <c r="AAI140" s="1"/>
      <c r="AAJ140" s="1"/>
      <c r="AAK140" s="1"/>
      <c r="AAL140" s="1"/>
      <c r="AAM140" s="1"/>
      <c r="AAN140" s="1"/>
      <c r="AAO140" s="1"/>
      <c r="AAP140" s="1"/>
      <c r="AAQ140" s="1"/>
      <c r="AAR140" s="1"/>
      <c r="AAS140" s="1"/>
      <c r="AAT140" s="1"/>
      <c r="AAU140" s="1"/>
      <c r="AAV140" s="1"/>
      <c r="AAW140" s="1"/>
      <c r="AAX140" s="1"/>
      <c r="AAY140" s="1"/>
      <c r="AAZ140" s="1"/>
      <c r="ABA140" s="1"/>
      <c r="ABB140" s="1"/>
      <c r="ABC140" s="1"/>
      <c r="ABD140" s="1"/>
      <c r="ABE140" s="1"/>
      <c r="ABF140" s="1"/>
      <c r="ABG140" s="1"/>
      <c r="ABH140" s="1"/>
      <c r="ABI140" s="1"/>
      <c r="ABJ140" s="1"/>
      <c r="ABK140" s="1"/>
      <c r="ABL140" s="1"/>
      <c r="ABM140" s="1"/>
      <c r="ABN140" s="1"/>
      <c r="ABO140" s="1"/>
      <c r="ABP140" s="1"/>
      <c r="ABQ140" s="1"/>
      <c r="ABR140" s="1"/>
      <c r="ABS140" s="1"/>
      <c r="ABT140" s="1"/>
      <c r="ABU140" s="1"/>
      <c r="ABV140" s="1"/>
      <c r="ABW140" s="1"/>
      <c r="ABX140" s="1"/>
      <c r="ABY140" s="1"/>
      <c r="ABZ140" s="1"/>
      <c r="ACA140" s="1"/>
      <c r="ACB140" s="1"/>
      <c r="ACC140" s="1"/>
      <c r="ACD140" s="1"/>
      <c r="ACE140" s="1"/>
      <c r="ACF140" s="1"/>
      <c r="ACG140" s="1"/>
      <c r="ACH140" s="1"/>
      <c r="ACI140" s="1"/>
      <c r="ACJ140" s="1"/>
      <c r="ACK140" s="1"/>
      <c r="ACL140" s="1"/>
      <c r="ACM140" s="1"/>
      <c r="ACN140" s="1"/>
      <c r="ACO140" s="1"/>
      <c r="ACP140" s="1"/>
      <c r="ACQ140" s="1"/>
      <c r="ACR140" s="1"/>
      <c r="ACS140" s="1"/>
      <c r="ACT140" s="1"/>
      <c r="ACU140" s="1"/>
      <c r="ACV140" s="1"/>
      <c r="ACW140" s="1"/>
      <c r="ACX140" s="1"/>
      <c r="ACY140" s="1"/>
      <c r="ACZ140" s="1"/>
      <c r="ADA140" s="1"/>
      <c r="ADB140" s="1"/>
      <c r="ADC140" s="1"/>
      <c r="ADD140" s="1"/>
      <c r="ADE140" s="1"/>
      <c r="ADF140" s="1"/>
      <c r="ADG140" s="1"/>
      <c r="ADH140" s="1"/>
      <c r="ADI140" s="1"/>
      <c r="ADJ140" s="1"/>
      <c r="ADK140" s="1"/>
      <c r="ADL140" s="1"/>
      <c r="ADM140" s="1"/>
      <c r="ADN140" s="1"/>
      <c r="ADO140" s="1"/>
      <c r="ADP140" s="1"/>
      <c r="ADQ140" s="1"/>
      <c r="ADR140" s="1"/>
      <c r="ADS140" s="1"/>
      <c r="ADT140" s="1"/>
      <c r="ADU140" s="1"/>
      <c r="ADV140" s="1"/>
      <c r="ADW140" s="1"/>
      <c r="ADX140" s="1"/>
      <c r="ADY140" s="1"/>
      <c r="ADZ140" s="1"/>
      <c r="AEA140" s="1"/>
      <c r="AEB140" s="1"/>
      <c r="AEC140" s="1"/>
      <c r="AED140" s="1"/>
      <c r="AEE140" s="1"/>
      <c r="AEF140" s="1"/>
      <c r="AEG140" s="1"/>
      <c r="AEH140" s="1"/>
      <c r="AEI140" s="1"/>
      <c r="AEJ140" s="1"/>
      <c r="AEK140" s="1"/>
      <c r="AEL140" s="1"/>
      <c r="AEM140" s="1"/>
      <c r="AEN140" s="1"/>
      <c r="AEO140" s="1"/>
      <c r="AEP140" s="1"/>
      <c r="AEQ140" s="1"/>
      <c r="AER140" s="1"/>
      <c r="AES140" s="1"/>
      <c r="AET140" s="1"/>
      <c r="AEU140" s="1"/>
      <c r="AEV140" s="1"/>
      <c r="AEW140" s="1"/>
      <c r="AEX140" s="1"/>
      <c r="AEY140" s="1"/>
      <c r="AEZ140" s="1"/>
      <c r="AFA140" s="1"/>
      <c r="AFB140" s="1"/>
      <c r="AFC140" s="1"/>
      <c r="AFD140" s="1"/>
      <c r="AFE140" s="1"/>
      <c r="AFF140" s="1"/>
      <c r="AFG140" s="1"/>
      <c r="AFH140" s="1"/>
      <c r="AFI140" s="1"/>
      <c r="AFJ140" s="1"/>
      <c r="AFK140" s="1"/>
      <c r="AFL140" s="1"/>
      <c r="AFM140" s="1"/>
      <c r="AFN140" s="1"/>
      <c r="AFO140" s="1"/>
      <c r="AFP140" s="1"/>
      <c r="AFQ140" s="1"/>
      <c r="AFR140" s="1"/>
      <c r="AFS140" s="1"/>
      <c r="AFT140" s="1"/>
      <c r="AFU140" s="1"/>
      <c r="AFV140" s="1"/>
      <c r="AFW140" s="1"/>
      <c r="AFX140" s="1"/>
      <c r="AFY140" s="1"/>
      <c r="AFZ140" s="1"/>
      <c r="AGA140" s="1"/>
      <c r="AGB140" s="1"/>
      <c r="AGC140" s="1"/>
      <c r="AGD140" s="1"/>
      <c r="AGE140" s="1"/>
      <c r="AGF140" s="1"/>
      <c r="AGG140" s="1"/>
      <c r="AGH140" s="1"/>
      <c r="AGI140" s="1"/>
      <c r="AGJ140" s="1"/>
      <c r="AGK140" s="1"/>
      <c r="AGL140" s="1"/>
      <c r="AGM140" s="1"/>
      <c r="AGN140" s="1"/>
      <c r="AGO140" s="1"/>
      <c r="AGP140" s="1"/>
      <c r="AGQ140" s="1"/>
      <c r="AGR140" s="1"/>
      <c r="AGS140" s="1"/>
      <c r="AGT140" s="1"/>
      <c r="AGU140" s="1"/>
      <c r="AGV140" s="1"/>
      <c r="AGW140" s="1"/>
      <c r="AGX140" s="1"/>
      <c r="AGY140" s="1"/>
      <c r="AGZ140" s="1"/>
      <c r="AHA140" s="1"/>
      <c r="AHB140" s="1"/>
      <c r="AHC140" s="1"/>
      <c r="AHD140" s="1"/>
      <c r="AHE140" s="1"/>
      <c r="AHF140" s="1"/>
      <c r="AHG140" s="1"/>
      <c r="AHH140" s="1"/>
      <c r="AHI140" s="1"/>
      <c r="AHJ140" s="1"/>
      <c r="AHK140" s="1"/>
      <c r="AHL140" s="1"/>
      <c r="AHM140" s="1"/>
      <c r="AHN140" s="1"/>
      <c r="AHO140" s="1"/>
      <c r="AHP140" s="1"/>
      <c r="AHQ140" s="1"/>
      <c r="AHR140" s="1"/>
      <c r="AHS140" s="1"/>
      <c r="AHT140" s="1"/>
      <c r="AHU140" s="1"/>
      <c r="AHV140" s="1"/>
      <c r="AHW140" s="1"/>
      <c r="AHX140" s="1"/>
      <c r="AHY140" s="1"/>
      <c r="AHZ140" s="1"/>
      <c r="AIA140" s="1"/>
      <c r="AIB140" s="1"/>
      <c r="AIC140" s="1"/>
      <c r="AID140" s="1"/>
      <c r="AIE140" s="1"/>
      <c r="AIF140" s="1"/>
      <c r="AIG140" s="1"/>
      <c r="AIH140" s="1"/>
      <c r="AII140" s="1"/>
      <c r="AIJ140" s="1"/>
      <c r="AIK140" s="1"/>
      <c r="AIL140" s="1"/>
      <c r="AIM140" s="1"/>
      <c r="AIN140" s="1"/>
      <c r="AIO140" s="1"/>
      <c r="AIP140" s="1"/>
      <c r="AIQ140" s="1"/>
      <c r="AIR140" s="1"/>
      <c r="AIS140" s="1"/>
      <c r="AIT140" s="1"/>
      <c r="AIU140" s="1"/>
      <c r="AIV140" s="1"/>
      <c r="AIW140" s="1"/>
      <c r="AIX140" s="1"/>
      <c r="AIY140" s="1"/>
      <c r="AIZ140" s="1"/>
      <c r="AJA140" s="1"/>
      <c r="AJB140" s="1"/>
      <c r="AJC140" s="1"/>
      <c r="AJD140" s="1"/>
      <c r="AJE140" s="1"/>
      <c r="AJF140" s="1"/>
      <c r="AJG140" s="1"/>
      <c r="AJH140" s="1"/>
      <c r="AJI140" s="1"/>
      <c r="AJJ140" s="1"/>
      <c r="AJK140" s="1"/>
      <c r="AJL140" s="1"/>
      <c r="AJM140" s="1"/>
      <c r="AJN140" s="1"/>
      <c r="AJO140" s="1"/>
      <c r="AJP140" s="1"/>
      <c r="AJQ140" s="1"/>
      <c r="AJR140" s="1"/>
      <c r="AJS140" s="1"/>
      <c r="AJT140" s="1"/>
      <c r="AJU140" s="1"/>
      <c r="AJV140" s="1"/>
      <c r="AJW140" s="1"/>
      <c r="AJX140" s="1"/>
      <c r="AJY140" s="1"/>
      <c r="AJZ140" s="1"/>
      <c r="AKA140" s="1"/>
      <c r="AKB140" s="1"/>
      <c r="AKC140" s="1"/>
      <c r="AKD140" s="1"/>
      <c r="AKE140" s="1"/>
      <c r="AKF140" s="1"/>
      <c r="AKG140" s="1"/>
      <c r="AKH140" s="1"/>
      <c r="AKI140" s="1"/>
      <c r="AKJ140" s="1"/>
      <c r="AKK140" s="1"/>
      <c r="AKL140" s="1"/>
      <c r="AKM140" s="1"/>
      <c r="AKN140" s="1"/>
      <c r="AKO140" s="1"/>
      <c r="AKP140" s="1"/>
      <c r="AKQ140" s="1"/>
      <c r="AKR140" s="1"/>
      <c r="AKS140" s="1"/>
      <c r="AKT140" s="1"/>
      <c r="AKU140" s="1"/>
      <c r="AKV140" s="1"/>
      <c r="AKW140" s="1"/>
      <c r="AKX140" s="1"/>
      <c r="AKY140" s="1"/>
      <c r="AKZ140" s="1"/>
      <c r="ALA140" s="1"/>
      <c r="ALB140" s="1"/>
      <c r="ALC140" s="1"/>
      <c r="ALD140" s="1"/>
      <c r="ALE140" s="1"/>
      <c r="ALF140" s="1"/>
      <c r="ALG140" s="1"/>
      <c r="ALH140" s="1"/>
      <c r="ALI140" s="1"/>
      <c r="ALJ140" s="1"/>
      <c r="ALK140" s="1"/>
      <c r="ALL140" s="1"/>
      <c r="ALM140" s="1"/>
      <c r="ALN140" s="1"/>
      <c r="ALO140" s="1"/>
      <c r="ALP140" s="1"/>
      <c r="ALQ140" s="1"/>
      <c r="ALR140" s="1"/>
      <c r="ALS140" s="1"/>
      <c r="ALT140" s="1"/>
      <c r="ALU140" s="1"/>
      <c r="ALV140" s="1"/>
      <c r="ALW140" s="1"/>
      <c r="ALX140" s="1"/>
      <c r="ALY140" s="1"/>
      <c r="ALZ140" s="1"/>
      <c r="AMA140" s="1"/>
      <c r="AMB140" s="1"/>
      <c r="AMC140" s="1"/>
      <c r="AMD140" s="1"/>
      <c r="AME140" s="1"/>
      <c r="AMF140" s="1"/>
      <c r="AMG140" s="1"/>
      <c r="AMH140" s="1"/>
      <c r="AMI140" s="1"/>
      <c r="AMJ140" s="1"/>
    </row>
    <row r="141" customFormat="false" ht="10.5" hidden="false" customHeight="true" outlineLevel="0" collapsed="false">
      <c r="A141" s="164"/>
      <c r="B141" s="164"/>
      <c r="C141" s="164"/>
      <c r="D141" s="164"/>
      <c r="E141" s="164"/>
      <c r="F141" s="164"/>
      <c r="G141" s="164"/>
      <c r="H141" s="164"/>
      <c r="I141" s="164"/>
      <c r="J141" s="23"/>
      <c r="K141" s="23"/>
      <c r="L141" s="23"/>
      <c r="M141" s="187"/>
      <c r="N141" s="187"/>
      <c r="O141" s="187"/>
      <c r="P141" s="189" t="n">
        <f aca="false">J141*M141</f>
        <v>0</v>
      </c>
      <c r="Q141" s="189"/>
      <c r="R141" s="189"/>
      <c r="S141" s="183"/>
      <c r="T141" s="168"/>
      <c r="U141" s="168"/>
      <c r="V141" s="168"/>
      <c r="W141" s="168"/>
      <c r="X141" s="168"/>
      <c r="Y141" s="168"/>
      <c r="Z141" s="168"/>
      <c r="AA141" s="168"/>
      <c r="AB141" s="168"/>
      <c r="AC141" s="168"/>
      <c r="AD141" s="168"/>
      <c r="AE141" s="23"/>
      <c r="AF141" s="23"/>
      <c r="AG141" s="23"/>
      <c r="AH141" s="187"/>
      <c r="AI141" s="187"/>
      <c r="AJ141" s="187"/>
      <c r="AK141" s="187"/>
      <c r="AL141" s="188" t="n">
        <f aca="false">AE141*AH141</f>
        <v>0</v>
      </c>
      <c r="AM141" s="188"/>
      <c r="AN141" s="188"/>
      <c r="AO141" s="188"/>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c r="IY141" s="1"/>
      <c r="IZ141" s="1"/>
      <c r="JA141" s="1"/>
      <c r="JB141" s="1"/>
      <c r="JC141" s="1"/>
      <c r="JD141" s="1"/>
      <c r="JE141" s="1"/>
      <c r="JF141" s="1"/>
      <c r="JG141" s="1"/>
      <c r="JH141" s="1"/>
      <c r="JI141" s="1"/>
      <c r="JJ141" s="1"/>
      <c r="JK141" s="1"/>
      <c r="JL141" s="1"/>
      <c r="JM141" s="1"/>
      <c r="JN141" s="1"/>
      <c r="JO141" s="1"/>
      <c r="JP141" s="1"/>
      <c r="JQ141" s="1"/>
      <c r="JR141" s="1"/>
      <c r="JS141" s="1"/>
      <c r="JT141" s="1"/>
      <c r="JU141" s="1"/>
      <c r="JV141" s="1"/>
      <c r="JW141" s="1"/>
      <c r="JX141" s="1"/>
      <c r="JY141" s="1"/>
      <c r="JZ141" s="1"/>
      <c r="KA141" s="1"/>
      <c r="KB141" s="1"/>
      <c r="KC141" s="1"/>
      <c r="KD141" s="1"/>
      <c r="KE141" s="1"/>
      <c r="KF141" s="1"/>
      <c r="KG141" s="1"/>
      <c r="KH141" s="1"/>
      <c r="KI141" s="1"/>
      <c r="KJ141" s="1"/>
      <c r="KK141" s="1"/>
      <c r="KL141" s="1"/>
      <c r="KM141" s="1"/>
      <c r="KN141" s="1"/>
      <c r="KO141" s="1"/>
      <c r="KP141" s="1"/>
      <c r="KQ141" s="1"/>
      <c r="KR141" s="1"/>
      <c r="KS141" s="1"/>
      <c r="KT141" s="1"/>
      <c r="KU141" s="1"/>
      <c r="KV141" s="1"/>
      <c r="KW141" s="1"/>
      <c r="KX141" s="1"/>
      <c r="KY141" s="1"/>
      <c r="KZ141" s="1"/>
      <c r="LA141" s="1"/>
      <c r="LB141" s="1"/>
      <c r="LC141" s="1"/>
      <c r="LD141" s="1"/>
      <c r="LE141" s="1"/>
      <c r="LF141" s="1"/>
      <c r="LG141" s="1"/>
      <c r="LH141" s="1"/>
      <c r="LI141" s="1"/>
      <c r="LJ141" s="1"/>
      <c r="LK141" s="1"/>
      <c r="LL141" s="1"/>
      <c r="LM141" s="1"/>
      <c r="LN141" s="1"/>
      <c r="LO141" s="1"/>
      <c r="LP141" s="1"/>
      <c r="LQ141" s="1"/>
      <c r="LR141" s="1"/>
      <c r="LS141" s="1"/>
      <c r="LT141" s="1"/>
      <c r="LU141" s="1"/>
      <c r="LV141" s="1"/>
      <c r="LW141" s="1"/>
      <c r="LX141" s="1"/>
      <c r="LY141" s="1"/>
      <c r="LZ141" s="1"/>
      <c r="MA141" s="1"/>
      <c r="MB141" s="1"/>
      <c r="MC141" s="1"/>
      <c r="MD141" s="1"/>
      <c r="ME141" s="1"/>
      <c r="MF141" s="1"/>
      <c r="MG141" s="1"/>
      <c r="MH141" s="1"/>
      <c r="MI141" s="1"/>
      <c r="MJ141" s="1"/>
      <c r="MK141" s="1"/>
      <c r="ML141" s="1"/>
      <c r="MM141" s="1"/>
      <c r="MN141" s="1"/>
      <c r="MO141" s="1"/>
      <c r="MP141" s="1"/>
      <c r="MQ141" s="1"/>
      <c r="MR141" s="1"/>
      <c r="MS141" s="1"/>
      <c r="MT141" s="1"/>
      <c r="MU141" s="1"/>
      <c r="MV141" s="1"/>
      <c r="MW141" s="1"/>
      <c r="MX141" s="1"/>
      <c r="MY141" s="1"/>
      <c r="MZ141" s="1"/>
      <c r="NA141" s="1"/>
      <c r="NB141" s="1"/>
      <c r="NC141" s="1"/>
      <c r="ND141" s="1"/>
      <c r="NE141" s="1"/>
      <c r="NF141" s="1"/>
      <c r="NG141" s="1"/>
      <c r="NH141" s="1"/>
      <c r="NI141" s="1"/>
      <c r="NJ141" s="1"/>
      <c r="NK141" s="1"/>
      <c r="NL141" s="1"/>
      <c r="NM141" s="1"/>
      <c r="NN141" s="1"/>
      <c r="NO141" s="1"/>
      <c r="NP141" s="1"/>
      <c r="NQ141" s="1"/>
      <c r="NR141" s="1"/>
      <c r="NS141" s="1"/>
      <c r="NT141" s="1"/>
      <c r="NU141" s="1"/>
      <c r="NV141" s="1"/>
      <c r="NW141" s="1"/>
      <c r="NX141" s="1"/>
      <c r="NY141" s="1"/>
      <c r="NZ141" s="1"/>
      <c r="OA141" s="1"/>
      <c r="OB141" s="1"/>
      <c r="OC141" s="1"/>
      <c r="OD141" s="1"/>
      <c r="OE141" s="1"/>
      <c r="OF141" s="1"/>
      <c r="OG141" s="1"/>
      <c r="OH141" s="1"/>
      <c r="OI141" s="1"/>
      <c r="OJ141" s="1"/>
      <c r="OK141" s="1"/>
      <c r="OL141" s="1"/>
      <c r="OM141" s="1"/>
      <c r="ON141" s="1"/>
      <c r="OO141" s="1"/>
      <c r="OP141" s="1"/>
      <c r="OQ141" s="1"/>
      <c r="OR141" s="1"/>
      <c r="OS141" s="1"/>
      <c r="OT141" s="1"/>
      <c r="OU141" s="1"/>
      <c r="OV141" s="1"/>
      <c r="OW141" s="1"/>
      <c r="OX141" s="1"/>
      <c r="OY141" s="1"/>
      <c r="OZ141" s="1"/>
      <c r="PA141" s="1"/>
      <c r="PB141" s="1"/>
      <c r="PC141" s="1"/>
      <c r="PD141" s="1"/>
      <c r="PE141" s="1"/>
      <c r="PF141" s="1"/>
      <c r="PG141" s="1"/>
      <c r="PH141" s="1"/>
      <c r="PI141" s="1"/>
      <c r="PJ141" s="1"/>
      <c r="PK141" s="1"/>
      <c r="PL141" s="1"/>
      <c r="PM141" s="1"/>
      <c r="PN141" s="1"/>
      <c r="PO141" s="1"/>
      <c r="PP141" s="1"/>
      <c r="PQ141" s="1"/>
      <c r="PR141" s="1"/>
      <c r="PS141" s="1"/>
      <c r="PT141" s="1"/>
      <c r="PU141" s="1"/>
      <c r="PV141" s="1"/>
      <c r="PW141" s="1"/>
      <c r="PX141" s="1"/>
      <c r="PY141" s="1"/>
      <c r="PZ141" s="1"/>
      <c r="QA141" s="1"/>
      <c r="QB141" s="1"/>
      <c r="QC141" s="1"/>
      <c r="QD141" s="1"/>
      <c r="QE141" s="1"/>
      <c r="QF141" s="1"/>
      <c r="QG141" s="1"/>
      <c r="QH141" s="1"/>
      <c r="QI141" s="1"/>
      <c r="QJ141" s="1"/>
      <c r="QK141" s="1"/>
      <c r="QL141" s="1"/>
      <c r="QM141" s="1"/>
      <c r="QN141" s="1"/>
      <c r="QO141" s="1"/>
      <c r="QP141" s="1"/>
      <c r="QQ141" s="1"/>
      <c r="QR141" s="1"/>
      <c r="QS141" s="1"/>
      <c r="QT141" s="1"/>
      <c r="QU141" s="1"/>
      <c r="QV141" s="1"/>
      <c r="QW141" s="1"/>
      <c r="QX141" s="1"/>
      <c r="QY141" s="1"/>
      <c r="QZ141" s="1"/>
      <c r="RA141" s="1"/>
      <c r="RB141" s="1"/>
      <c r="RC141" s="1"/>
      <c r="RD141" s="1"/>
      <c r="RE141" s="1"/>
      <c r="RF141" s="1"/>
      <c r="RG141" s="1"/>
      <c r="RH141" s="1"/>
      <c r="RI141" s="1"/>
      <c r="RJ141" s="1"/>
      <c r="RK141" s="1"/>
      <c r="RL141" s="1"/>
      <c r="RM141" s="1"/>
      <c r="RN141" s="1"/>
      <c r="RO141" s="1"/>
      <c r="RP141" s="1"/>
      <c r="RQ141" s="1"/>
      <c r="RR141" s="1"/>
      <c r="RS141" s="1"/>
      <c r="RT141" s="1"/>
      <c r="RU141" s="1"/>
      <c r="RV141" s="1"/>
      <c r="RW141" s="1"/>
      <c r="RX141" s="1"/>
      <c r="RY141" s="1"/>
      <c r="RZ141" s="1"/>
      <c r="SA141" s="1"/>
      <c r="SB141" s="1"/>
      <c r="SC141" s="1"/>
      <c r="SD141" s="1"/>
      <c r="SE141" s="1"/>
      <c r="SF141" s="1"/>
      <c r="SG141" s="1"/>
      <c r="SH141" s="1"/>
      <c r="SI141" s="1"/>
      <c r="SJ141" s="1"/>
      <c r="SK141" s="1"/>
      <c r="SL141" s="1"/>
      <c r="SM141" s="1"/>
      <c r="SN141" s="1"/>
      <c r="SO141" s="1"/>
      <c r="SP141" s="1"/>
      <c r="SQ141" s="1"/>
      <c r="SR141" s="1"/>
      <c r="SS141" s="1"/>
      <c r="ST141" s="1"/>
      <c r="SU141" s="1"/>
      <c r="SV141" s="1"/>
      <c r="SW141" s="1"/>
      <c r="SX141" s="1"/>
      <c r="SY141" s="1"/>
      <c r="SZ141" s="1"/>
      <c r="TA141" s="1"/>
      <c r="TB141" s="1"/>
      <c r="TC141" s="1"/>
      <c r="TD141" s="1"/>
      <c r="TE141" s="1"/>
      <c r="TF141" s="1"/>
      <c r="TG141" s="1"/>
      <c r="TH141" s="1"/>
      <c r="TI141" s="1"/>
      <c r="TJ141" s="1"/>
      <c r="TK141" s="1"/>
      <c r="TL141" s="1"/>
      <c r="TM141" s="1"/>
      <c r="TN141" s="1"/>
      <c r="TO141" s="1"/>
      <c r="TP141" s="1"/>
      <c r="TQ141" s="1"/>
      <c r="TR141" s="1"/>
      <c r="TS141" s="1"/>
      <c r="TT141" s="1"/>
      <c r="TU141" s="1"/>
      <c r="TV141" s="1"/>
      <c r="TW141" s="1"/>
      <c r="TX141" s="1"/>
      <c r="TY141" s="1"/>
      <c r="TZ141" s="1"/>
      <c r="UA141" s="1"/>
      <c r="UB141" s="1"/>
      <c r="UC141" s="1"/>
      <c r="UD141" s="1"/>
      <c r="UE141" s="1"/>
      <c r="UF141" s="1"/>
      <c r="UG141" s="1"/>
      <c r="UH141" s="1"/>
      <c r="UI141" s="1"/>
      <c r="UJ141" s="1"/>
      <c r="UK141" s="1"/>
      <c r="UL141" s="1"/>
      <c r="UM141" s="1"/>
      <c r="UN141" s="1"/>
      <c r="UO141" s="1"/>
      <c r="UP141" s="1"/>
      <c r="UQ141" s="1"/>
      <c r="UR141" s="1"/>
      <c r="US141" s="1"/>
      <c r="UT141" s="1"/>
      <c r="UU141" s="1"/>
      <c r="UV141" s="1"/>
      <c r="UW141" s="1"/>
      <c r="UX141" s="1"/>
      <c r="UY141" s="1"/>
      <c r="UZ141" s="1"/>
      <c r="VA141" s="1"/>
      <c r="VB141" s="1"/>
      <c r="VC141" s="1"/>
      <c r="VD141" s="1"/>
      <c r="VE141" s="1"/>
      <c r="VF141" s="1"/>
      <c r="VG141" s="1"/>
      <c r="VH141" s="1"/>
      <c r="VI141" s="1"/>
      <c r="VJ141" s="1"/>
      <c r="VK141" s="1"/>
      <c r="VL141" s="1"/>
      <c r="VM141" s="1"/>
      <c r="VN141" s="1"/>
      <c r="VO141" s="1"/>
      <c r="VP141" s="1"/>
      <c r="VQ141" s="1"/>
      <c r="VR141" s="1"/>
      <c r="VS141" s="1"/>
      <c r="VT141" s="1"/>
      <c r="VU141" s="1"/>
      <c r="VV141" s="1"/>
      <c r="VW141" s="1"/>
      <c r="VX141" s="1"/>
      <c r="VY141" s="1"/>
      <c r="VZ141" s="1"/>
      <c r="WA141" s="1"/>
      <c r="WB141" s="1"/>
      <c r="WC141" s="1"/>
      <c r="WD141" s="1"/>
      <c r="WE141" s="1"/>
      <c r="WF141" s="1"/>
      <c r="WG141" s="1"/>
      <c r="WH141" s="1"/>
      <c r="WI141" s="1"/>
      <c r="WJ141" s="1"/>
      <c r="WK141" s="1"/>
      <c r="WL141" s="1"/>
      <c r="WM141" s="1"/>
      <c r="WN141" s="1"/>
      <c r="WO141" s="1"/>
      <c r="WP141" s="1"/>
      <c r="WQ141" s="1"/>
      <c r="WR141" s="1"/>
      <c r="WS141" s="1"/>
      <c r="WT141" s="1"/>
      <c r="WU141" s="1"/>
      <c r="WV141" s="1"/>
      <c r="WW141" s="1"/>
      <c r="WX141" s="1"/>
      <c r="WY141" s="1"/>
      <c r="WZ141" s="1"/>
      <c r="XA141" s="1"/>
      <c r="XB141" s="1"/>
      <c r="XC141" s="1"/>
      <c r="XD141" s="1"/>
      <c r="XE141" s="1"/>
      <c r="XF141" s="1"/>
      <c r="XG141" s="1"/>
      <c r="XH141" s="1"/>
      <c r="XI141" s="1"/>
      <c r="XJ141" s="1"/>
      <c r="XK141" s="1"/>
      <c r="XL141" s="1"/>
      <c r="XM141" s="1"/>
      <c r="XN141" s="1"/>
      <c r="XO141" s="1"/>
      <c r="XP141" s="1"/>
      <c r="XQ141" s="1"/>
      <c r="XR141" s="1"/>
      <c r="XS141" s="1"/>
      <c r="XT141" s="1"/>
      <c r="XU141" s="1"/>
      <c r="XV141" s="1"/>
      <c r="XW141" s="1"/>
      <c r="XX141" s="1"/>
      <c r="XY141" s="1"/>
      <c r="XZ141" s="1"/>
      <c r="YA141" s="1"/>
      <c r="YB141" s="1"/>
      <c r="YC141" s="1"/>
      <c r="YD141" s="1"/>
      <c r="YE141" s="1"/>
      <c r="YF141" s="1"/>
      <c r="YG141" s="1"/>
      <c r="YH141" s="1"/>
      <c r="YI141" s="1"/>
      <c r="YJ141" s="1"/>
      <c r="YK141" s="1"/>
      <c r="YL141" s="1"/>
      <c r="YM141" s="1"/>
      <c r="YN141" s="1"/>
      <c r="YO141" s="1"/>
      <c r="YP141" s="1"/>
      <c r="YQ141" s="1"/>
      <c r="YR141" s="1"/>
      <c r="YS141" s="1"/>
      <c r="YT141" s="1"/>
      <c r="YU141" s="1"/>
      <c r="YV141" s="1"/>
      <c r="YW141" s="1"/>
      <c r="YX141" s="1"/>
      <c r="YY141" s="1"/>
      <c r="YZ141" s="1"/>
      <c r="ZA141" s="1"/>
      <c r="ZB141" s="1"/>
      <c r="ZC141" s="1"/>
      <c r="ZD141" s="1"/>
      <c r="ZE141" s="1"/>
      <c r="ZF141" s="1"/>
      <c r="ZG141" s="1"/>
      <c r="ZH141" s="1"/>
      <c r="ZI141" s="1"/>
      <c r="ZJ141" s="1"/>
      <c r="ZK141" s="1"/>
      <c r="ZL141" s="1"/>
      <c r="ZM141" s="1"/>
      <c r="ZN141" s="1"/>
      <c r="ZO141" s="1"/>
      <c r="ZP141" s="1"/>
      <c r="ZQ141" s="1"/>
      <c r="ZR141" s="1"/>
      <c r="ZS141" s="1"/>
      <c r="ZT141" s="1"/>
      <c r="ZU141" s="1"/>
      <c r="ZV141" s="1"/>
      <c r="ZW141" s="1"/>
      <c r="ZX141" s="1"/>
      <c r="ZY141" s="1"/>
      <c r="ZZ141" s="1"/>
      <c r="AAA141" s="1"/>
      <c r="AAB141" s="1"/>
      <c r="AAC141" s="1"/>
      <c r="AAD141" s="1"/>
      <c r="AAE141" s="1"/>
      <c r="AAF141" s="1"/>
      <c r="AAG141" s="1"/>
      <c r="AAH141" s="1"/>
      <c r="AAI141" s="1"/>
      <c r="AAJ141" s="1"/>
      <c r="AAK141" s="1"/>
      <c r="AAL141" s="1"/>
      <c r="AAM141" s="1"/>
      <c r="AAN141" s="1"/>
      <c r="AAO141" s="1"/>
      <c r="AAP141" s="1"/>
      <c r="AAQ141" s="1"/>
      <c r="AAR141" s="1"/>
      <c r="AAS141" s="1"/>
      <c r="AAT141" s="1"/>
      <c r="AAU141" s="1"/>
      <c r="AAV141" s="1"/>
      <c r="AAW141" s="1"/>
      <c r="AAX141" s="1"/>
      <c r="AAY141" s="1"/>
      <c r="AAZ141" s="1"/>
      <c r="ABA141" s="1"/>
      <c r="ABB141" s="1"/>
      <c r="ABC141" s="1"/>
      <c r="ABD141" s="1"/>
      <c r="ABE141" s="1"/>
      <c r="ABF141" s="1"/>
      <c r="ABG141" s="1"/>
      <c r="ABH141" s="1"/>
      <c r="ABI141" s="1"/>
      <c r="ABJ141" s="1"/>
      <c r="ABK141" s="1"/>
      <c r="ABL141" s="1"/>
      <c r="ABM141" s="1"/>
      <c r="ABN141" s="1"/>
      <c r="ABO141" s="1"/>
      <c r="ABP141" s="1"/>
      <c r="ABQ141" s="1"/>
      <c r="ABR141" s="1"/>
      <c r="ABS141" s="1"/>
      <c r="ABT141" s="1"/>
      <c r="ABU141" s="1"/>
      <c r="ABV141" s="1"/>
      <c r="ABW141" s="1"/>
      <c r="ABX141" s="1"/>
      <c r="ABY141" s="1"/>
      <c r="ABZ141" s="1"/>
      <c r="ACA141" s="1"/>
      <c r="ACB141" s="1"/>
      <c r="ACC141" s="1"/>
      <c r="ACD141" s="1"/>
      <c r="ACE141" s="1"/>
      <c r="ACF141" s="1"/>
      <c r="ACG141" s="1"/>
      <c r="ACH141" s="1"/>
      <c r="ACI141" s="1"/>
      <c r="ACJ141" s="1"/>
      <c r="ACK141" s="1"/>
      <c r="ACL141" s="1"/>
      <c r="ACM141" s="1"/>
      <c r="ACN141" s="1"/>
      <c r="ACO141" s="1"/>
      <c r="ACP141" s="1"/>
      <c r="ACQ141" s="1"/>
      <c r="ACR141" s="1"/>
      <c r="ACS141" s="1"/>
      <c r="ACT141" s="1"/>
      <c r="ACU141" s="1"/>
      <c r="ACV141" s="1"/>
      <c r="ACW141" s="1"/>
      <c r="ACX141" s="1"/>
      <c r="ACY141" s="1"/>
      <c r="ACZ141" s="1"/>
      <c r="ADA141" s="1"/>
      <c r="ADB141" s="1"/>
      <c r="ADC141" s="1"/>
      <c r="ADD141" s="1"/>
      <c r="ADE141" s="1"/>
      <c r="ADF141" s="1"/>
      <c r="ADG141" s="1"/>
      <c r="ADH141" s="1"/>
      <c r="ADI141" s="1"/>
      <c r="ADJ141" s="1"/>
      <c r="ADK141" s="1"/>
      <c r="ADL141" s="1"/>
      <c r="ADM141" s="1"/>
      <c r="ADN141" s="1"/>
      <c r="ADO141" s="1"/>
      <c r="ADP141" s="1"/>
      <c r="ADQ141" s="1"/>
      <c r="ADR141" s="1"/>
      <c r="ADS141" s="1"/>
      <c r="ADT141" s="1"/>
      <c r="ADU141" s="1"/>
      <c r="ADV141" s="1"/>
      <c r="ADW141" s="1"/>
      <c r="ADX141" s="1"/>
      <c r="ADY141" s="1"/>
      <c r="ADZ141" s="1"/>
      <c r="AEA141" s="1"/>
      <c r="AEB141" s="1"/>
      <c r="AEC141" s="1"/>
      <c r="AED141" s="1"/>
      <c r="AEE141" s="1"/>
      <c r="AEF141" s="1"/>
      <c r="AEG141" s="1"/>
      <c r="AEH141" s="1"/>
      <c r="AEI141" s="1"/>
      <c r="AEJ141" s="1"/>
      <c r="AEK141" s="1"/>
      <c r="AEL141" s="1"/>
      <c r="AEM141" s="1"/>
      <c r="AEN141" s="1"/>
      <c r="AEO141" s="1"/>
      <c r="AEP141" s="1"/>
      <c r="AEQ141" s="1"/>
      <c r="AER141" s="1"/>
      <c r="AES141" s="1"/>
      <c r="AET141" s="1"/>
      <c r="AEU141" s="1"/>
      <c r="AEV141" s="1"/>
      <c r="AEW141" s="1"/>
      <c r="AEX141" s="1"/>
      <c r="AEY141" s="1"/>
      <c r="AEZ141" s="1"/>
      <c r="AFA141" s="1"/>
      <c r="AFB141" s="1"/>
      <c r="AFC141" s="1"/>
      <c r="AFD141" s="1"/>
      <c r="AFE141" s="1"/>
      <c r="AFF141" s="1"/>
      <c r="AFG141" s="1"/>
      <c r="AFH141" s="1"/>
      <c r="AFI141" s="1"/>
      <c r="AFJ141" s="1"/>
      <c r="AFK141" s="1"/>
      <c r="AFL141" s="1"/>
      <c r="AFM141" s="1"/>
      <c r="AFN141" s="1"/>
      <c r="AFO141" s="1"/>
      <c r="AFP141" s="1"/>
      <c r="AFQ141" s="1"/>
      <c r="AFR141" s="1"/>
      <c r="AFS141" s="1"/>
      <c r="AFT141" s="1"/>
      <c r="AFU141" s="1"/>
      <c r="AFV141" s="1"/>
      <c r="AFW141" s="1"/>
      <c r="AFX141" s="1"/>
      <c r="AFY141" s="1"/>
      <c r="AFZ141" s="1"/>
      <c r="AGA141" s="1"/>
      <c r="AGB141" s="1"/>
      <c r="AGC141" s="1"/>
      <c r="AGD141" s="1"/>
      <c r="AGE141" s="1"/>
      <c r="AGF141" s="1"/>
      <c r="AGG141" s="1"/>
      <c r="AGH141" s="1"/>
      <c r="AGI141" s="1"/>
      <c r="AGJ141" s="1"/>
      <c r="AGK141" s="1"/>
      <c r="AGL141" s="1"/>
      <c r="AGM141" s="1"/>
      <c r="AGN141" s="1"/>
      <c r="AGO141" s="1"/>
      <c r="AGP141" s="1"/>
      <c r="AGQ141" s="1"/>
      <c r="AGR141" s="1"/>
      <c r="AGS141" s="1"/>
      <c r="AGT141" s="1"/>
      <c r="AGU141" s="1"/>
      <c r="AGV141" s="1"/>
      <c r="AGW141" s="1"/>
      <c r="AGX141" s="1"/>
      <c r="AGY141" s="1"/>
      <c r="AGZ141" s="1"/>
      <c r="AHA141" s="1"/>
      <c r="AHB141" s="1"/>
      <c r="AHC141" s="1"/>
      <c r="AHD141" s="1"/>
      <c r="AHE141" s="1"/>
      <c r="AHF141" s="1"/>
      <c r="AHG141" s="1"/>
      <c r="AHH141" s="1"/>
      <c r="AHI141" s="1"/>
      <c r="AHJ141" s="1"/>
      <c r="AHK141" s="1"/>
      <c r="AHL141" s="1"/>
      <c r="AHM141" s="1"/>
      <c r="AHN141" s="1"/>
      <c r="AHO141" s="1"/>
      <c r="AHP141" s="1"/>
      <c r="AHQ141" s="1"/>
      <c r="AHR141" s="1"/>
      <c r="AHS141" s="1"/>
      <c r="AHT141" s="1"/>
      <c r="AHU141" s="1"/>
      <c r="AHV141" s="1"/>
      <c r="AHW141" s="1"/>
      <c r="AHX141" s="1"/>
      <c r="AHY141" s="1"/>
      <c r="AHZ141" s="1"/>
      <c r="AIA141" s="1"/>
      <c r="AIB141" s="1"/>
      <c r="AIC141" s="1"/>
      <c r="AID141" s="1"/>
      <c r="AIE141" s="1"/>
      <c r="AIF141" s="1"/>
      <c r="AIG141" s="1"/>
      <c r="AIH141" s="1"/>
      <c r="AII141" s="1"/>
      <c r="AIJ141" s="1"/>
      <c r="AIK141" s="1"/>
      <c r="AIL141" s="1"/>
      <c r="AIM141" s="1"/>
      <c r="AIN141" s="1"/>
      <c r="AIO141" s="1"/>
      <c r="AIP141" s="1"/>
      <c r="AIQ141" s="1"/>
      <c r="AIR141" s="1"/>
      <c r="AIS141" s="1"/>
      <c r="AIT141" s="1"/>
      <c r="AIU141" s="1"/>
      <c r="AIV141" s="1"/>
      <c r="AIW141" s="1"/>
      <c r="AIX141" s="1"/>
      <c r="AIY141" s="1"/>
      <c r="AIZ141" s="1"/>
      <c r="AJA141" s="1"/>
      <c r="AJB141" s="1"/>
      <c r="AJC141" s="1"/>
      <c r="AJD141" s="1"/>
      <c r="AJE141" s="1"/>
      <c r="AJF141" s="1"/>
      <c r="AJG141" s="1"/>
      <c r="AJH141" s="1"/>
      <c r="AJI141" s="1"/>
      <c r="AJJ141" s="1"/>
      <c r="AJK141" s="1"/>
      <c r="AJL141" s="1"/>
      <c r="AJM141" s="1"/>
      <c r="AJN141" s="1"/>
      <c r="AJO141" s="1"/>
      <c r="AJP141" s="1"/>
      <c r="AJQ141" s="1"/>
      <c r="AJR141" s="1"/>
      <c r="AJS141" s="1"/>
      <c r="AJT141" s="1"/>
      <c r="AJU141" s="1"/>
      <c r="AJV141" s="1"/>
      <c r="AJW141" s="1"/>
      <c r="AJX141" s="1"/>
      <c r="AJY141" s="1"/>
      <c r="AJZ141" s="1"/>
      <c r="AKA141" s="1"/>
      <c r="AKB141" s="1"/>
      <c r="AKC141" s="1"/>
      <c r="AKD141" s="1"/>
      <c r="AKE141" s="1"/>
      <c r="AKF141" s="1"/>
      <c r="AKG141" s="1"/>
      <c r="AKH141" s="1"/>
      <c r="AKI141" s="1"/>
      <c r="AKJ141" s="1"/>
      <c r="AKK141" s="1"/>
      <c r="AKL141" s="1"/>
      <c r="AKM141" s="1"/>
      <c r="AKN141" s="1"/>
      <c r="AKO141" s="1"/>
      <c r="AKP141" s="1"/>
      <c r="AKQ141" s="1"/>
      <c r="AKR141" s="1"/>
      <c r="AKS141" s="1"/>
      <c r="AKT141" s="1"/>
      <c r="AKU141" s="1"/>
      <c r="AKV141" s="1"/>
      <c r="AKW141" s="1"/>
      <c r="AKX141" s="1"/>
      <c r="AKY141" s="1"/>
      <c r="AKZ141" s="1"/>
      <c r="ALA141" s="1"/>
      <c r="ALB141" s="1"/>
      <c r="ALC141" s="1"/>
      <c r="ALD141" s="1"/>
      <c r="ALE141" s="1"/>
      <c r="ALF141" s="1"/>
      <c r="ALG141" s="1"/>
      <c r="ALH141" s="1"/>
      <c r="ALI141" s="1"/>
      <c r="ALJ141" s="1"/>
      <c r="ALK141" s="1"/>
      <c r="ALL141" s="1"/>
      <c r="ALM141" s="1"/>
      <c r="ALN141" s="1"/>
      <c r="ALO141" s="1"/>
      <c r="ALP141" s="1"/>
      <c r="ALQ141" s="1"/>
      <c r="ALR141" s="1"/>
      <c r="ALS141" s="1"/>
      <c r="ALT141" s="1"/>
      <c r="ALU141" s="1"/>
      <c r="ALV141" s="1"/>
      <c r="ALW141" s="1"/>
      <c r="ALX141" s="1"/>
      <c r="ALY141" s="1"/>
      <c r="ALZ141" s="1"/>
      <c r="AMA141" s="1"/>
      <c r="AMB141" s="1"/>
      <c r="AMC141" s="1"/>
      <c r="AMD141" s="1"/>
      <c r="AME141" s="1"/>
      <c r="AMF141" s="1"/>
      <c r="AMG141" s="1"/>
      <c r="AMH141" s="1"/>
      <c r="AMI141" s="1"/>
      <c r="AMJ141" s="1"/>
    </row>
    <row r="142" customFormat="false" ht="10.5" hidden="false" customHeight="true" outlineLevel="0" collapsed="false">
      <c r="A142" s="190" t="s">
        <v>282</v>
      </c>
      <c r="B142" s="190"/>
      <c r="C142" s="190"/>
      <c r="D142" s="190"/>
      <c r="E142" s="190"/>
      <c r="F142" s="190"/>
      <c r="G142" s="190"/>
      <c r="H142" s="190"/>
      <c r="I142" s="190"/>
      <c r="J142" s="190"/>
      <c r="K142" s="190"/>
      <c r="L142" s="190"/>
      <c r="M142" s="190"/>
      <c r="N142" s="190"/>
      <c r="O142" s="190"/>
      <c r="P142" s="191" t="n">
        <f aca="false">SUM(P134:R141)</f>
        <v>0</v>
      </c>
      <c r="Q142" s="191"/>
      <c r="R142" s="191"/>
      <c r="S142" s="183"/>
      <c r="T142" s="192" t="s">
        <v>282</v>
      </c>
      <c r="U142" s="192"/>
      <c r="V142" s="192"/>
      <c r="W142" s="192"/>
      <c r="X142" s="192"/>
      <c r="Y142" s="192"/>
      <c r="Z142" s="192"/>
      <c r="AA142" s="192"/>
      <c r="AB142" s="192"/>
      <c r="AC142" s="192"/>
      <c r="AD142" s="192"/>
      <c r="AE142" s="192"/>
      <c r="AF142" s="192"/>
      <c r="AG142" s="192"/>
      <c r="AH142" s="192"/>
      <c r="AI142" s="192"/>
      <c r="AJ142" s="192"/>
      <c r="AK142" s="192"/>
      <c r="AL142" s="188" t="n">
        <f aca="false">SUM(AL134:AO141)</f>
        <v>0</v>
      </c>
      <c r="AM142" s="188"/>
      <c r="AN142" s="188"/>
      <c r="AO142" s="188"/>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c r="IY142" s="1"/>
      <c r="IZ142" s="1"/>
      <c r="JA142" s="1"/>
      <c r="JB142" s="1"/>
      <c r="JC142" s="1"/>
      <c r="JD142" s="1"/>
      <c r="JE142" s="1"/>
      <c r="JF142" s="1"/>
      <c r="JG142" s="1"/>
      <c r="JH142" s="1"/>
      <c r="JI142" s="1"/>
      <c r="JJ142" s="1"/>
      <c r="JK142" s="1"/>
      <c r="JL142" s="1"/>
      <c r="JM142" s="1"/>
      <c r="JN142" s="1"/>
      <c r="JO142" s="1"/>
      <c r="JP142" s="1"/>
      <c r="JQ142" s="1"/>
      <c r="JR142" s="1"/>
      <c r="JS142" s="1"/>
      <c r="JT142" s="1"/>
      <c r="JU142" s="1"/>
      <c r="JV142" s="1"/>
      <c r="JW142" s="1"/>
      <c r="JX142" s="1"/>
      <c r="JY142" s="1"/>
      <c r="JZ142" s="1"/>
      <c r="KA142" s="1"/>
      <c r="KB142" s="1"/>
      <c r="KC142" s="1"/>
      <c r="KD142" s="1"/>
      <c r="KE142" s="1"/>
      <c r="KF142" s="1"/>
      <c r="KG142" s="1"/>
      <c r="KH142" s="1"/>
      <c r="KI142" s="1"/>
      <c r="KJ142" s="1"/>
      <c r="KK142" s="1"/>
      <c r="KL142" s="1"/>
      <c r="KM142" s="1"/>
      <c r="KN142" s="1"/>
      <c r="KO142" s="1"/>
      <c r="KP142" s="1"/>
      <c r="KQ142" s="1"/>
      <c r="KR142" s="1"/>
      <c r="KS142" s="1"/>
      <c r="KT142" s="1"/>
      <c r="KU142" s="1"/>
      <c r="KV142" s="1"/>
      <c r="KW142" s="1"/>
      <c r="KX142" s="1"/>
      <c r="KY142" s="1"/>
      <c r="KZ142" s="1"/>
      <c r="LA142" s="1"/>
      <c r="LB142" s="1"/>
      <c r="LC142" s="1"/>
      <c r="LD142" s="1"/>
      <c r="LE142" s="1"/>
      <c r="LF142" s="1"/>
      <c r="LG142" s="1"/>
      <c r="LH142" s="1"/>
      <c r="LI142" s="1"/>
      <c r="LJ142" s="1"/>
      <c r="LK142" s="1"/>
      <c r="LL142" s="1"/>
      <c r="LM142" s="1"/>
      <c r="LN142" s="1"/>
      <c r="LO142" s="1"/>
      <c r="LP142" s="1"/>
      <c r="LQ142" s="1"/>
      <c r="LR142" s="1"/>
      <c r="LS142" s="1"/>
      <c r="LT142" s="1"/>
      <c r="LU142" s="1"/>
      <c r="LV142" s="1"/>
      <c r="LW142" s="1"/>
      <c r="LX142" s="1"/>
      <c r="LY142" s="1"/>
      <c r="LZ142" s="1"/>
      <c r="MA142" s="1"/>
      <c r="MB142" s="1"/>
      <c r="MC142" s="1"/>
      <c r="MD142" s="1"/>
      <c r="ME142" s="1"/>
      <c r="MF142" s="1"/>
      <c r="MG142" s="1"/>
      <c r="MH142" s="1"/>
      <c r="MI142" s="1"/>
      <c r="MJ142" s="1"/>
      <c r="MK142" s="1"/>
      <c r="ML142" s="1"/>
      <c r="MM142" s="1"/>
      <c r="MN142" s="1"/>
      <c r="MO142" s="1"/>
      <c r="MP142" s="1"/>
      <c r="MQ142" s="1"/>
      <c r="MR142" s="1"/>
      <c r="MS142" s="1"/>
      <c r="MT142" s="1"/>
      <c r="MU142" s="1"/>
      <c r="MV142" s="1"/>
      <c r="MW142" s="1"/>
      <c r="MX142" s="1"/>
      <c r="MY142" s="1"/>
      <c r="MZ142" s="1"/>
      <c r="NA142" s="1"/>
      <c r="NB142" s="1"/>
      <c r="NC142" s="1"/>
      <c r="ND142" s="1"/>
      <c r="NE142" s="1"/>
      <c r="NF142" s="1"/>
      <c r="NG142" s="1"/>
      <c r="NH142" s="1"/>
      <c r="NI142" s="1"/>
      <c r="NJ142" s="1"/>
      <c r="NK142" s="1"/>
      <c r="NL142" s="1"/>
      <c r="NM142" s="1"/>
      <c r="NN142" s="1"/>
      <c r="NO142" s="1"/>
      <c r="NP142" s="1"/>
      <c r="NQ142" s="1"/>
      <c r="NR142" s="1"/>
      <c r="NS142" s="1"/>
      <c r="NT142" s="1"/>
      <c r="NU142" s="1"/>
      <c r="NV142" s="1"/>
      <c r="NW142" s="1"/>
      <c r="NX142" s="1"/>
      <c r="NY142" s="1"/>
      <c r="NZ142" s="1"/>
      <c r="OA142" s="1"/>
      <c r="OB142" s="1"/>
      <c r="OC142" s="1"/>
      <c r="OD142" s="1"/>
      <c r="OE142" s="1"/>
      <c r="OF142" s="1"/>
      <c r="OG142" s="1"/>
      <c r="OH142" s="1"/>
      <c r="OI142" s="1"/>
      <c r="OJ142" s="1"/>
      <c r="OK142" s="1"/>
      <c r="OL142" s="1"/>
      <c r="OM142" s="1"/>
      <c r="ON142" s="1"/>
      <c r="OO142" s="1"/>
      <c r="OP142" s="1"/>
      <c r="OQ142" s="1"/>
      <c r="OR142" s="1"/>
      <c r="OS142" s="1"/>
      <c r="OT142" s="1"/>
      <c r="OU142" s="1"/>
      <c r="OV142" s="1"/>
      <c r="OW142" s="1"/>
      <c r="OX142" s="1"/>
      <c r="OY142" s="1"/>
      <c r="OZ142" s="1"/>
      <c r="PA142" s="1"/>
      <c r="PB142" s="1"/>
      <c r="PC142" s="1"/>
      <c r="PD142" s="1"/>
      <c r="PE142" s="1"/>
      <c r="PF142" s="1"/>
      <c r="PG142" s="1"/>
      <c r="PH142" s="1"/>
      <c r="PI142" s="1"/>
      <c r="PJ142" s="1"/>
      <c r="PK142" s="1"/>
      <c r="PL142" s="1"/>
      <c r="PM142" s="1"/>
      <c r="PN142" s="1"/>
      <c r="PO142" s="1"/>
      <c r="PP142" s="1"/>
      <c r="PQ142" s="1"/>
      <c r="PR142" s="1"/>
      <c r="PS142" s="1"/>
      <c r="PT142" s="1"/>
      <c r="PU142" s="1"/>
      <c r="PV142" s="1"/>
      <c r="PW142" s="1"/>
      <c r="PX142" s="1"/>
      <c r="PY142" s="1"/>
      <c r="PZ142" s="1"/>
      <c r="QA142" s="1"/>
      <c r="QB142" s="1"/>
      <c r="QC142" s="1"/>
      <c r="QD142" s="1"/>
      <c r="QE142" s="1"/>
      <c r="QF142" s="1"/>
      <c r="QG142" s="1"/>
      <c r="QH142" s="1"/>
      <c r="QI142" s="1"/>
      <c r="QJ142" s="1"/>
      <c r="QK142" s="1"/>
      <c r="QL142" s="1"/>
      <c r="QM142" s="1"/>
      <c r="QN142" s="1"/>
      <c r="QO142" s="1"/>
      <c r="QP142" s="1"/>
      <c r="QQ142" s="1"/>
      <c r="QR142" s="1"/>
      <c r="QS142" s="1"/>
      <c r="QT142" s="1"/>
      <c r="QU142" s="1"/>
      <c r="QV142" s="1"/>
      <c r="QW142" s="1"/>
      <c r="QX142" s="1"/>
      <c r="QY142" s="1"/>
      <c r="QZ142" s="1"/>
      <c r="RA142" s="1"/>
      <c r="RB142" s="1"/>
      <c r="RC142" s="1"/>
      <c r="RD142" s="1"/>
      <c r="RE142" s="1"/>
      <c r="RF142" s="1"/>
      <c r="RG142" s="1"/>
      <c r="RH142" s="1"/>
      <c r="RI142" s="1"/>
      <c r="RJ142" s="1"/>
      <c r="RK142" s="1"/>
      <c r="RL142" s="1"/>
      <c r="RM142" s="1"/>
      <c r="RN142" s="1"/>
      <c r="RO142" s="1"/>
      <c r="RP142" s="1"/>
      <c r="RQ142" s="1"/>
      <c r="RR142" s="1"/>
      <c r="RS142" s="1"/>
      <c r="RT142" s="1"/>
      <c r="RU142" s="1"/>
      <c r="RV142" s="1"/>
      <c r="RW142" s="1"/>
      <c r="RX142" s="1"/>
      <c r="RY142" s="1"/>
      <c r="RZ142" s="1"/>
      <c r="SA142" s="1"/>
      <c r="SB142" s="1"/>
      <c r="SC142" s="1"/>
      <c r="SD142" s="1"/>
      <c r="SE142" s="1"/>
      <c r="SF142" s="1"/>
      <c r="SG142" s="1"/>
      <c r="SH142" s="1"/>
      <c r="SI142" s="1"/>
      <c r="SJ142" s="1"/>
      <c r="SK142" s="1"/>
      <c r="SL142" s="1"/>
      <c r="SM142" s="1"/>
      <c r="SN142" s="1"/>
      <c r="SO142" s="1"/>
      <c r="SP142" s="1"/>
      <c r="SQ142" s="1"/>
      <c r="SR142" s="1"/>
      <c r="SS142" s="1"/>
      <c r="ST142" s="1"/>
      <c r="SU142" s="1"/>
      <c r="SV142" s="1"/>
      <c r="SW142" s="1"/>
      <c r="SX142" s="1"/>
      <c r="SY142" s="1"/>
      <c r="SZ142" s="1"/>
      <c r="TA142" s="1"/>
      <c r="TB142" s="1"/>
      <c r="TC142" s="1"/>
      <c r="TD142" s="1"/>
      <c r="TE142" s="1"/>
      <c r="TF142" s="1"/>
      <c r="TG142" s="1"/>
      <c r="TH142" s="1"/>
      <c r="TI142" s="1"/>
      <c r="TJ142" s="1"/>
      <c r="TK142" s="1"/>
      <c r="TL142" s="1"/>
      <c r="TM142" s="1"/>
      <c r="TN142" s="1"/>
      <c r="TO142" s="1"/>
      <c r="TP142" s="1"/>
      <c r="TQ142" s="1"/>
      <c r="TR142" s="1"/>
      <c r="TS142" s="1"/>
      <c r="TT142" s="1"/>
      <c r="TU142" s="1"/>
      <c r="TV142" s="1"/>
      <c r="TW142" s="1"/>
      <c r="TX142" s="1"/>
      <c r="TY142" s="1"/>
      <c r="TZ142" s="1"/>
      <c r="UA142" s="1"/>
      <c r="UB142" s="1"/>
      <c r="UC142" s="1"/>
      <c r="UD142" s="1"/>
      <c r="UE142" s="1"/>
      <c r="UF142" s="1"/>
      <c r="UG142" s="1"/>
      <c r="UH142" s="1"/>
      <c r="UI142" s="1"/>
      <c r="UJ142" s="1"/>
      <c r="UK142" s="1"/>
      <c r="UL142" s="1"/>
      <c r="UM142" s="1"/>
      <c r="UN142" s="1"/>
      <c r="UO142" s="1"/>
      <c r="UP142" s="1"/>
      <c r="UQ142" s="1"/>
      <c r="UR142" s="1"/>
      <c r="US142" s="1"/>
      <c r="UT142" s="1"/>
      <c r="UU142" s="1"/>
      <c r="UV142" s="1"/>
      <c r="UW142" s="1"/>
      <c r="UX142" s="1"/>
      <c r="UY142" s="1"/>
      <c r="UZ142" s="1"/>
      <c r="VA142" s="1"/>
      <c r="VB142" s="1"/>
      <c r="VC142" s="1"/>
      <c r="VD142" s="1"/>
      <c r="VE142" s="1"/>
      <c r="VF142" s="1"/>
      <c r="VG142" s="1"/>
      <c r="VH142" s="1"/>
      <c r="VI142" s="1"/>
      <c r="VJ142" s="1"/>
      <c r="VK142" s="1"/>
      <c r="VL142" s="1"/>
      <c r="VM142" s="1"/>
      <c r="VN142" s="1"/>
      <c r="VO142" s="1"/>
      <c r="VP142" s="1"/>
      <c r="VQ142" s="1"/>
      <c r="VR142" s="1"/>
      <c r="VS142" s="1"/>
      <c r="VT142" s="1"/>
      <c r="VU142" s="1"/>
      <c r="VV142" s="1"/>
      <c r="VW142" s="1"/>
      <c r="VX142" s="1"/>
      <c r="VY142" s="1"/>
      <c r="VZ142" s="1"/>
      <c r="WA142" s="1"/>
      <c r="WB142" s="1"/>
      <c r="WC142" s="1"/>
      <c r="WD142" s="1"/>
      <c r="WE142" s="1"/>
      <c r="WF142" s="1"/>
      <c r="WG142" s="1"/>
      <c r="WH142" s="1"/>
      <c r="WI142" s="1"/>
      <c r="WJ142" s="1"/>
      <c r="WK142" s="1"/>
      <c r="WL142" s="1"/>
      <c r="WM142" s="1"/>
      <c r="WN142" s="1"/>
      <c r="WO142" s="1"/>
      <c r="WP142" s="1"/>
      <c r="WQ142" s="1"/>
      <c r="WR142" s="1"/>
      <c r="WS142" s="1"/>
      <c r="WT142" s="1"/>
      <c r="WU142" s="1"/>
      <c r="WV142" s="1"/>
      <c r="WW142" s="1"/>
      <c r="WX142" s="1"/>
      <c r="WY142" s="1"/>
      <c r="WZ142" s="1"/>
      <c r="XA142" s="1"/>
      <c r="XB142" s="1"/>
      <c r="XC142" s="1"/>
      <c r="XD142" s="1"/>
      <c r="XE142" s="1"/>
      <c r="XF142" s="1"/>
      <c r="XG142" s="1"/>
      <c r="XH142" s="1"/>
      <c r="XI142" s="1"/>
      <c r="XJ142" s="1"/>
      <c r="XK142" s="1"/>
      <c r="XL142" s="1"/>
      <c r="XM142" s="1"/>
      <c r="XN142" s="1"/>
      <c r="XO142" s="1"/>
      <c r="XP142" s="1"/>
      <c r="XQ142" s="1"/>
      <c r="XR142" s="1"/>
      <c r="XS142" s="1"/>
      <c r="XT142" s="1"/>
      <c r="XU142" s="1"/>
      <c r="XV142" s="1"/>
      <c r="XW142" s="1"/>
      <c r="XX142" s="1"/>
      <c r="XY142" s="1"/>
      <c r="XZ142" s="1"/>
      <c r="YA142" s="1"/>
      <c r="YB142" s="1"/>
      <c r="YC142" s="1"/>
      <c r="YD142" s="1"/>
      <c r="YE142" s="1"/>
      <c r="YF142" s="1"/>
      <c r="YG142" s="1"/>
      <c r="YH142" s="1"/>
      <c r="YI142" s="1"/>
      <c r="YJ142" s="1"/>
      <c r="YK142" s="1"/>
      <c r="YL142" s="1"/>
      <c r="YM142" s="1"/>
      <c r="YN142" s="1"/>
      <c r="YO142" s="1"/>
      <c r="YP142" s="1"/>
      <c r="YQ142" s="1"/>
      <c r="YR142" s="1"/>
      <c r="YS142" s="1"/>
      <c r="YT142" s="1"/>
      <c r="YU142" s="1"/>
      <c r="YV142" s="1"/>
      <c r="YW142" s="1"/>
      <c r="YX142" s="1"/>
      <c r="YY142" s="1"/>
      <c r="YZ142" s="1"/>
      <c r="ZA142" s="1"/>
      <c r="ZB142" s="1"/>
      <c r="ZC142" s="1"/>
      <c r="ZD142" s="1"/>
      <c r="ZE142" s="1"/>
      <c r="ZF142" s="1"/>
      <c r="ZG142" s="1"/>
      <c r="ZH142" s="1"/>
      <c r="ZI142" s="1"/>
      <c r="ZJ142" s="1"/>
      <c r="ZK142" s="1"/>
      <c r="ZL142" s="1"/>
      <c r="ZM142" s="1"/>
      <c r="ZN142" s="1"/>
      <c r="ZO142" s="1"/>
      <c r="ZP142" s="1"/>
      <c r="ZQ142" s="1"/>
      <c r="ZR142" s="1"/>
      <c r="ZS142" s="1"/>
      <c r="ZT142" s="1"/>
      <c r="ZU142" s="1"/>
      <c r="ZV142" s="1"/>
      <c r="ZW142" s="1"/>
      <c r="ZX142" s="1"/>
      <c r="ZY142" s="1"/>
      <c r="ZZ142" s="1"/>
      <c r="AAA142" s="1"/>
      <c r="AAB142" s="1"/>
      <c r="AAC142" s="1"/>
      <c r="AAD142" s="1"/>
      <c r="AAE142" s="1"/>
      <c r="AAF142" s="1"/>
      <c r="AAG142" s="1"/>
      <c r="AAH142" s="1"/>
      <c r="AAI142" s="1"/>
      <c r="AAJ142" s="1"/>
      <c r="AAK142" s="1"/>
      <c r="AAL142" s="1"/>
      <c r="AAM142" s="1"/>
      <c r="AAN142" s="1"/>
      <c r="AAO142" s="1"/>
      <c r="AAP142" s="1"/>
      <c r="AAQ142" s="1"/>
      <c r="AAR142" s="1"/>
      <c r="AAS142" s="1"/>
      <c r="AAT142" s="1"/>
      <c r="AAU142" s="1"/>
      <c r="AAV142" s="1"/>
      <c r="AAW142" s="1"/>
      <c r="AAX142" s="1"/>
      <c r="AAY142" s="1"/>
      <c r="AAZ142" s="1"/>
      <c r="ABA142" s="1"/>
      <c r="ABB142" s="1"/>
      <c r="ABC142" s="1"/>
      <c r="ABD142" s="1"/>
      <c r="ABE142" s="1"/>
      <c r="ABF142" s="1"/>
      <c r="ABG142" s="1"/>
      <c r="ABH142" s="1"/>
      <c r="ABI142" s="1"/>
      <c r="ABJ142" s="1"/>
      <c r="ABK142" s="1"/>
      <c r="ABL142" s="1"/>
      <c r="ABM142" s="1"/>
      <c r="ABN142" s="1"/>
      <c r="ABO142" s="1"/>
      <c r="ABP142" s="1"/>
      <c r="ABQ142" s="1"/>
      <c r="ABR142" s="1"/>
      <c r="ABS142" s="1"/>
      <c r="ABT142" s="1"/>
      <c r="ABU142" s="1"/>
      <c r="ABV142" s="1"/>
      <c r="ABW142" s="1"/>
      <c r="ABX142" s="1"/>
      <c r="ABY142" s="1"/>
      <c r="ABZ142" s="1"/>
      <c r="ACA142" s="1"/>
      <c r="ACB142" s="1"/>
      <c r="ACC142" s="1"/>
      <c r="ACD142" s="1"/>
      <c r="ACE142" s="1"/>
      <c r="ACF142" s="1"/>
      <c r="ACG142" s="1"/>
      <c r="ACH142" s="1"/>
      <c r="ACI142" s="1"/>
      <c r="ACJ142" s="1"/>
      <c r="ACK142" s="1"/>
      <c r="ACL142" s="1"/>
      <c r="ACM142" s="1"/>
      <c r="ACN142" s="1"/>
      <c r="ACO142" s="1"/>
      <c r="ACP142" s="1"/>
      <c r="ACQ142" s="1"/>
      <c r="ACR142" s="1"/>
      <c r="ACS142" s="1"/>
      <c r="ACT142" s="1"/>
      <c r="ACU142" s="1"/>
      <c r="ACV142" s="1"/>
      <c r="ACW142" s="1"/>
      <c r="ACX142" s="1"/>
      <c r="ACY142" s="1"/>
      <c r="ACZ142" s="1"/>
      <c r="ADA142" s="1"/>
      <c r="ADB142" s="1"/>
      <c r="ADC142" s="1"/>
      <c r="ADD142" s="1"/>
      <c r="ADE142" s="1"/>
      <c r="ADF142" s="1"/>
      <c r="ADG142" s="1"/>
      <c r="ADH142" s="1"/>
      <c r="ADI142" s="1"/>
      <c r="ADJ142" s="1"/>
      <c r="ADK142" s="1"/>
      <c r="ADL142" s="1"/>
      <c r="ADM142" s="1"/>
      <c r="ADN142" s="1"/>
      <c r="ADO142" s="1"/>
      <c r="ADP142" s="1"/>
      <c r="ADQ142" s="1"/>
      <c r="ADR142" s="1"/>
      <c r="ADS142" s="1"/>
      <c r="ADT142" s="1"/>
      <c r="ADU142" s="1"/>
      <c r="ADV142" s="1"/>
      <c r="ADW142" s="1"/>
      <c r="ADX142" s="1"/>
      <c r="ADY142" s="1"/>
      <c r="ADZ142" s="1"/>
      <c r="AEA142" s="1"/>
      <c r="AEB142" s="1"/>
      <c r="AEC142" s="1"/>
      <c r="AED142" s="1"/>
      <c r="AEE142" s="1"/>
      <c r="AEF142" s="1"/>
      <c r="AEG142" s="1"/>
      <c r="AEH142" s="1"/>
      <c r="AEI142" s="1"/>
      <c r="AEJ142" s="1"/>
      <c r="AEK142" s="1"/>
      <c r="AEL142" s="1"/>
      <c r="AEM142" s="1"/>
      <c r="AEN142" s="1"/>
      <c r="AEO142" s="1"/>
      <c r="AEP142" s="1"/>
      <c r="AEQ142" s="1"/>
      <c r="AER142" s="1"/>
      <c r="AES142" s="1"/>
      <c r="AET142" s="1"/>
      <c r="AEU142" s="1"/>
      <c r="AEV142" s="1"/>
      <c r="AEW142" s="1"/>
      <c r="AEX142" s="1"/>
      <c r="AEY142" s="1"/>
      <c r="AEZ142" s="1"/>
      <c r="AFA142" s="1"/>
      <c r="AFB142" s="1"/>
      <c r="AFC142" s="1"/>
      <c r="AFD142" s="1"/>
      <c r="AFE142" s="1"/>
      <c r="AFF142" s="1"/>
      <c r="AFG142" s="1"/>
      <c r="AFH142" s="1"/>
      <c r="AFI142" s="1"/>
      <c r="AFJ142" s="1"/>
      <c r="AFK142" s="1"/>
      <c r="AFL142" s="1"/>
      <c r="AFM142" s="1"/>
      <c r="AFN142" s="1"/>
      <c r="AFO142" s="1"/>
      <c r="AFP142" s="1"/>
      <c r="AFQ142" s="1"/>
      <c r="AFR142" s="1"/>
      <c r="AFS142" s="1"/>
      <c r="AFT142" s="1"/>
      <c r="AFU142" s="1"/>
      <c r="AFV142" s="1"/>
      <c r="AFW142" s="1"/>
      <c r="AFX142" s="1"/>
      <c r="AFY142" s="1"/>
      <c r="AFZ142" s="1"/>
      <c r="AGA142" s="1"/>
      <c r="AGB142" s="1"/>
      <c r="AGC142" s="1"/>
      <c r="AGD142" s="1"/>
      <c r="AGE142" s="1"/>
      <c r="AGF142" s="1"/>
      <c r="AGG142" s="1"/>
      <c r="AGH142" s="1"/>
      <c r="AGI142" s="1"/>
      <c r="AGJ142" s="1"/>
      <c r="AGK142" s="1"/>
      <c r="AGL142" s="1"/>
      <c r="AGM142" s="1"/>
      <c r="AGN142" s="1"/>
      <c r="AGO142" s="1"/>
      <c r="AGP142" s="1"/>
      <c r="AGQ142" s="1"/>
      <c r="AGR142" s="1"/>
      <c r="AGS142" s="1"/>
      <c r="AGT142" s="1"/>
      <c r="AGU142" s="1"/>
      <c r="AGV142" s="1"/>
      <c r="AGW142" s="1"/>
      <c r="AGX142" s="1"/>
      <c r="AGY142" s="1"/>
      <c r="AGZ142" s="1"/>
      <c r="AHA142" s="1"/>
      <c r="AHB142" s="1"/>
      <c r="AHC142" s="1"/>
      <c r="AHD142" s="1"/>
      <c r="AHE142" s="1"/>
      <c r="AHF142" s="1"/>
      <c r="AHG142" s="1"/>
      <c r="AHH142" s="1"/>
      <c r="AHI142" s="1"/>
      <c r="AHJ142" s="1"/>
      <c r="AHK142" s="1"/>
      <c r="AHL142" s="1"/>
      <c r="AHM142" s="1"/>
      <c r="AHN142" s="1"/>
      <c r="AHO142" s="1"/>
      <c r="AHP142" s="1"/>
      <c r="AHQ142" s="1"/>
      <c r="AHR142" s="1"/>
      <c r="AHS142" s="1"/>
      <c r="AHT142" s="1"/>
      <c r="AHU142" s="1"/>
      <c r="AHV142" s="1"/>
      <c r="AHW142" s="1"/>
      <c r="AHX142" s="1"/>
      <c r="AHY142" s="1"/>
      <c r="AHZ142" s="1"/>
      <c r="AIA142" s="1"/>
      <c r="AIB142" s="1"/>
      <c r="AIC142" s="1"/>
      <c r="AID142" s="1"/>
      <c r="AIE142" s="1"/>
      <c r="AIF142" s="1"/>
      <c r="AIG142" s="1"/>
      <c r="AIH142" s="1"/>
      <c r="AII142" s="1"/>
      <c r="AIJ142" s="1"/>
      <c r="AIK142" s="1"/>
      <c r="AIL142" s="1"/>
      <c r="AIM142" s="1"/>
      <c r="AIN142" s="1"/>
      <c r="AIO142" s="1"/>
      <c r="AIP142" s="1"/>
      <c r="AIQ142" s="1"/>
      <c r="AIR142" s="1"/>
      <c r="AIS142" s="1"/>
      <c r="AIT142" s="1"/>
      <c r="AIU142" s="1"/>
      <c r="AIV142" s="1"/>
      <c r="AIW142" s="1"/>
      <c r="AIX142" s="1"/>
      <c r="AIY142" s="1"/>
      <c r="AIZ142" s="1"/>
      <c r="AJA142" s="1"/>
      <c r="AJB142" s="1"/>
      <c r="AJC142" s="1"/>
      <c r="AJD142" s="1"/>
      <c r="AJE142" s="1"/>
      <c r="AJF142" s="1"/>
      <c r="AJG142" s="1"/>
      <c r="AJH142" s="1"/>
      <c r="AJI142" s="1"/>
      <c r="AJJ142" s="1"/>
      <c r="AJK142" s="1"/>
      <c r="AJL142" s="1"/>
      <c r="AJM142" s="1"/>
      <c r="AJN142" s="1"/>
      <c r="AJO142" s="1"/>
      <c r="AJP142" s="1"/>
      <c r="AJQ142" s="1"/>
      <c r="AJR142" s="1"/>
      <c r="AJS142" s="1"/>
      <c r="AJT142" s="1"/>
      <c r="AJU142" s="1"/>
      <c r="AJV142" s="1"/>
      <c r="AJW142" s="1"/>
      <c r="AJX142" s="1"/>
      <c r="AJY142" s="1"/>
      <c r="AJZ142" s="1"/>
      <c r="AKA142" s="1"/>
      <c r="AKB142" s="1"/>
      <c r="AKC142" s="1"/>
      <c r="AKD142" s="1"/>
      <c r="AKE142" s="1"/>
      <c r="AKF142" s="1"/>
      <c r="AKG142" s="1"/>
      <c r="AKH142" s="1"/>
      <c r="AKI142" s="1"/>
      <c r="AKJ142" s="1"/>
      <c r="AKK142" s="1"/>
      <c r="AKL142" s="1"/>
      <c r="AKM142" s="1"/>
      <c r="AKN142" s="1"/>
      <c r="AKO142" s="1"/>
      <c r="AKP142" s="1"/>
      <c r="AKQ142" s="1"/>
      <c r="AKR142" s="1"/>
      <c r="AKS142" s="1"/>
      <c r="AKT142" s="1"/>
      <c r="AKU142" s="1"/>
      <c r="AKV142" s="1"/>
      <c r="AKW142" s="1"/>
      <c r="AKX142" s="1"/>
      <c r="AKY142" s="1"/>
      <c r="AKZ142" s="1"/>
      <c r="ALA142" s="1"/>
      <c r="ALB142" s="1"/>
      <c r="ALC142" s="1"/>
      <c r="ALD142" s="1"/>
      <c r="ALE142" s="1"/>
      <c r="ALF142" s="1"/>
      <c r="ALG142" s="1"/>
      <c r="ALH142" s="1"/>
      <c r="ALI142" s="1"/>
      <c r="ALJ142" s="1"/>
      <c r="ALK142" s="1"/>
      <c r="ALL142" s="1"/>
      <c r="ALM142" s="1"/>
      <c r="ALN142" s="1"/>
      <c r="ALO142" s="1"/>
      <c r="ALP142" s="1"/>
      <c r="ALQ142" s="1"/>
      <c r="ALR142" s="1"/>
      <c r="ALS142" s="1"/>
      <c r="ALT142" s="1"/>
      <c r="ALU142" s="1"/>
      <c r="ALV142" s="1"/>
      <c r="ALW142" s="1"/>
      <c r="ALX142" s="1"/>
      <c r="ALY142" s="1"/>
      <c r="ALZ142" s="1"/>
      <c r="AMA142" s="1"/>
      <c r="AMB142" s="1"/>
      <c r="AMC142" s="1"/>
      <c r="AMD142" s="1"/>
      <c r="AME142" s="1"/>
      <c r="AMF142" s="1"/>
      <c r="AMG142" s="1"/>
      <c r="AMH142" s="1"/>
      <c r="AMI142" s="1"/>
      <c r="AMJ142" s="1"/>
    </row>
    <row r="143" s="195" customFormat="true" ht="10.5" hidden="false" customHeight="true" outlineLevel="0" collapsed="false">
      <c r="A143" s="77" t="s">
        <v>283</v>
      </c>
      <c r="B143" s="77"/>
      <c r="C143" s="77"/>
      <c r="D143" s="77"/>
      <c r="E143" s="77"/>
      <c r="F143" s="77"/>
      <c r="G143" s="77"/>
      <c r="H143" s="77"/>
      <c r="I143" s="77"/>
      <c r="J143" s="193"/>
      <c r="K143" s="193"/>
      <c r="L143" s="193"/>
      <c r="M143" s="78" t="s">
        <v>280</v>
      </c>
      <c r="N143" s="78"/>
      <c r="O143" s="78"/>
      <c r="P143" s="194" t="str">
        <f aca="false">IFERROR(P142/J143, "-")</f>
        <v>-</v>
      </c>
      <c r="Q143" s="194"/>
      <c r="R143" s="194"/>
      <c r="S143" s="183"/>
      <c r="T143" s="77" t="s">
        <v>283</v>
      </c>
      <c r="U143" s="77"/>
      <c r="V143" s="77"/>
      <c r="W143" s="77"/>
      <c r="X143" s="77"/>
      <c r="Y143" s="77"/>
      <c r="Z143" s="77"/>
      <c r="AA143" s="77"/>
      <c r="AB143" s="77"/>
      <c r="AC143" s="77"/>
      <c r="AD143" s="77"/>
      <c r="AE143" s="193"/>
      <c r="AF143" s="193"/>
      <c r="AG143" s="193"/>
      <c r="AH143" s="78" t="s">
        <v>280</v>
      </c>
      <c r="AI143" s="78"/>
      <c r="AJ143" s="78"/>
      <c r="AK143" s="78"/>
      <c r="AL143" s="188" t="str">
        <f aca="false">IFERROR(AL142/AE143,"-")</f>
        <v>-</v>
      </c>
      <c r="AM143" s="188"/>
      <c r="AN143" s="188"/>
      <c r="AO143" s="188"/>
      <c r="AP143" s="10"/>
      <c r="AQ143" s="10"/>
      <c r="AR143" s="10"/>
      <c r="AS143" s="10"/>
      <c r="AT143" s="10"/>
      <c r="AU143" s="10"/>
      <c r="AV143" s="10"/>
      <c r="AW143" s="10"/>
      <c r="AX143" s="10"/>
      <c r="AY143" s="10"/>
      <c r="AZ143" s="10"/>
      <c r="BA143" s="10"/>
      <c r="BB143" s="10"/>
      <c r="BC143" s="10"/>
    </row>
    <row r="144" s="195" customFormat="true" ht="10.5" hidden="false" customHeight="true" outlineLevel="0" collapsed="false">
      <c r="A144" s="98" t="s">
        <v>284</v>
      </c>
      <c r="B144" s="98"/>
      <c r="C144" s="98"/>
      <c r="D144" s="98"/>
      <c r="E144" s="98"/>
      <c r="F144" s="98"/>
      <c r="G144" s="98"/>
      <c r="H144" s="98"/>
      <c r="I144" s="98"/>
      <c r="J144" s="193"/>
      <c r="K144" s="193"/>
      <c r="L144" s="193"/>
      <c r="M144" s="78" t="s">
        <v>285</v>
      </c>
      <c r="N144" s="78"/>
      <c r="O144" s="78"/>
      <c r="P144" s="196"/>
      <c r="Q144" s="196"/>
      <c r="R144" s="196"/>
      <c r="S144" s="183"/>
      <c r="T144" s="77" t="s">
        <v>284</v>
      </c>
      <c r="U144" s="77"/>
      <c r="V144" s="77"/>
      <c r="W144" s="77"/>
      <c r="X144" s="77"/>
      <c r="Y144" s="77"/>
      <c r="Z144" s="77"/>
      <c r="AA144" s="77"/>
      <c r="AB144" s="77"/>
      <c r="AC144" s="77"/>
      <c r="AD144" s="77"/>
      <c r="AE144" s="193"/>
      <c r="AF144" s="193"/>
      <c r="AG144" s="193"/>
      <c r="AH144" s="78" t="s">
        <v>285</v>
      </c>
      <c r="AI144" s="78"/>
      <c r="AJ144" s="78"/>
      <c r="AK144" s="78"/>
      <c r="AL144" s="197"/>
      <c r="AM144" s="197"/>
      <c r="AN144" s="197"/>
      <c r="AO144" s="197"/>
      <c r="AP144" s="10"/>
      <c r="AQ144" s="10"/>
      <c r="AR144" s="10"/>
      <c r="AS144" s="10"/>
      <c r="AT144" s="10"/>
      <c r="AU144" s="10"/>
      <c r="AV144" s="10"/>
      <c r="AW144" s="10"/>
      <c r="AX144" s="10"/>
      <c r="AY144" s="10"/>
      <c r="AZ144" s="10"/>
      <c r="BA144" s="10"/>
      <c r="BB144" s="10"/>
      <c r="BC144" s="10"/>
    </row>
    <row r="145" s="195" customFormat="true" ht="2.25" hidden="false" customHeight="true" outlineLevel="0" collapsed="false">
      <c r="A145" s="33"/>
      <c r="B145" s="10"/>
      <c r="C145" s="10"/>
      <c r="D145" s="10"/>
      <c r="E145" s="198"/>
      <c r="F145" s="198"/>
      <c r="G145" s="198"/>
      <c r="H145" s="10"/>
      <c r="I145" s="199"/>
      <c r="J145" s="198"/>
      <c r="K145" s="198"/>
      <c r="L145" s="198"/>
      <c r="M145" s="199"/>
      <c r="N145" s="199"/>
      <c r="O145" s="200"/>
      <c r="P145" s="201"/>
      <c r="Q145" s="201"/>
      <c r="R145" s="201"/>
      <c r="S145" s="183"/>
      <c r="T145" s="10"/>
      <c r="U145" s="10"/>
      <c r="V145" s="10"/>
      <c r="W145" s="10"/>
      <c r="X145" s="10"/>
      <c r="Y145" s="10"/>
      <c r="Z145" s="10"/>
      <c r="AA145" s="10"/>
      <c r="AB145" s="10"/>
      <c r="AC145" s="10"/>
      <c r="AD145" s="10"/>
      <c r="AE145" s="10"/>
      <c r="AF145" s="10"/>
      <c r="AG145" s="10"/>
      <c r="AH145" s="10"/>
      <c r="AI145" s="10"/>
      <c r="AJ145" s="10"/>
      <c r="AK145" s="10"/>
      <c r="AL145" s="201"/>
      <c r="AM145" s="201"/>
      <c r="AN145" s="201"/>
      <c r="AO145" s="201"/>
      <c r="AP145" s="10"/>
      <c r="AQ145" s="10"/>
      <c r="AR145" s="10"/>
      <c r="AS145" s="10"/>
      <c r="AT145" s="10"/>
      <c r="AU145" s="10"/>
      <c r="AV145" s="10"/>
      <c r="AW145" s="10"/>
      <c r="AX145" s="10"/>
      <c r="AY145" s="10"/>
      <c r="AZ145" s="10"/>
      <c r="BA145" s="10"/>
      <c r="BB145" s="10"/>
      <c r="BC145" s="10"/>
    </row>
    <row r="146" s="195" customFormat="true" ht="10.5" hidden="false" customHeight="true" outlineLevel="0" collapsed="false">
      <c r="A146" s="202"/>
      <c r="B146" s="203" t="s">
        <v>286</v>
      </c>
      <c r="C146" s="203"/>
      <c r="D146" s="203"/>
      <c r="E146" s="204" t="n">
        <f aca="false">J144*P144</f>
        <v>0</v>
      </c>
      <c r="F146" s="204"/>
      <c r="G146" s="204"/>
      <c r="H146" s="205" t="s">
        <v>287</v>
      </c>
      <c r="I146" s="205"/>
      <c r="J146" s="204" t="str">
        <f aca="false">IFERROR(J143*P143, "-")</f>
        <v>-</v>
      </c>
      <c r="K146" s="204"/>
      <c r="L146" s="204"/>
      <c r="M146" s="206" t="s">
        <v>288</v>
      </c>
      <c r="N146" s="206"/>
      <c r="O146" s="206"/>
      <c r="P146" s="207" t="str">
        <f aca="false">IFERROR(E146-J146,"-")</f>
        <v>-</v>
      </c>
      <c r="Q146" s="207"/>
      <c r="R146" s="207"/>
      <c r="S146" s="183"/>
      <c r="T146" s="208"/>
      <c r="U146" s="208"/>
      <c r="V146" s="208"/>
      <c r="W146" s="203" t="s">
        <v>286</v>
      </c>
      <c r="X146" s="203"/>
      <c r="Y146" s="203"/>
      <c r="Z146" s="204" t="n">
        <f aca="false">AE144*AL144</f>
        <v>0</v>
      </c>
      <c r="AA146" s="204"/>
      <c r="AB146" s="204"/>
      <c r="AC146" s="205" t="s">
        <v>287</v>
      </c>
      <c r="AD146" s="205"/>
      <c r="AE146" s="204" t="str">
        <f aca="false">IFERROR(AE143*AL143, "-")</f>
        <v>-</v>
      </c>
      <c r="AF146" s="204"/>
      <c r="AG146" s="204"/>
      <c r="AH146" s="206" t="s">
        <v>288</v>
      </c>
      <c r="AI146" s="206"/>
      <c r="AJ146" s="206"/>
      <c r="AK146" s="206"/>
      <c r="AL146" s="207" t="str">
        <f aca="false">IFERROR(Z146-AE146, "-")</f>
        <v>-</v>
      </c>
      <c r="AM146" s="207"/>
      <c r="AN146" s="207"/>
      <c r="AO146" s="207"/>
      <c r="AP146" s="10"/>
      <c r="AQ146" s="10"/>
      <c r="AR146" s="10"/>
      <c r="AS146" s="10"/>
      <c r="AT146" s="10"/>
      <c r="AU146" s="10"/>
      <c r="AV146" s="10"/>
      <c r="AW146" s="10"/>
      <c r="AX146" s="10"/>
      <c r="AY146" s="10"/>
      <c r="AZ146" s="10"/>
      <c r="BA146" s="10"/>
      <c r="BB146" s="10"/>
      <c r="BC146" s="10"/>
    </row>
    <row r="147" customFormat="false" ht="10.5" hidden="false" customHeight="true" outlineLevel="0" collapsed="false">
      <c r="A147" s="45"/>
      <c r="B147" s="130"/>
      <c r="C147" s="130"/>
      <c r="D147" s="130"/>
      <c r="E147" s="209"/>
      <c r="F147" s="209"/>
      <c r="G147" s="209"/>
      <c r="H147" s="130"/>
      <c r="I147" s="130"/>
      <c r="J147" s="209"/>
      <c r="K147" s="209"/>
      <c r="L147" s="209"/>
      <c r="M147" s="130"/>
      <c r="N147" s="130"/>
      <c r="O147" s="130"/>
      <c r="P147" s="209"/>
      <c r="Q147" s="208"/>
      <c r="R147" s="208"/>
      <c r="S147" s="208"/>
      <c r="T147" s="46"/>
      <c r="U147" s="46"/>
      <c r="V147" s="130"/>
      <c r="W147" s="130"/>
      <c r="X147" s="130"/>
      <c r="Y147" s="209"/>
      <c r="Z147" s="209"/>
      <c r="AA147" s="209"/>
      <c r="AB147" s="130"/>
      <c r="AC147" s="130"/>
      <c r="AD147" s="209"/>
      <c r="AE147" s="209"/>
      <c r="AF147" s="209"/>
      <c r="AG147" s="130"/>
      <c r="AH147" s="130"/>
      <c r="AI147" s="130"/>
      <c r="AJ147" s="209"/>
      <c r="AK147" s="208"/>
      <c r="AL147" s="208"/>
      <c r="AM147" s="208"/>
      <c r="AN147" s="208"/>
      <c r="AO147" s="210"/>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c r="IY147" s="1"/>
      <c r="IZ147" s="1"/>
      <c r="JA147" s="1"/>
      <c r="JB147" s="1"/>
      <c r="JC147" s="1"/>
      <c r="JD147" s="1"/>
      <c r="JE147" s="1"/>
      <c r="JF147" s="1"/>
      <c r="JG147" s="1"/>
      <c r="JH147" s="1"/>
      <c r="JI147" s="1"/>
      <c r="JJ147" s="1"/>
      <c r="JK147" s="1"/>
      <c r="JL147" s="1"/>
      <c r="JM147" s="1"/>
      <c r="JN147" s="1"/>
      <c r="JO147" s="1"/>
      <c r="JP147" s="1"/>
      <c r="JQ147" s="1"/>
      <c r="JR147" s="1"/>
      <c r="JS147" s="1"/>
      <c r="JT147" s="1"/>
      <c r="JU147" s="1"/>
      <c r="JV147" s="1"/>
      <c r="JW147" s="1"/>
      <c r="JX147" s="1"/>
      <c r="JY147" s="1"/>
      <c r="JZ147" s="1"/>
      <c r="KA147" s="1"/>
      <c r="KB147" s="1"/>
      <c r="KC147" s="1"/>
      <c r="KD147" s="1"/>
      <c r="KE147" s="1"/>
      <c r="KF147" s="1"/>
      <c r="KG147" s="1"/>
      <c r="KH147" s="1"/>
      <c r="KI147" s="1"/>
      <c r="KJ147" s="1"/>
      <c r="KK147" s="1"/>
      <c r="KL147" s="1"/>
      <c r="KM147" s="1"/>
      <c r="KN147" s="1"/>
      <c r="KO147" s="1"/>
      <c r="KP147" s="1"/>
      <c r="KQ147" s="1"/>
      <c r="KR147" s="1"/>
      <c r="KS147" s="1"/>
      <c r="KT147" s="1"/>
      <c r="KU147" s="1"/>
      <c r="KV147" s="1"/>
      <c r="KW147" s="1"/>
      <c r="KX147" s="1"/>
      <c r="KY147" s="1"/>
      <c r="KZ147" s="1"/>
      <c r="LA147" s="1"/>
      <c r="LB147" s="1"/>
      <c r="LC147" s="1"/>
      <c r="LD147" s="1"/>
      <c r="LE147" s="1"/>
      <c r="LF147" s="1"/>
      <c r="LG147" s="1"/>
      <c r="LH147" s="1"/>
      <c r="LI147" s="1"/>
      <c r="LJ147" s="1"/>
      <c r="LK147" s="1"/>
      <c r="LL147" s="1"/>
      <c r="LM147" s="1"/>
      <c r="LN147" s="1"/>
      <c r="LO147" s="1"/>
      <c r="LP147" s="1"/>
      <c r="LQ147" s="1"/>
      <c r="LR147" s="1"/>
      <c r="LS147" s="1"/>
      <c r="LT147" s="1"/>
      <c r="LU147" s="1"/>
      <c r="LV147" s="1"/>
      <c r="LW147" s="1"/>
      <c r="LX147" s="1"/>
      <c r="LY147" s="1"/>
      <c r="LZ147" s="1"/>
      <c r="MA147" s="1"/>
      <c r="MB147" s="1"/>
      <c r="MC147" s="1"/>
      <c r="MD147" s="1"/>
      <c r="ME147" s="1"/>
      <c r="MF147" s="1"/>
      <c r="MG147" s="1"/>
      <c r="MH147" s="1"/>
      <c r="MI147" s="1"/>
      <c r="MJ147" s="1"/>
      <c r="MK147" s="1"/>
      <c r="ML147" s="1"/>
      <c r="MM147" s="1"/>
      <c r="MN147" s="1"/>
      <c r="MO147" s="1"/>
      <c r="MP147" s="1"/>
      <c r="MQ147" s="1"/>
      <c r="MR147" s="1"/>
      <c r="MS147" s="1"/>
      <c r="MT147" s="1"/>
      <c r="MU147" s="1"/>
      <c r="MV147" s="1"/>
      <c r="MW147" s="1"/>
      <c r="MX147" s="1"/>
      <c r="MY147" s="1"/>
      <c r="MZ147" s="1"/>
      <c r="NA147" s="1"/>
      <c r="NB147" s="1"/>
      <c r="NC147" s="1"/>
      <c r="ND147" s="1"/>
      <c r="NE147" s="1"/>
      <c r="NF147" s="1"/>
      <c r="NG147" s="1"/>
      <c r="NH147" s="1"/>
      <c r="NI147" s="1"/>
      <c r="NJ147" s="1"/>
      <c r="NK147" s="1"/>
      <c r="NL147" s="1"/>
      <c r="NM147" s="1"/>
      <c r="NN147" s="1"/>
      <c r="NO147" s="1"/>
      <c r="NP147" s="1"/>
      <c r="NQ147" s="1"/>
      <c r="NR147" s="1"/>
      <c r="NS147" s="1"/>
      <c r="NT147" s="1"/>
      <c r="NU147" s="1"/>
      <c r="NV147" s="1"/>
      <c r="NW147" s="1"/>
      <c r="NX147" s="1"/>
      <c r="NY147" s="1"/>
      <c r="NZ147" s="1"/>
      <c r="OA147" s="1"/>
      <c r="OB147" s="1"/>
      <c r="OC147" s="1"/>
      <c r="OD147" s="1"/>
      <c r="OE147" s="1"/>
      <c r="OF147" s="1"/>
      <c r="OG147" s="1"/>
      <c r="OH147" s="1"/>
      <c r="OI147" s="1"/>
      <c r="OJ147" s="1"/>
      <c r="OK147" s="1"/>
      <c r="OL147" s="1"/>
      <c r="OM147" s="1"/>
      <c r="ON147" s="1"/>
      <c r="OO147" s="1"/>
      <c r="OP147" s="1"/>
      <c r="OQ147" s="1"/>
      <c r="OR147" s="1"/>
      <c r="OS147" s="1"/>
      <c r="OT147" s="1"/>
      <c r="OU147" s="1"/>
      <c r="OV147" s="1"/>
      <c r="OW147" s="1"/>
      <c r="OX147" s="1"/>
      <c r="OY147" s="1"/>
      <c r="OZ147" s="1"/>
      <c r="PA147" s="1"/>
      <c r="PB147" s="1"/>
      <c r="PC147" s="1"/>
      <c r="PD147" s="1"/>
      <c r="PE147" s="1"/>
      <c r="PF147" s="1"/>
      <c r="PG147" s="1"/>
      <c r="PH147" s="1"/>
      <c r="PI147" s="1"/>
      <c r="PJ147" s="1"/>
      <c r="PK147" s="1"/>
      <c r="PL147" s="1"/>
      <c r="PM147" s="1"/>
      <c r="PN147" s="1"/>
      <c r="PO147" s="1"/>
      <c r="PP147" s="1"/>
      <c r="PQ147" s="1"/>
      <c r="PR147" s="1"/>
      <c r="PS147" s="1"/>
      <c r="PT147" s="1"/>
      <c r="PU147" s="1"/>
      <c r="PV147" s="1"/>
      <c r="PW147" s="1"/>
      <c r="PX147" s="1"/>
      <c r="PY147" s="1"/>
      <c r="PZ147" s="1"/>
      <c r="QA147" s="1"/>
      <c r="QB147" s="1"/>
      <c r="QC147" s="1"/>
      <c r="QD147" s="1"/>
      <c r="QE147" s="1"/>
      <c r="QF147" s="1"/>
      <c r="QG147" s="1"/>
      <c r="QH147" s="1"/>
      <c r="QI147" s="1"/>
      <c r="QJ147" s="1"/>
      <c r="QK147" s="1"/>
      <c r="QL147" s="1"/>
      <c r="QM147" s="1"/>
      <c r="QN147" s="1"/>
      <c r="QO147" s="1"/>
      <c r="QP147" s="1"/>
      <c r="QQ147" s="1"/>
      <c r="QR147" s="1"/>
      <c r="QS147" s="1"/>
      <c r="QT147" s="1"/>
      <c r="QU147" s="1"/>
      <c r="QV147" s="1"/>
      <c r="QW147" s="1"/>
      <c r="QX147" s="1"/>
      <c r="QY147" s="1"/>
      <c r="QZ147" s="1"/>
      <c r="RA147" s="1"/>
      <c r="RB147" s="1"/>
      <c r="RC147" s="1"/>
      <c r="RD147" s="1"/>
      <c r="RE147" s="1"/>
      <c r="RF147" s="1"/>
      <c r="RG147" s="1"/>
      <c r="RH147" s="1"/>
      <c r="RI147" s="1"/>
      <c r="RJ147" s="1"/>
      <c r="RK147" s="1"/>
      <c r="RL147" s="1"/>
      <c r="RM147" s="1"/>
      <c r="RN147" s="1"/>
      <c r="RO147" s="1"/>
      <c r="RP147" s="1"/>
      <c r="RQ147" s="1"/>
      <c r="RR147" s="1"/>
      <c r="RS147" s="1"/>
      <c r="RT147" s="1"/>
      <c r="RU147" s="1"/>
      <c r="RV147" s="1"/>
      <c r="RW147" s="1"/>
      <c r="RX147" s="1"/>
      <c r="RY147" s="1"/>
      <c r="RZ147" s="1"/>
      <c r="SA147" s="1"/>
      <c r="SB147" s="1"/>
      <c r="SC147" s="1"/>
      <c r="SD147" s="1"/>
      <c r="SE147" s="1"/>
      <c r="SF147" s="1"/>
      <c r="SG147" s="1"/>
      <c r="SH147" s="1"/>
      <c r="SI147" s="1"/>
      <c r="SJ147" s="1"/>
      <c r="SK147" s="1"/>
      <c r="SL147" s="1"/>
      <c r="SM147" s="1"/>
      <c r="SN147" s="1"/>
      <c r="SO147" s="1"/>
      <c r="SP147" s="1"/>
      <c r="SQ147" s="1"/>
      <c r="SR147" s="1"/>
      <c r="SS147" s="1"/>
      <c r="ST147" s="1"/>
      <c r="SU147" s="1"/>
      <c r="SV147" s="1"/>
      <c r="SW147" s="1"/>
      <c r="SX147" s="1"/>
      <c r="SY147" s="1"/>
      <c r="SZ147" s="1"/>
      <c r="TA147" s="1"/>
      <c r="TB147" s="1"/>
      <c r="TC147" s="1"/>
      <c r="TD147" s="1"/>
      <c r="TE147" s="1"/>
      <c r="TF147" s="1"/>
      <c r="TG147" s="1"/>
      <c r="TH147" s="1"/>
      <c r="TI147" s="1"/>
      <c r="TJ147" s="1"/>
      <c r="TK147" s="1"/>
      <c r="TL147" s="1"/>
      <c r="TM147" s="1"/>
      <c r="TN147" s="1"/>
      <c r="TO147" s="1"/>
      <c r="TP147" s="1"/>
      <c r="TQ147" s="1"/>
      <c r="TR147" s="1"/>
      <c r="TS147" s="1"/>
      <c r="TT147" s="1"/>
      <c r="TU147" s="1"/>
      <c r="TV147" s="1"/>
      <c r="TW147" s="1"/>
      <c r="TX147" s="1"/>
      <c r="TY147" s="1"/>
      <c r="TZ147" s="1"/>
      <c r="UA147" s="1"/>
      <c r="UB147" s="1"/>
      <c r="UC147" s="1"/>
      <c r="UD147" s="1"/>
      <c r="UE147" s="1"/>
      <c r="UF147" s="1"/>
      <c r="UG147" s="1"/>
      <c r="UH147" s="1"/>
      <c r="UI147" s="1"/>
      <c r="UJ147" s="1"/>
      <c r="UK147" s="1"/>
      <c r="UL147" s="1"/>
      <c r="UM147" s="1"/>
      <c r="UN147" s="1"/>
      <c r="UO147" s="1"/>
      <c r="UP147" s="1"/>
      <c r="UQ147" s="1"/>
      <c r="UR147" s="1"/>
      <c r="US147" s="1"/>
      <c r="UT147" s="1"/>
      <c r="UU147" s="1"/>
      <c r="UV147" s="1"/>
      <c r="UW147" s="1"/>
      <c r="UX147" s="1"/>
      <c r="UY147" s="1"/>
      <c r="UZ147" s="1"/>
      <c r="VA147" s="1"/>
      <c r="VB147" s="1"/>
      <c r="VC147" s="1"/>
      <c r="VD147" s="1"/>
      <c r="VE147" s="1"/>
      <c r="VF147" s="1"/>
      <c r="VG147" s="1"/>
      <c r="VH147" s="1"/>
      <c r="VI147" s="1"/>
      <c r="VJ147" s="1"/>
      <c r="VK147" s="1"/>
      <c r="VL147" s="1"/>
      <c r="VM147" s="1"/>
      <c r="VN147" s="1"/>
      <c r="VO147" s="1"/>
      <c r="VP147" s="1"/>
      <c r="VQ147" s="1"/>
      <c r="VR147" s="1"/>
      <c r="VS147" s="1"/>
      <c r="VT147" s="1"/>
      <c r="VU147" s="1"/>
      <c r="VV147" s="1"/>
      <c r="VW147" s="1"/>
      <c r="VX147" s="1"/>
      <c r="VY147" s="1"/>
      <c r="VZ147" s="1"/>
      <c r="WA147" s="1"/>
      <c r="WB147" s="1"/>
      <c r="WC147" s="1"/>
      <c r="WD147" s="1"/>
      <c r="WE147" s="1"/>
      <c r="WF147" s="1"/>
      <c r="WG147" s="1"/>
      <c r="WH147" s="1"/>
      <c r="WI147" s="1"/>
      <c r="WJ147" s="1"/>
      <c r="WK147" s="1"/>
      <c r="WL147" s="1"/>
      <c r="WM147" s="1"/>
      <c r="WN147" s="1"/>
      <c r="WO147" s="1"/>
      <c r="WP147" s="1"/>
      <c r="WQ147" s="1"/>
      <c r="WR147" s="1"/>
      <c r="WS147" s="1"/>
      <c r="WT147" s="1"/>
      <c r="WU147" s="1"/>
      <c r="WV147" s="1"/>
      <c r="WW147" s="1"/>
      <c r="WX147" s="1"/>
      <c r="WY147" s="1"/>
      <c r="WZ147" s="1"/>
      <c r="XA147" s="1"/>
      <c r="XB147" s="1"/>
      <c r="XC147" s="1"/>
      <c r="XD147" s="1"/>
      <c r="XE147" s="1"/>
      <c r="XF147" s="1"/>
      <c r="XG147" s="1"/>
      <c r="XH147" s="1"/>
      <c r="XI147" s="1"/>
      <c r="XJ147" s="1"/>
      <c r="XK147" s="1"/>
      <c r="XL147" s="1"/>
      <c r="XM147" s="1"/>
      <c r="XN147" s="1"/>
      <c r="XO147" s="1"/>
      <c r="XP147" s="1"/>
      <c r="XQ147" s="1"/>
      <c r="XR147" s="1"/>
      <c r="XS147" s="1"/>
      <c r="XT147" s="1"/>
      <c r="XU147" s="1"/>
      <c r="XV147" s="1"/>
      <c r="XW147" s="1"/>
      <c r="XX147" s="1"/>
      <c r="XY147" s="1"/>
      <c r="XZ147" s="1"/>
      <c r="YA147" s="1"/>
      <c r="YB147" s="1"/>
      <c r="YC147" s="1"/>
      <c r="YD147" s="1"/>
      <c r="YE147" s="1"/>
      <c r="YF147" s="1"/>
      <c r="YG147" s="1"/>
      <c r="YH147" s="1"/>
      <c r="YI147" s="1"/>
      <c r="YJ147" s="1"/>
      <c r="YK147" s="1"/>
      <c r="YL147" s="1"/>
      <c r="YM147" s="1"/>
      <c r="YN147" s="1"/>
      <c r="YO147" s="1"/>
      <c r="YP147" s="1"/>
      <c r="YQ147" s="1"/>
      <c r="YR147" s="1"/>
      <c r="YS147" s="1"/>
      <c r="YT147" s="1"/>
      <c r="YU147" s="1"/>
      <c r="YV147" s="1"/>
      <c r="YW147" s="1"/>
      <c r="YX147" s="1"/>
      <c r="YY147" s="1"/>
      <c r="YZ147" s="1"/>
      <c r="ZA147" s="1"/>
      <c r="ZB147" s="1"/>
      <c r="ZC147" s="1"/>
      <c r="ZD147" s="1"/>
      <c r="ZE147" s="1"/>
      <c r="ZF147" s="1"/>
      <c r="ZG147" s="1"/>
      <c r="ZH147" s="1"/>
      <c r="ZI147" s="1"/>
      <c r="ZJ147" s="1"/>
      <c r="ZK147" s="1"/>
      <c r="ZL147" s="1"/>
      <c r="ZM147" s="1"/>
      <c r="ZN147" s="1"/>
      <c r="ZO147" s="1"/>
      <c r="ZP147" s="1"/>
      <c r="ZQ147" s="1"/>
      <c r="ZR147" s="1"/>
      <c r="ZS147" s="1"/>
      <c r="ZT147" s="1"/>
      <c r="ZU147" s="1"/>
      <c r="ZV147" s="1"/>
      <c r="ZW147" s="1"/>
      <c r="ZX147" s="1"/>
      <c r="ZY147" s="1"/>
      <c r="ZZ147" s="1"/>
      <c r="AAA147" s="1"/>
      <c r="AAB147" s="1"/>
      <c r="AAC147" s="1"/>
      <c r="AAD147" s="1"/>
      <c r="AAE147" s="1"/>
      <c r="AAF147" s="1"/>
      <c r="AAG147" s="1"/>
      <c r="AAH147" s="1"/>
      <c r="AAI147" s="1"/>
      <c r="AAJ147" s="1"/>
      <c r="AAK147" s="1"/>
      <c r="AAL147" s="1"/>
      <c r="AAM147" s="1"/>
      <c r="AAN147" s="1"/>
      <c r="AAO147" s="1"/>
      <c r="AAP147" s="1"/>
      <c r="AAQ147" s="1"/>
      <c r="AAR147" s="1"/>
      <c r="AAS147" s="1"/>
      <c r="AAT147" s="1"/>
      <c r="AAU147" s="1"/>
      <c r="AAV147" s="1"/>
      <c r="AAW147" s="1"/>
      <c r="AAX147" s="1"/>
      <c r="AAY147" s="1"/>
      <c r="AAZ147" s="1"/>
      <c r="ABA147" s="1"/>
      <c r="ABB147" s="1"/>
      <c r="ABC147" s="1"/>
      <c r="ABD147" s="1"/>
      <c r="ABE147" s="1"/>
      <c r="ABF147" s="1"/>
      <c r="ABG147" s="1"/>
      <c r="ABH147" s="1"/>
      <c r="ABI147" s="1"/>
      <c r="ABJ147" s="1"/>
      <c r="ABK147" s="1"/>
      <c r="ABL147" s="1"/>
      <c r="ABM147" s="1"/>
      <c r="ABN147" s="1"/>
      <c r="ABO147" s="1"/>
      <c r="ABP147" s="1"/>
      <c r="ABQ147" s="1"/>
      <c r="ABR147" s="1"/>
      <c r="ABS147" s="1"/>
      <c r="ABT147" s="1"/>
      <c r="ABU147" s="1"/>
      <c r="ABV147" s="1"/>
      <c r="ABW147" s="1"/>
      <c r="ABX147" s="1"/>
      <c r="ABY147" s="1"/>
      <c r="ABZ147" s="1"/>
      <c r="ACA147" s="1"/>
      <c r="ACB147" s="1"/>
      <c r="ACC147" s="1"/>
      <c r="ACD147" s="1"/>
      <c r="ACE147" s="1"/>
      <c r="ACF147" s="1"/>
      <c r="ACG147" s="1"/>
      <c r="ACH147" s="1"/>
      <c r="ACI147" s="1"/>
      <c r="ACJ147" s="1"/>
      <c r="ACK147" s="1"/>
      <c r="ACL147" s="1"/>
      <c r="ACM147" s="1"/>
      <c r="ACN147" s="1"/>
      <c r="ACO147" s="1"/>
      <c r="ACP147" s="1"/>
      <c r="ACQ147" s="1"/>
      <c r="ACR147" s="1"/>
      <c r="ACS147" s="1"/>
      <c r="ACT147" s="1"/>
      <c r="ACU147" s="1"/>
      <c r="ACV147" s="1"/>
      <c r="ACW147" s="1"/>
      <c r="ACX147" s="1"/>
      <c r="ACY147" s="1"/>
      <c r="ACZ147" s="1"/>
      <c r="ADA147" s="1"/>
      <c r="ADB147" s="1"/>
      <c r="ADC147" s="1"/>
      <c r="ADD147" s="1"/>
      <c r="ADE147" s="1"/>
      <c r="ADF147" s="1"/>
      <c r="ADG147" s="1"/>
      <c r="ADH147" s="1"/>
      <c r="ADI147" s="1"/>
      <c r="ADJ147" s="1"/>
      <c r="ADK147" s="1"/>
      <c r="ADL147" s="1"/>
      <c r="ADM147" s="1"/>
      <c r="ADN147" s="1"/>
      <c r="ADO147" s="1"/>
      <c r="ADP147" s="1"/>
      <c r="ADQ147" s="1"/>
      <c r="ADR147" s="1"/>
      <c r="ADS147" s="1"/>
      <c r="ADT147" s="1"/>
      <c r="ADU147" s="1"/>
      <c r="ADV147" s="1"/>
      <c r="ADW147" s="1"/>
      <c r="ADX147" s="1"/>
      <c r="ADY147" s="1"/>
      <c r="ADZ147" s="1"/>
      <c r="AEA147" s="1"/>
      <c r="AEB147" s="1"/>
      <c r="AEC147" s="1"/>
      <c r="AED147" s="1"/>
      <c r="AEE147" s="1"/>
      <c r="AEF147" s="1"/>
      <c r="AEG147" s="1"/>
      <c r="AEH147" s="1"/>
      <c r="AEI147" s="1"/>
      <c r="AEJ147" s="1"/>
      <c r="AEK147" s="1"/>
      <c r="AEL147" s="1"/>
      <c r="AEM147" s="1"/>
      <c r="AEN147" s="1"/>
      <c r="AEO147" s="1"/>
      <c r="AEP147" s="1"/>
      <c r="AEQ147" s="1"/>
      <c r="AER147" s="1"/>
      <c r="AES147" s="1"/>
      <c r="AET147" s="1"/>
      <c r="AEU147" s="1"/>
      <c r="AEV147" s="1"/>
      <c r="AEW147" s="1"/>
      <c r="AEX147" s="1"/>
      <c r="AEY147" s="1"/>
      <c r="AEZ147" s="1"/>
      <c r="AFA147" s="1"/>
      <c r="AFB147" s="1"/>
      <c r="AFC147" s="1"/>
      <c r="AFD147" s="1"/>
      <c r="AFE147" s="1"/>
      <c r="AFF147" s="1"/>
      <c r="AFG147" s="1"/>
      <c r="AFH147" s="1"/>
      <c r="AFI147" s="1"/>
      <c r="AFJ147" s="1"/>
      <c r="AFK147" s="1"/>
      <c r="AFL147" s="1"/>
      <c r="AFM147" s="1"/>
      <c r="AFN147" s="1"/>
      <c r="AFO147" s="1"/>
      <c r="AFP147" s="1"/>
      <c r="AFQ147" s="1"/>
      <c r="AFR147" s="1"/>
      <c r="AFS147" s="1"/>
      <c r="AFT147" s="1"/>
      <c r="AFU147" s="1"/>
      <c r="AFV147" s="1"/>
      <c r="AFW147" s="1"/>
      <c r="AFX147" s="1"/>
      <c r="AFY147" s="1"/>
      <c r="AFZ147" s="1"/>
      <c r="AGA147" s="1"/>
      <c r="AGB147" s="1"/>
      <c r="AGC147" s="1"/>
      <c r="AGD147" s="1"/>
      <c r="AGE147" s="1"/>
      <c r="AGF147" s="1"/>
      <c r="AGG147" s="1"/>
      <c r="AGH147" s="1"/>
      <c r="AGI147" s="1"/>
      <c r="AGJ147" s="1"/>
      <c r="AGK147" s="1"/>
      <c r="AGL147" s="1"/>
      <c r="AGM147" s="1"/>
      <c r="AGN147" s="1"/>
      <c r="AGO147" s="1"/>
      <c r="AGP147" s="1"/>
      <c r="AGQ147" s="1"/>
      <c r="AGR147" s="1"/>
      <c r="AGS147" s="1"/>
      <c r="AGT147" s="1"/>
      <c r="AGU147" s="1"/>
      <c r="AGV147" s="1"/>
      <c r="AGW147" s="1"/>
      <c r="AGX147" s="1"/>
      <c r="AGY147" s="1"/>
      <c r="AGZ147" s="1"/>
      <c r="AHA147" s="1"/>
      <c r="AHB147" s="1"/>
      <c r="AHC147" s="1"/>
      <c r="AHD147" s="1"/>
      <c r="AHE147" s="1"/>
      <c r="AHF147" s="1"/>
      <c r="AHG147" s="1"/>
      <c r="AHH147" s="1"/>
      <c r="AHI147" s="1"/>
      <c r="AHJ147" s="1"/>
      <c r="AHK147" s="1"/>
      <c r="AHL147" s="1"/>
      <c r="AHM147" s="1"/>
      <c r="AHN147" s="1"/>
      <c r="AHO147" s="1"/>
      <c r="AHP147" s="1"/>
      <c r="AHQ147" s="1"/>
      <c r="AHR147" s="1"/>
      <c r="AHS147" s="1"/>
      <c r="AHT147" s="1"/>
      <c r="AHU147" s="1"/>
      <c r="AHV147" s="1"/>
      <c r="AHW147" s="1"/>
      <c r="AHX147" s="1"/>
      <c r="AHY147" s="1"/>
      <c r="AHZ147" s="1"/>
      <c r="AIA147" s="1"/>
      <c r="AIB147" s="1"/>
      <c r="AIC147" s="1"/>
      <c r="AID147" s="1"/>
      <c r="AIE147" s="1"/>
      <c r="AIF147" s="1"/>
      <c r="AIG147" s="1"/>
      <c r="AIH147" s="1"/>
      <c r="AII147" s="1"/>
      <c r="AIJ147" s="1"/>
      <c r="AIK147" s="1"/>
      <c r="AIL147" s="1"/>
      <c r="AIM147" s="1"/>
      <c r="AIN147" s="1"/>
      <c r="AIO147" s="1"/>
      <c r="AIP147" s="1"/>
      <c r="AIQ147" s="1"/>
      <c r="AIR147" s="1"/>
      <c r="AIS147" s="1"/>
      <c r="AIT147" s="1"/>
      <c r="AIU147" s="1"/>
      <c r="AIV147" s="1"/>
      <c r="AIW147" s="1"/>
      <c r="AIX147" s="1"/>
      <c r="AIY147" s="1"/>
      <c r="AIZ147" s="1"/>
      <c r="AJA147" s="1"/>
      <c r="AJB147" s="1"/>
      <c r="AJC147" s="1"/>
      <c r="AJD147" s="1"/>
      <c r="AJE147" s="1"/>
      <c r="AJF147" s="1"/>
      <c r="AJG147" s="1"/>
      <c r="AJH147" s="1"/>
      <c r="AJI147" s="1"/>
      <c r="AJJ147" s="1"/>
      <c r="AJK147" s="1"/>
      <c r="AJL147" s="1"/>
      <c r="AJM147" s="1"/>
      <c r="AJN147" s="1"/>
      <c r="AJO147" s="1"/>
      <c r="AJP147" s="1"/>
      <c r="AJQ147" s="1"/>
      <c r="AJR147" s="1"/>
      <c r="AJS147" s="1"/>
      <c r="AJT147" s="1"/>
      <c r="AJU147" s="1"/>
      <c r="AJV147" s="1"/>
      <c r="AJW147" s="1"/>
      <c r="AJX147" s="1"/>
      <c r="AJY147" s="1"/>
      <c r="AJZ147" s="1"/>
      <c r="AKA147" s="1"/>
      <c r="AKB147" s="1"/>
      <c r="AKC147" s="1"/>
      <c r="AKD147" s="1"/>
      <c r="AKE147" s="1"/>
      <c r="AKF147" s="1"/>
      <c r="AKG147" s="1"/>
      <c r="AKH147" s="1"/>
      <c r="AKI147" s="1"/>
      <c r="AKJ147" s="1"/>
      <c r="AKK147" s="1"/>
      <c r="AKL147" s="1"/>
      <c r="AKM147" s="1"/>
      <c r="AKN147" s="1"/>
      <c r="AKO147" s="1"/>
      <c r="AKP147" s="1"/>
      <c r="AKQ147" s="1"/>
      <c r="AKR147" s="1"/>
      <c r="AKS147" s="1"/>
      <c r="AKT147" s="1"/>
      <c r="AKU147" s="1"/>
      <c r="AKV147" s="1"/>
      <c r="AKW147" s="1"/>
      <c r="AKX147" s="1"/>
      <c r="AKY147" s="1"/>
      <c r="AKZ147" s="1"/>
      <c r="ALA147" s="1"/>
      <c r="ALB147" s="1"/>
      <c r="ALC147" s="1"/>
      <c r="ALD147" s="1"/>
      <c r="ALE147" s="1"/>
      <c r="ALF147" s="1"/>
      <c r="ALG147" s="1"/>
      <c r="ALH147" s="1"/>
      <c r="ALI147" s="1"/>
      <c r="ALJ147" s="1"/>
      <c r="ALK147" s="1"/>
      <c r="ALL147" s="1"/>
      <c r="ALM147" s="1"/>
      <c r="ALN147" s="1"/>
      <c r="ALO147" s="1"/>
      <c r="ALP147" s="1"/>
      <c r="ALQ147" s="1"/>
      <c r="ALR147" s="1"/>
      <c r="ALS147" s="1"/>
      <c r="ALT147" s="1"/>
      <c r="ALU147" s="1"/>
      <c r="ALV147" s="1"/>
      <c r="ALW147" s="1"/>
      <c r="ALX147" s="1"/>
      <c r="ALY147" s="1"/>
      <c r="ALZ147" s="1"/>
      <c r="AMA147" s="1"/>
      <c r="AMB147" s="1"/>
      <c r="AMC147" s="1"/>
      <c r="AMD147" s="1"/>
      <c r="AME147" s="1"/>
      <c r="AMF147" s="1"/>
      <c r="AMG147" s="1"/>
      <c r="AMH147" s="1"/>
      <c r="AMI147" s="1"/>
      <c r="AMJ147" s="1"/>
    </row>
    <row r="148" customFormat="false" ht="12" hidden="false" customHeight="true" outlineLevel="0" collapsed="false">
      <c r="A148" s="48" t="s">
        <v>289</v>
      </c>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8"/>
      <c r="AN148" s="48"/>
      <c r="AO148" s="48"/>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c r="IY148" s="1"/>
      <c r="IZ148" s="1"/>
      <c r="JA148" s="1"/>
      <c r="JB148" s="1"/>
      <c r="JC148" s="1"/>
      <c r="JD148" s="1"/>
      <c r="JE148" s="1"/>
      <c r="JF148" s="1"/>
      <c r="JG148" s="1"/>
      <c r="JH148" s="1"/>
      <c r="JI148" s="1"/>
      <c r="JJ148" s="1"/>
      <c r="JK148" s="1"/>
      <c r="JL148" s="1"/>
      <c r="JM148" s="1"/>
      <c r="JN148" s="1"/>
      <c r="JO148" s="1"/>
      <c r="JP148" s="1"/>
      <c r="JQ148" s="1"/>
      <c r="JR148" s="1"/>
      <c r="JS148" s="1"/>
      <c r="JT148" s="1"/>
      <c r="JU148" s="1"/>
      <c r="JV148" s="1"/>
      <c r="JW148" s="1"/>
      <c r="JX148" s="1"/>
      <c r="JY148" s="1"/>
      <c r="JZ148" s="1"/>
      <c r="KA148" s="1"/>
      <c r="KB148" s="1"/>
      <c r="KC148" s="1"/>
      <c r="KD148" s="1"/>
      <c r="KE148" s="1"/>
      <c r="KF148" s="1"/>
      <c r="KG148" s="1"/>
      <c r="KH148" s="1"/>
      <c r="KI148" s="1"/>
      <c r="KJ148" s="1"/>
      <c r="KK148" s="1"/>
      <c r="KL148" s="1"/>
      <c r="KM148" s="1"/>
      <c r="KN148" s="1"/>
      <c r="KO148" s="1"/>
      <c r="KP148" s="1"/>
      <c r="KQ148" s="1"/>
      <c r="KR148" s="1"/>
      <c r="KS148" s="1"/>
      <c r="KT148" s="1"/>
      <c r="KU148" s="1"/>
      <c r="KV148" s="1"/>
      <c r="KW148" s="1"/>
      <c r="KX148" s="1"/>
      <c r="KY148" s="1"/>
      <c r="KZ148" s="1"/>
      <c r="LA148" s="1"/>
      <c r="LB148" s="1"/>
      <c r="LC148" s="1"/>
      <c r="LD148" s="1"/>
      <c r="LE148" s="1"/>
      <c r="LF148" s="1"/>
      <c r="LG148" s="1"/>
      <c r="LH148" s="1"/>
      <c r="LI148" s="1"/>
      <c r="LJ148" s="1"/>
      <c r="LK148" s="1"/>
      <c r="LL148" s="1"/>
      <c r="LM148" s="1"/>
      <c r="LN148" s="1"/>
      <c r="LO148" s="1"/>
      <c r="LP148" s="1"/>
      <c r="LQ148" s="1"/>
      <c r="LR148" s="1"/>
      <c r="LS148" s="1"/>
      <c r="LT148" s="1"/>
      <c r="LU148" s="1"/>
      <c r="LV148" s="1"/>
      <c r="LW148" s="1"/>
      <c r="LX148" s="1"/>
      <c r="LY148" s="1"/>
      <c r="LZ148" s="1"/>
      <c r="MA148" s="1"/>
      <c r="MB148" s="1"/>
      <c r="MC148" s="1"/>
      <c r="MD148" s="1"/>
      <c r="ME148" s="1"/>
      <c r="MF148" s="1"/>
      <c r="MG148" s="1"/>
      <c r="MH148" s="1"/>
      <c r="MI148" s="1"/>
      <c r="MJ148" s="1"/>
      <c r="MK148" s="1"/>
      <c r="ML148" s="1"/>
      <c r="MM148" s="1"/>
      <c r="MN148" s="1"/>
      <c r="MO148" s="1"/>
      <c r="MP148" s="1"/>
      <c r="MQ148" s="1"/>
      <c r="MR148" s="1"/>
      <c r="MS148" s="1"/>
      <c r="MT148" s="1"/>
      <c r="MU148" s="1"/>
      <c r="MV148" s="1"/>
      <c r="MW148" s="1"/>
      <c r="MX148" s="1"/>
      <c r="MY148" s="1"/>
      <c r="MZ148" s="1"/>
      <c r="NA148" s="1"/>
      <c r="NB148" s="1"/>
      <c r="NC148" s="1"/>
      <c r="ND148" s="1"/>
      <c r="NE148" s="1"/>
      <c r="NF148" s="1"/>
      <c r="NG148" s="1"/>
      <c r="NH148" s="1"/>
      <c r="NI148" s="1"/>
      <c r="NJ148" s="1"/>
      <c r="NK148" s="1"/>
      <c r="NL148" s="1"/>
      <c r="NM148" s="1"/>
      <c r="NN148" s="1"/>
      <c r="NO148" s="1"/>
      <c r="NP148" s="1"/>
      <c r="NQ148" s="1"/>
      <c r="NR148" s="1"/>
      <c r="NS148" s="1"/>
      <c r="NT148" s="1"/>
      <c r="NU148" s="1"/>
      <c r="NV148" s="1"/>
      <c r="NW148" s="1"/>
      <c r="NX148" s="1"/>
      <c r="NY148" s="1"/>
      <c r="NZ148" s="1"/>
      <c r="OA148" s="1"/>
      <c r="OB148" s="1"/>
      <c r="OC148" s="1"/>
      <c r="OD148" s="1"/>
      <c r="OE148" s="1"/>
      <c r="OF148" s="1"/>
      <c r="OG148" s="1"/>
      <c r="OH148" s="1"/>
      <c r="OI148" s="1"/>
      <c r="OJ148" s="1"/>
      <c r="OK148" s="1"/>
      <c r="OL148" s="1"/>
      <c r="OM148" s="1"/>
      <c r="ON148" s="1"/>
      <c r="OO148" s="1"/>
      <c r="OP148" s="1"/>
      <c r="OQ148" s="1"/>
      <c r="OR148" s="1"/>
      <c r="OS148" s="1"/>
      <c r="OT148" s="1"/>
      <c r="OU148" s="1"/>
      <c r="OV148" s="1"/>
      <c r="OW148" s="1"/>
      <c r="OX148" s="1"/>
      <c r="OY148" s="1"/>
      <c r="OZ148" s="1"/>
      <c r="PA148" s="1"/>
      <c r="PB148" s="1"/>
      <c r="PC148" s="1"/>
      <c r="PD148" s="1"/>
      <c r="PE148" s="1"/>
      <c r="PF148" s="1"/>
      <c r="PG148" s="1"/>
      <c r="PH148" s="1"/>
      <c r="PI148" s="1"/>
      <c r="PJ148" s="1"/>
      <c r="PK148" s="1"/>
      <c r="PL148" s="1"/>
      <c r="PM148" s="1"/>
      <c r="PN148" s="1"/>
      <c r="PO148" s="1"/>
      <c r="PP148" s="1"/>
      <c r="PQ148" s="1"/>
      <c r="PR148" s="1"/>
      <c r="PS148" s="1"/>
      <c r="PT148" s="1"/>
      <c r="PU148" s="1"/>
      <c r="PV148" s="1"/>
      <c r="PW148" s="1"/>
      <c r="PX148" s="1"/>
      <c r="PY148" s="1"/>
      <c r="PZ148" s="1"/>
      <c r="QA148" s="1"/>
      <c r="QB148" s="1"/>
      <c r="QC148" s="1"/>
      <c r="QD148" s="1"/>
      <c r="QE148" s="1"/>
      <c r="QF148" s="1"/>
      <c r="QG148" s="1"/>
      <c r="QH148" s="1"/>
      <c r="QI148" s="1"/>
      <c r="QJ148" s="1"/>
      <c r="QK148" s="1"/>
      <c r="QL148" s="1"/>
      <c r="QM148" s="1"/>
      <c r="QN148" s="1"/>
      <c r="QO148" s="1"/>
      <c r="QP148" s="1"/>
      <c r="QQ148" s="1"/>
      <c r="QR148" s="1"/>
      <c r="QS148" s="1"/>
      <c r="QT148" s="1"/>
      <c r="QU148" s="1"/>
      <c r="QV148" s="1"/>
      <c r="QW148" s="1"/>
      <c r="QX148" s="1"/>
      <c r="QY148" s="1"/>
      <c r="QZ148" s="1"/>
      <c r="RA148" s="1"/>
      <c r="RB148" s="1"/>
      <c r="RC148" s="1"/>
      <c r="RD148" s="1"/>
      <c r="RE148" s="1"/>
      <c r="RF148" s="1"/>
      <c r="RG148" s="1"/>
      <c r="RH148" s="1"/>
      <c r="RI148" s="1"/>
      <c r="RJ148" s="1"/>
      <c r="RK148" s="1"/>
      <c r="RL148" s="1"/>
      <c r="RM148" s="1"/>
      <c r="RN148" s="1"/>
      <c r="RO148" s="1"/>
      <c r="RP148" s="1"/>
      <c r="RQ148" s="1"/>
      <c r="RR148" s="1"/>
      <c r="RS148" s="1"/>
      <c r="RT148" s="1"/>
      <c r="RU148" s="1"/>
      <c r="RV148" s="1"/>
      <c r="RW148" s="1"/>
      <c r="RX148" s="1"/>
      <c r="RY148" s="1"/>
      <c r="RZ148" s="1"/>
      <c r="SA148" s="1"/>
      <c r="SB148" s="1"/>
      <c r="SC148" s="1"/>
      <c r="SD148" s="1"/>
      <c r="SE148" s="1"/>
      <c r="SF148" s="1"/>
      <c r="SG148" s="1"/>
      <c r="SH148" s="1"/>
      <c r="SI148" s="1"/>
      <c r="SJ148" s="1"/>
      <c r="SK148" s="1"/>
      <c r="SL148" s="1"/>
      <c r="SM148" s="1"/>
      <c r="SN148" s="1"/>
      <c r="SO148" s="1"/>
      <c r="SP148" s="1"/>
      <c r="SQ148" s="1"/>
      <c r="SR148" s="1"/>
      <c r="SS148" s="1"/>
      <c r="ST148" s="1"/>
      <c r="SU148" s="1"/>
      <c r="SV148" s="1"/>
      <c r="SW148" s="1"/>
      <c r="SX148" s="1"/>
      <c r="SY148" s="1"/>
      <c r="SZ148" s="1"/>
      <c r="TA148" s="1"/>
      <c r="TB148" s="1"/>
      <c r="TC148" s="1"/>
      <c r="TD148" s="1"/>
      <c r="TE148" s="1"/>
      <c r="TF148" s="1"/>
      <c r="TG148" s="1"/>
      <c r="TH148" s="1"/>
      <c r="TI148" s="1"/>
      <c r="TJ148" s="1"/>
      <c r="TK148" s="1"/>
      <c r="TL148" s="1"/>
      <c r="TM148" s="1"/>
      <c r="TN148" s="1"/>
      <c r="TO148" s="1"/>
      <c r="TP148" s="1"/>
      <c r="TQ148" s="1"/>
      <c r="TR148" s="1"/>
      <c r="TS148" s="1"/>
      <c r="TT148" s="1"/>
      <c r="TU148" s="1"/>
      <c r="TV148" s="1"/>
      <c r="TW148" s="1"/>
      <c r="TX148" s="1"/>
      <c r="TY148" s="1"/>
      <c r="TZ148" s="1"/>
      <c r="UA148" s="1"/>
      <c r="UB148" s="1"/>
      <c r="UC148" s="1"/>
      <c r="UD148" s="1"/>
      <c r="UE148" s="1"/>
      <c r="UF148" s="1"/>
      <c r="UG148" s="1"/>
      <c r="UH148" s="1"/>
      <c r="UI148" s="1"/>
      <c r="UJ148" s="1"/>
      <c r="UK148" s="1"/>
      <c r="UL148" s="1"/>
      <c r="UM148" s="1"/>
      <c r="UN148" s="1"/>
      <c r="UO148" s="1"/>
      <c r="UP148" s="1"/>
      <c r="UQ148" s="1"/>
      <c r="UR148" s="1"/>
      <c r="US148" s="1"/>
      <c r="UT148" s="1"/>
      <c r="UU148" s="1"/>
      <c r="UV148" s="1"/>
      <c r="UW148" s="1"/>
      <c r="UX148" s="1"/>
      <c r="UY148" s="1"/>
      <c r="UZ148" s="1"/>
      <c r="VA148" s="1"/>
      <c r="VB148" s="1"/>
      <c r="VC148" s="1"/>
      <c r="VD148" s="1"/>
      <c r="VE148" s="1"/>
      <c r="VF148" s="1"/>
      <c r="VG148" s="1"/>
      <c r="VH148" s="1"/>
      <c r="VI148" s="1"/>
      <c r="VJ148" s="1"/>
      <c r="VK148" s="1"/>
      <c r="VL148" s="1"/>
      <c r="VM148" s="1"/>
      <c r="VN148" s="1"/>
      <c r="VO148" s="1"/>
      <c r="VP148" s="1"/>
      <c r="VQ148" s="1"/>
      <c r="VR148" s="1"/>
      <c r="VS148" s="1"/>
      <c r="VT148" s="1"/>
      <c r="VU148" s="1"/>
      <c r="VV148" s="1"/>
      <c r="VW148" s="1"/>
      <c r="VX148" s="1"/>
      <c r="VY148" s="1"/>
      <c r="VZ148" s="1"/>
      <c r="WA148" s="1"/>
      <c r="WB148" s="1"/>
      <c r="WC148" s="1"/>
      <c r="WD148" s="1"/>
      <c r="WE148" s="1"/>
      <c r="WF148" s="1"/>
      <c r="WG148" s="1"/>
      <c r="WH148" s="1"/>
      <c r="WI148" s="1"/>
      <c r="WJ148" s="1"/>
      <c r="WK148" s="1"/>
      <c r="WL148" s="1"/>
      <c r="WM148" s="1"/>
      <c r="WN148" s="1"/>
      <c r="WO148" s="1"/>
      <c r="WP148" s="1"/>
      <c r="WQ148" s="1"/>
      <c r="WR148" s="1"/>
      <c r="WS148" s="1"/>
      <c r="WT148" s="1"/>
      <c r="WU148" s="1"/>
      <c r="WV148" s="1"/>
      <c r="WW148" s="1"/>
      <c r="WX148" s="1"/>
      <c r="WY148" s="1"/>
      <c r="WZ148" s="1"/>
      <c r="XA148" s="1"/>
      <c r="XB148" s="1"/>
      <c r="XC148" s="1"/>
      <c r="XD148" s="1"/>
      <c r="XE148" s="1"/>
      <c r="XF148" s="1"/>
      <c r="XG148" s="1"/>
      <c r="XH148" s="1"/>
      <c r="XI148" s="1"/>
      <c r="XJ148" s="1"/>
      <c r="XK148" s="1"/>
      <c r="XL148" s="1"/>
      <c r="XM148" s="1"/>
      <c r="XN148" s="1"/>
      <c r="XO148" s="1"/>
      <c r="XP148" s="1"/>
      <c r="XQ148" s="1"/>
      <c r="XR148" s="1"/>
      <c r="XS148" s="1"/>
      <c r="XT148" s="1"/>
      <c r="XU148" s="1"/>
      <c r="XV148" s="1"/>
      <c r="XW148" s="1"/>
      <c r="XX148" s="1"/>
      <c r="XY148" s="1"/>
      <c r="XZ148" s="1"/>
      <c r="YA148" s="1"/>
      <c r="YB148" s="1"/>
      <c r="YC148" s="1"/>
      <c r="YD148" s="1"/>
      <c r="YE148" s="1"/>
      <c r="YF148" s="1"/>
      <c r="YG148" s="1"/>
      <c r="YH148" s="1"/>
      <c r="YI148" s="1"/>
      <c r="YJ148" s="1"/>
      <c r="YK148" s="1"/>
      <c r="YL148" s="1"/>
      <c r="YM148" s="1"/>
      <c r="YN148" s="1"/>
      <c r="YO148" s="1"/>
      <c r="YP148" s="1"/>
      <c r="YQ148" s="1"/>
      <c r="YR148" s="1"/>
      <c r="YS148" s="1"/>
      <c r="YT148" s="1"/>
      <c r="YU148" s="1"/>
      <c r="YV148" s="1"/>
      <c r="YW148" s="1"/>
      <c r="YX148" s="1"/>
      <c r="YY148" s="1"/>
      <c r="YZ148" s="1"/>
      <c r="ZA148" s="1"/>
      <c r="ZB148" s="1"/>
      <c r="ZC148" s="1"/>
      <c r="ZD148" s="1"/>
      <c r="ZE148" s="1"/>
      <c r="ZF148" s="1"/>
      <c r="ZG148" s="1"/>
      <c r="ZH148" s="1"/>
      <c r="ZI148" s="1"/>
      <c r="ZJ148" s="1"/>
      <c r="ZK148" s="1"/>
      <c r="ZL148" s="1"/>
      <c r="ZM148" s="1"/>
      <c r="ZN148" s="1"/>
      <c r="ZO148" s="1"/>
      <c r="ZP148" s="1"/>
      <c r="ZQ148" s="1"/>
      <c r="ZR148" s="1"/>
      <c r="ZS148" s="1"/>
      <c r="ZT148" s="1"/>
      <c r="ZU148" s="1"/>
      <c r="ZV148" s="1"/>
      <c r="ZW148" s="1"/>
      <c r="ZX148" s="1"/>
      <c r="ZY148" s="1"/>
      <c r="ZZ148" s="1"/>
      <c r="AAA148" s="1"/>
      <c r="AAB148" s="1"/>
      <c r="AAC148" s="1"/>
      <c r="AAD148" s="1"/>
      <c r="AAE148" s="1"/>
      <c r="AAF148" s="1"/>
      <c r="AAG148" s="1"/>
      <c r="AAH148" s="1"/>
      <c r="AAI148" s="1"/>
      <c r="AAJ148" s="1"/>
      <c r="AAK148" s="1"/>
      <c r="AAL148" s="1"/>
      <c r="AAM148" s="1"/>
      <c r="AAN148" s="1"/>
      <c r="AAO148" s="1"/>
      <c r="AAP148" s="1"/>
      <c r="AAQ148" s="1"/>
      <c r="AAR148" s="1"/>
      <c r="AAS148" s="1"/>
      <c r="AAT148" s="1"/>
      <c r="AAU148" s="1"/>
      <c r="AAV148" s="1"/>
      <c r="AAW148" s="1"/>
      <c r="AAX148" s="1"/>
      <c r="AAY148" s="1"/>
      <c r="AAZ148" s="1"/>
      <c r="ABA148" s="1"/>
      <c r="ABB148" s="1"/>
      <c r="ABC148" s="1"/>
      <c r="ABD148" s="1"/>
      <c r="ABE148" s="1"/>
      <c r="ABF148" s="1"/>
      <c r="ABG148" s="1"/>
      <c r="ABH148" s="1"/>
      <c r="ABI148" s="1"/>
      <c r="ABJ148" s="1"/>
      <c r="ABK148" s="1"/>
      <c r="ABL148" s="1"/>
      <c r="ABM148" s="1"/>
      <c r="ABN148" s="1"/>
      <c r="ABO148" s="1"/>
      <c r="ABP148" s="1"/>
      <c r="ABQ148" s="1"/>
      <c r="ABR148" s="1"/>
      <c r="ABS148" s="1"/>
      <c r="ABT148" s="1"/>
      <c r="ABU148" s="1"/>
      <c r="ABV148" s="1"/>
      <c r="ABW148" s="1"/>
      <c r="ABX148" s="1"/>
      <c r="ABY148" s="1"/>
      <c r="ABZ148" s="1"/>
      <c r="ACA148" s="1"/>
      <c r="ACB148" s="1"/>
      <c r="ACC148" s="1"/>
      <c r="ACD148" s="1"/>
      <c r="ACE148" s="1"/>
      <c r="ACF148" s="1"/>
      <c r="ACG148" s="1"/>
      <c r="ACH148" s="1"/>
      <c r="ACI148" s="1"/>
      <c r="ACJ148" s="1"/>
      <c r="ACK148" s="1"/>
      <c r="ACL148" s="1"/>
      <c r="ACM148" s="1"/>
      <c r="ACN148" s="1"/>
      <c r="ACO148" s="1"/>
      <c r="ACP148" s="1"/>
      <c r="ACQ148" s="1"/>
      <c r="ACR148" s="1"/>
      <c r="ACS148" s="1"/>
      <c r="ACT148" s="1"/>
      <c r="ACU148" s="1"/>
      <c r="ACV148" s="1"/>
      <c r="ACW148" s="1"/>
      <c r="ACX148" s="1"/>
      <c r="ACY148" s="1"/>
      <c r="ACZ148" s="1"/>
      <c r="ADA148" s="1"/>
      <c r="ADB148" s="1"/>
      <c r="ADC148" s="1"/>
      <c r="ADD148" s="1"/>
      <c r="ADE148" s="1"/>
      <c r="ADF148" s="1"/>
      <c r="ADG148" s="1"/>
      <c r="ADH148" s="1"/>
      <c r="ADI148" s="1"/>
      <c r="ADJ148" s="1"/>
      <c r="ADK148" s="1"/>
      <c r="ADL148" s="1"/>
      <c r="ADM148" s="1"/>
      <c r="ADN148" s="1"/>
      <c r="ADO148" s="1"/>
      <c r="ADP148" s="1"/>
      <c r="ADQ148" s="1"/>
      <c r="ADR148" s="1"/>
      <c r="ADS148" s="1"/>
      <c r="ADT148" s="1"/>
      <c r="ADU148" s="1"/>
      <c r="ADV148" s="1"/>
      <c r="ADW148" s="1"/>
      <c r="ADX148" s="1"/>
      <c r="ADY148" s="1"/>
      <c r="ADZ148" s="1"/>
      <c r="AEA148" s="1"/>
      <c r="AEB148" s="1"/>
      <c r="AEC148" s="1"/>
      <c r="AED148" s="1"/>
      <c r="AEE148" s="1"/>
      <c r="AEF148" s="1"/>
      <c r="AEG148" s="1"/>
      <c r="AEH148" s="1"/>
      <c r="AEI148" s="1"/>
      <c r="AEJ148" s="1"/>
      <c r="AEK148" s="1"/>
      <c r="AEL148" s="1"/>
      <c r="AEM148" s="1"/>
      <c r="AEN148" s="1"/>
      <c r="AEO148" s="1"/>
      <c r="AEP148" s="1"/>
      <c r="AEQ148" s="1"/>
      <c r="AER148" s="1"/>
      <c r="AES148" s="1"/>
      <c r="AET148" s="1"/>
      <c r="AEU148" s="1"/>
      <c r="AEV148" s="1"/>
      <c r="AEW148" s="1"/>
      <c r="AEX148" s="1"/>
      <c r="AEY148" s="1"/>
      <c r="AEZ148" s="1"/>
      <c r="AFA148" s="1"/>
      <c r="AFB148" s="1"/>
      <c r="AFC148" s="1"/>
      <c r="AFD148" s="1"/>
      <c r="AFE148" s="1"/>
      <c r="AFF148" s="1"/>
      <c r="AFG148" s="1"/>
      <c r="AFH148" s="1"/>
      <c r="AFI148" s="1"/>
      <c r="AFJ148" s="1"/>
      <c r="AFK148" s="1"/>
      <c r="AFL148" s="1"/>
      <c r="AFM148" s="1"/>
      <c r="AFN148" s="1"/>
      <c r="AFO148" s="1"/>
      <c r="AFP148" s="1"/>
      <c r="AFQ148" s="1"/>
      <c r="AFR148" s="1"/>
      <c r="AFS148" s="1"/>
      <c r="AFT148" s="1"/>
      <c r="AFU148" s="1"/>
      <c r="AFV148" s="1"/>
      <c r="AFW148" s="1"/>
      <c r="AFX148" s="1"/>
      <c r="AFY148" s="1"/>
      <c r="AFZ148" s="1"/>
      <c r="AGA148" s="1"/>
      <c r="AGB148" s="1"/>
      <c r="AGC148" s="1"/>
      <c r="AGD148" s="1"/>
      <c r="AGE148" s="1"/>
      <c r="AGF148" s="1"/>
      <c r="AGG148" s="1"/>
      <c r="AGH148" s="1"/>
      <c r="AGI148" s="1"/>
      <c r="AGJ148" s="1"/>
      <c r="AGK148" s="1"/>
      <c r="AGL148" s="1"/>
      <c r="AGM148" s="1"/>
      <c r="AGN148" s="1"/>
      <c r="AGO148" s="1"/>
      <c r="AGP148" s="1"/>
      <c r="AGQ148" s="1"/>
      <c r="AGR148" s="1"/>
      <c r="AGS148" s="1"/>
      <c r="AGT148" s="1"/>
      <c r="AGU148" s="1"/>
      <c r="AGV148" s="1"/>
      <c r="AGW148" s="1"/>
      <c r="AGX148" s="1"/>
      <c r="AGY148" s="1"/>
      <c r="AGZ148" s="1"/>
      <c r="AHA148" s="1"/>
      <c r="AHB148" s="1"/>
      <c r="AHC148" s="1"/>
      <c r="AHD148" s="1"/>
      <c r="AHE148" s="1"/>
      <c r="AHF148" s="1"/>
      <c r="AHG148" s="1"/>
      <c r="AHH148" s="1"/>
      <c r="AHI148" s="1"/>
      <c r="AHJ148" s="1"/>
      <c r="AHK148" s="1"/>
      <c r="AHL148" s="1"/>
      <c r="AHM148" s="1"/>
      <c r="AHN148" s="1"/>
      <c r="AHO148" s="1"/>
      <c r="AHP148" s="1"/>
      <c r="AHQ148" s="1"/>
      <c r="AHR148" s="1"/>
      <c r="AHS148" s="1"/>
      <c r="AHT148" s="1"/>
      <c r="AHU148" s="1"/>
      <c r="AHV148" s="1"/>
      <c r="AHW148" s="1"/>
      <c r="AHX148" s="1"/>
      <c r="AHY148" s="1"/>
      <c r="AHZ148" s="1"/>
      <c r="AIA148" s="1"/>
      <c r="AIB148" s="1"/>
      <c r="AIC148" s="1"/>
      <c r="AID148" s="1"/>
      <c r="AIE148" s="1"/>
      <c r="AIF148" s="1"/>
      <c r="AIG148" s="1"/>
      <c r="AIH148" s="1"/>
      <c r="AII148" s="1"/>
      <c r="AIJ148" s="1"/>
      <c r="AIK148" s="1"/>
      <c r="AIL148" s="1"/>
      <c r="AIM148" s="1"/>
      <c r="AIN148" s="1"/>
      <c r="AIO148" s="1"/>
      <c r="AIP148" s="1"/>
      <c r="AIQ148" s="1"/>
      <c r="AIR148" s="1"/>
      <c r="AIS148" s="1"/>
      <c r="AIT148" s="1"/>
      <c r="AIU148" s="1"/>
      <c r="AIV148" s="1"/>
      <c r="AIW148" s="1"/>
      <c r="AIX148" s="1"/>
      <c r="AIY148" s="1"/>
      <c r="AIZ148" s="1"/>
      <c r="AJA148" s="1"/>
      <c r="AJB148" s="1"/>
      <c r="AJC148" s="1"/>
      <c r="AJD148" s="1"/>
      <c r="AJE148" s="1"/>
      <c r="AJF148" s="1"/>
      <c r="AJG148" s="1"/>
      <c r="AJH148" s="1"/>
      <c r="AJI148" s="1"/>
      <c r="AJJ148" s="1"/>
      <c r="AJK148" s="1"/>
      <c r="AJL148" s="1"/>
      <c r="AJM148" s="1"/>
      <c r="AJN148" s="1"/>
      <c r="AJO148" s="1"/>
      <c r="AJP148" s="1"/>
      <c r="AJQ148" s="1"/>
      <c r="AJR148" s="1"/>
      <c r="AJS148" s="1"/>
      <c r="AJT148" s="1"/>
      <c r="AJU148" s="1"/>
      <c r="AJV148" s="1"/>
      <c r="AJW148" s="1"/>
      <c r="AJX148" s="1"/>
      <c r="AJY148" s="1"/>
      <c r="AJZ148" s="1"/>
      <c r="AKA148" s="1"/>
      <c r="AKB148" s="1"/>
      <c r="AKC148" s="1"/>
      <c r="AKD148" s="1"/>
      <c r="AKE148" s="1"/>
      <c r="AKF148" s="1"/>
      <c r="AKG148" s="1"/>
      <c r="AKH148" s="1"/>
      <c r="AKI148" s="1"/>
      <c r="AKJ148" s="1"/>
      <c r="AKK148" s="1"/>
      <c r="AKL148" s="1"/>
      <c r="AKM148" s="1"/>
      <c r="AKN148" s="1"/>
      <c r="AKO148" s="1"/>
      <c r="AKP148" s="1"/>
      <c r="AKQ148" s="1"/>
      <c r="AKR148" s="1"/>
      <c r="AKS148" s="1"/>
      <c r="AKT148" s="1"/>
      <c r="AKU148" s="1"/>
      <c r="AKV148" s="1"/>
      <c r="AKW148" s="1"/>
      <c r="AKX148" s="1"/>
      <c r="AKY148" s="1"/>
      <c r="AKZ148" s="1"/>
      <c r="ALA148" s="1"/>
      <c r="ALB148" s="1"/>
      <c r="ALC148" s="1"/>
      <c r="ALD148" s="1"/>
      <c r="ALE148" s="1"/>
      <c r="ALF148" s="1"/>
      <c r="ALG148" s="1"/>
      <c r="ALH148" s="1"/>
      <c r="ALI148" s="1"/>
      <c r="ALJ148" s="1"/>
      <c r="ALK148" s="1"/>
      <c r="ALL148" s="1"/>
      <c r="ALM148" s="1"/>
      <c r="ALN148" s="1"/>
      <c r="ALO148" s="1"/>
      <c r="ALP148" s="1"/>
      <c r="ALQ148" s="1"/>
      <c r="ALR148" s="1"/>
      <c r="ALS148" s="1"/>
      <c r="ALT148" s="1"/>
      <c r="ALU148" s="1"/>
      <c r="ALV148" s="1"/>
      <c r="ALW148" s="1"/>
      <c r="ALX148" s="1"/>
      <c r="ALY148" s="1"/>
      <c r="ALZ148" s="1"/>
      <c r="AMA148" s="1"/>
      <c r="AMB148" s="1"/>
      <c r="AMC148" s="1"/>
      <c r="AMD148" s="1"/>
      <c r="AME148" s="1"/>
      <c r="AMF148" s="1"/>
      <c r="AMG148" s="1"/>
      <c r="AMH148" s="1"/>
      <c r="AMI148" s="1"/>
      <c r="AMJ148" s="1"/>
    </row>
    <row r="149" customFormat="false" ht="2.25" hidden="false" customHeight="true" outlineLevel="0" collapsed="false">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c r="IY149" s="1"/>
      <c r="IZ149" s="1"/>
      <c r="JA149" s="1"/>
      <c r="JB149" s="1"/>
      <c r="JC149" s="1"/>
      <c r="JD149" s="1"/>
      <c r="JE149" s="1"/>
      <c r="JF149" s="1"/>
      <c r="JG149" s="1"/>
      <c r="JH149" s="1"/>
      <c r="JI149" s="1"/>
      <c r="JJ149" s="1"/>
      <c r="JK149" s="1"/>
      <c r="JL149" s="1"/>
      <c r="JM149" s="1"/>
      <c r="JN149" s="1"/>
      <c r="JO149" s="1"/>
      <c r="JP149" s="1"/>
      <c r="JQ149" s="1"/>
      <c r="JR149" s="1"/>
      <c r="JS149" s="1"/>
      <c r="JT149" s="1"/>
      <c r="JU149" s="1"/>
      <c r="JV149" s="1"/>
      <c r="JW149" s="1"/>
      <c r="JX149" s="1"/>
      <c r="JY149" s="1"/>
      <c r="JZ149" s="1"/>
      <c r="KA149" s="1"/>
      <c r="KB149" s="1"/>
      <c r="KC149" s="1"/>
      <c r="KD149" s="1"/>
      <c r="KE149" s="1"/>
      <c r="KF149" s="1"/>
      <c r="KG149" s="1"/>
      <c r="KH149" s="1"/>
      <c r="KI149" s="1"/>
      <c r="KJ149" s="1"/>
      <c r="KK149" s="1"/>
      <c r="KL149" s="1"/>
      <c r="KM149" s="1"/>
      <c r="KN149" s="1"/>
      <c r="KO149" s="1"/>
      <c r="KP149" s="1"/>
      <c r="KQ149" s="1"/>
      <c r="KR149" s="1"/>
      <c r="KS149" s="1"/>
      <c r="KT149" s="1"/>
      <c r="KU149" s="1"/>
      <c r="KV149" s="1"/>
      <c r="KW149" s="1"/>
      <c r="KX149" s="1"/>
      <c r="KY149" s="1"/>
      <c r="KZ149" s="1"/>
      <c r="LA149" s="1"/>
      <c r="LB149" s="1"/>
      <c r="LC149" s="1"/>
      <c r="LD149" s="1"/>
      <c r="LE149" s="1"/>
      <c r="LF149" s="1"/>
      <c r="LG149" s="1"/>
      <c r="LH149" s="1"/>
      <c r="LI149" s="1"/>
      <c r="LJ149" s="1"/>
      <c r="LK149" s="1"/>
      <c r="LL149" s="1"/>
      <c r="LM149" s="1"/>
      <c r="LN149" s="1"/>
      <c r="LO149" s="1"/>
      <c r="LP149" s="1"/>
      <c r="LQ149" s="1"/>
      <c r="LR149" s="1"/>
      <c r="LS149" s="1"/>
      <c r="LT149" s="1"/>
      <c r="LU149" s="1"/>
      <c r="LV149" s="1"/>
      <c r="LW149" s="1"/>
      <c r="LX149" s="1"/>
      <c r="LY149" s="1"/>
      <c r="LZ149" s="1"/>
      <c r="MA149" s="1"/>
      <c r="MB149" s="1"/>
      <c r="MC149" s="1"/>
      <c r="MD149" s="1"/>
      <c r="ME149" s="1"/>
      <c r="MF149" s="1"/>
      <c r="MG149" s="1"/>
      <c r="MH149" s="1"/>
      <c r="MI149" s="1"/>
      <c r="MJ149" s="1"/>
      <c r="MK149" s="1"/>
      <c r="ML149" s="1"/>
      <c r="MM149" s="1"/>
      <c r="MN149" s="1"/>
      <c r="MO149" s="1"/>
      <c r="MP149" s="1"/>
      <c r="MQ149" s="1"/>
      <c r="MR149" s="1"/>
      <c r="MS149" s="1"/>
      <c r="MT149" s="1"/>
      <c r="MU149" s="1"/>
      <c r="MV149" s="1"/>
      <c r="MW149" s="1"/>
      <c r="MX149" s="1"/>
      <c r="MY149" s="1"/>
      <c r="MZ149" s="1"/>
      <c r="NA149" s="1"/>
      <c r="NB149" s="1"/>
      <c r="NC149" s="1"/>
      <c r="ND149" s="1"/>
      <c r="NE149" s="1"/>
      <c r="NF149" s="1"/>
      <c r="NG149" s="1"/>
      <c r="NH149" s="1"/>
      <c r="NI149" s="1"/>
      <c r="NJ149" s="1"/>
      <c r="NK149" s="1"/>
      <c r="NL149" s="1"/>
      <c r="NM149" s="1"/>
      <c r="NN149" s="1"/>
      <c r="NO149" s="1"/>
      <c r="NP149" s="1"/>
      <c r="NQ149" s="1"/>
      <c r="NR149" s="1"/>
      <c r="NS149" s="1"/>
      <c r="NT149" s="1"/>
      <c r="NU149" s="1"/>
      <c r="NV149" s="1"/>
      <c r="NW149" s="1"/>
      <c r="NX149" s="1"/>
      <c r="NY149" s="1"/>
      <c r="NZ149" s="1"/>
      <c r="OA149" s="1"/>
      <c r="OB149" s="1"/>
      <c r="OC149" s="1"/>
      <c r="OD149" s="1"/>
      <c r="OE149" s="1"/>
      <c r="OF149" s="1"/>
      <c r="OG149" s="1"/>
      <c r="OH149" s="1"/>
      <c r="OI149" s="1"/>
      <c r="OJ149" s="1"/>
      <c r="OK149" s="1"/>
      <c r="OL149" s="1"/>
      <c r="OM149" s="1"/>
      <c r="ON149" s="1"/>
      <c r="OO149" s="1"/>
      <c r="OP149" s="1"/>
      <c r="OQ149" s="1"/>
      <c r="OR149" s="1"/>
      <c r="OS149" s="1"/>
      <c r="OT149" s="1"/>
      <c r="OU149" s="1"/>
      <c r="OV149" s="1"/>
      <c r="OW149" s="1"/>
      <c r="OX149" s="1"/>
      <c r="OY149" s="1"/>
      <c r="OZ149" s="1"/>
      <c r="PA149" s="1"/>
      <c r="PB149" s="1"/>
      <c r="PC149" s="1"/>
      <c r="PD149" s="1"/>
      <c r="PE149" s="1"/>
      <c r="PF149" s="1"/>
      <c r="PG149" s="1"/>
      <c r="PH149" s="1"/>
      <c r="PI149" s="1"/>
      <c r="PJ149" s="1"/>
      <c r="PK149" s="1"/>
      <c r="PL149" s="1"/>
      <c r="PM149" s="1"/>
      <c r="PN149" s="1"/>
      <c r="PO149" s="1"/>
      <c r="PP149" s="1"/>
      <c r="PQ149" s="1"/>
      <c r="PR149" s="1"/>
      <c r="PS149" s="1"/>
      <c r="PT149" s="1"/>
      <c r="PU149" s="1"/>
      <c r="PV149" s="1"/>
      <c r="PW149" s="1"/>
      <c r="PX149" s="1"/>
      <c r="PY149" s="1"/>
      <c r="PZ149" s="1"/>
      <c r="QA149" s="1"/>
      <c r="QB149" s="1"/>
      <c r="QC149" s="1"/>
      <c r="QD149" s="1"/>
      <c r="QE149" s="1"/>
      <c r="QF149" s="1"/>
      <c r="QG149" s="1"/>
      <c r="QH149" s="1"/>
      <c r="QI149" s="1"/>
      <c r="QJ149" s="1"/>
      <c r="QK149" s="1"/>
      <c r="QL149" s="1"/>
      <c r="QM149" s="1"/>
      <c r="QN149" s="1"/>
      <c r="QO149" s="1"/>
      <c r="QP149" s="1"/>
      <c r="QQ149" s="1"/>
      <c r="QR149" s="1"/>
      <c r="QS149" s="1"/>
      <c r="QT149" s="1"/>
      <c r="QU149" s="1"/>
      <c r="QV149" s="1"/>
      <c r="QW149" s="1"/>
      <c r="QX149" s="1"/>
      <c r="QY149" s="1"/>
      <c r="QZ149" s="1"/>
      <c r="RA149" s="1"/>
      <c r="RB149" s="1"/>
      <c r="RC149" s="1"/>
      <c r="RD149" s="1"/>
      <c r="RE149" s="1"/>
      <c r="RF149" s="1"/>
      <c r="RG149" s="1"/>
      <c r="RH149" s="1"/>
      <c r="RI149" s="1"/>
      <c r="RJ149" s="1"/>
      <c r="RK149" s="1"/>
      <c r="RL149" s="1"/>
      <c r="RM149" s="1"/>
      <c r="RN149" s="1"/>
      <c r="RO149" s="1"/>
      <c r="RP149" s="1"/>
      <c r="RQ149" s="1"/>
      <c r="RR149" s="1"/>
      <c r="RS149" s="1"/>
      <c r="RT149" s="1"/>
      <c r="RU149" s="1"/>
      <c r="RV149" s="1"/>
      <c r="RW149" s="1"/>
      <c r="RX149" s="1"/>
      <c r="RY149" s="1"/>
      <c r="RZ149" s="1"/>
      <c r="SA149" s="1"/>
      <c r="SB149" s="1"/>
      <c r="SC149" s="1"/>
      <c r="SD149" s="1"/>
      <c r="SE149" s="1"/>
      <c r="SF149" s="1"/>
      <c r="SG149" s="1"/>
      <c r="SH149" s="1"/>
      <c r="SI149" s="1"/>
      <c r="SJ149" s="1"/>
      <c r="SK149" s="1"/>
      <c r="SL149" s="1"/>
      <c r="SM149" s="1"/>
      <c r="SN149" s="1"/>
      <c r="SO149" s="1"/>
      <c r="SP149" s="1"/>
      <c r="SQ149" s="1"/>
      <c r="SR149" s="1"/>
      <c r="SS149" s="1"/>
      <c r="ST149" s="1"/>
      <c r="SU149" s="1"/>
      <c r="SV149" s="1"/>
      <c r="SW149" s="1"/>
      <c r="SX149" s="1"/>
      <c r="SY149" s="1"/>
      <c r="SZ149" s="1"/>
      <c r="TA149" s="1"/>
      <c r="TB149" s="1"/>
      <c r="TC149" s="1"/>
      <c r="TD149" s="1"/>
      <c r="TE149" s="1"/>
      <c r="TF149" s="1"/>
      <c r="TG149" s="1"/>
      <c r="TH149" s="1"/>
      <c r="TI149" s="1"/>
      <c r="TJ149" s="1"/>
      <c r="TK149" s="1"/>
      <c r="TL149" s="1"/>
      <c r="TM149" s="1"/>
      <c r="TN149" s="1"/>
      <c r="TO149" s="1"/>
      <c r="TP149" s="1"/>
      <c r="TQ149" s="1"/>
      <c r="TR149" s="1"/>
      <c r="TS149" s="1"/>
      <c r="TT149" s="1"/>
      <c r="TU149" s="1"/>
      <c r="TV149" s="1"/>
      <c r="TW149" s="1"/>
      <c r="TX149" s="1"/>
      <c r="TY149" s="1"/>
      <c r="TZ149" s="1"/>
      <c r="UA149" s="1"/>
      <c r="UB149" s="1"/>
      <c r="UC149" s="1"/>
      <c r="UD149" s="1"/>
      <c r="UE149" s="1"/>
      <c r="UF149" s="1"/>
      <c r="UG149" s="1"/>
      <c r="UH149" s="1"/>
      <c r="UI149" s="1"/>
      <c r="UJ149" s="1"/>
      <c r="UK149" s="1"/>
      <c r="UL149" s="1"/>
      <c r="UM149" s="1"/>
      <c r="UN149" s="1"/>
      <c r="UO149" s="1"/>
      <c r="UP149" s="1"/>
      <c r="UQ149" s="1"/>
      <c r="UR149" s="1"/>
      <c r="US149" s="1"/>
      <c r="UT149" s="1"/>
      <c r="UU149" s="1"/>
      <c r="UV149" s="1"/>
      <c r="UW149" s="1"/>
      <c r="UX149" s="1"/>
      <c r="UY149" s="1"/>
      <c r="UZ149" s="1"/>
      <c r="VA149" s="1"/>
      <c r="VB149" s="1"/>
      <c r="VC149" s="1"/>
      <c r="VD149" s="1"/>
      <c r="VE149" s="1"/>
      <c r="VF149" s="1"/>
      <c r="VG149" s="1"/>
      <c r="VH149" s="1"/>
      <c r="VI149" s="1"/>
      <c r="VJ149" s="1"/>
      <c r="VK149" s="1"/>
      <c r="VL149" s="1"/>
      <c r="VM149" s="1"/>
      <c r="VN149" s="1"/>
      <c r="VO149" s="1"/>
      <c r="VP149" s="1"/>
      <c r="VQ149" s="1"/>
      <c r="VR149" s="1"/>
      <c r="VS149" s="1"/>
      <c r="VT149" s="1"/>
      <c r="VU149" s="1"/>
      <c r="VV149" s="1"/>
      <c r="VW149" s="1"/>
      <c r="VX149" s="1"/>
      <c r="VY149" s="1"/>
      <c r="VZ149" s="1"/>
      <c r="WA149" s="1"/>
      <c r="WB149" s="1"/>
      <c r="WC149" s="1"/>
      <c r="WD149" s="1"/>
      <c r="WE149" s="1"/>
      <c r="WF149" s="1"/>
      <c r="WG149" s="1"/>
      <c r="WH149" s="1"/>
      <c r="WI149" s="1"/>
      <c r="WJ149" s="1"/>
      <c r="WK149" s="1"/>
      <c r="WL149" s="1"/>
      <c r="WM149" s="1"/>
      <c r="WN149" s="1"/>
      <c r="WO149" s="1"/>
      <c r="WP149" s="1"/>
      <c r="WQ149" s="1"/>
      <c r="WR149" s="1"/>
      <c r="WS149" s="1"/>
      <c r="WT149" s="1"/>
      <c r="WU149" s="1"/>
      <c r="WV149" s="1"/>
      <c r="WW149" s="1"/>
      <c r="WX149" s="1"/>
      <c r="WY149" s="1"/>
      <c r="WZ149" s="1"/>
      <c r="XA149" s="1"/>
      <c r="XB149" s="1"/>
      <c r="XC149" s="1"/>
      <c r="XD149" s="1"/>
      <c r="XE149" s="1"/>
      <c r="XF149" s="1"/>
      <c r="XG149" s="1"/>
      <c r="XH149" s="1"/>
      <c r="XI149" s="1"/>
      <c r="XJ149" s="1"/>
      <c r="XK149" s="1"/>
      <c r="XL149" s="1"/>
      <c r="XM149" s="1"/>
      <c r="XN149" s="1"/>
      <c r="XO149" s="1"/>
      <c r="XP149" s="1"/>
      <c r="XQ149" s="1"/>
      <c r="XR149" s="1"/>
      <c r="XS149" s="1"/>
      <c r="XT149" s="1"/>
      <c r="XU149" s="1"/>
      <c r="XV149" s="1"/>
      <c r="XW149" s="1"/>
      <c r="XX149" s="1"/>
      <c r="XY149" s="1"/>
      <c r="XZ149" s="1"/>
      <c r="YA149" s="1"/>
      <c r="YB149" s="1"/>
      <c r="YC149" s="1"/>
      <c r="YD149" s="1"/>
      <c r="YE149" s="1"/>
      <c r="YF149" s="1"/>
      <c r="YG149" s="1"/>
      <c r="YH149" s="1"/>
      <c r="YI149" s="1"/>
      <c r="YJ149" s="1"/>
      <c r="YK149" s="1"/>
      <c r="YL149" s="1"/>
      <c r="YM149" s="1"/>
      <c r="YN149" s="1"/>
      <c r="YO149" s="1"/>
      <c r="YP149" s="1"/>
      <c r="YQ149" s="1"/>
      <c r="YR149" s="1"/>
      <c r="YS149" s="1"/>
      <c r="YT149" s="1"/>
      <c r="YU149" s="1"/>
      <c r="YV149" s="1"/>
      <c r="YW149" s="1"/>
      <c r="YX149" s="1"/>
      <c r="YY149" s="1"/>
      <c r="YZ149" s="1"/>
      <c r="ZA149" s="1"/>
      <c r="ZB149" s="1"/>
      <c r="ZC149" s="1"/>
      <c r="ZD149" s="1"/>
      <c r="ZE149" s="1"/>
      <c r="ZF149" s="1"/>
      <c r="ZG149" s="1"/>
      <c r="ZH149" s="1"/>
      <c r="ZI149" s="1"/>
      <c r="ZJ149" s="1"/>
      <c r="ZK149" s="1"/>
      <c r="ZL149" s="1"/>
      <c r="ZM149" s="1"/>
      <c r="ZN149" s="1"/>
      <c r="ZO149" s="1"/>
      <c r="ZP149" s="1"/>
      <c r="ZQ149" s="1"/>
      <c r="ZR149" s="1"/>
      <c r="ZS149" s="1"/>
      <c r="ZT149" s="1"/>
      <c r="ZU149" s="1"/>
      <c r="ZV149" s="1"/>
      <c r="ZW149" s="1"/>
      <c r="ZX149" s="1"/>
      <c r="ZY149" s="1"/>
      <c r="ZZ149" s="1"/>
      <c r="AAA149" s="1"/>
      <c r="AAB149" s="1"/>
      <c r="AAC149" s="1"/>
      <c r="AAD149" s="1"/>
      <c r="AAE149" s="1"/>
      <c r="AAF149" s="1"/>
      <c r="AAG149" s="1"/>
      <c r="AAH149" s="1"/>
      <c r="AAI149" s="1"/>
      <c r="AAJ149" s="1"/>
      <c r="AAK149" s="1"/>
      <c r="AAL149" s="1"/>
      <c r="AAM149" s="1"/>
      <c r="AAN149" s="1"/>
      <c r="AAO149" s="1"/>
      <c r="AAP149" s="1"/>
      <c r="AAQ149" s="1"/>
      <c r="AAR149" s="1"/>
      <c r="AAS149" s="1"/>
      <c r="AAT149" s="1"/>
      <c r="AAU149" s="1"/>
      <c r="AAV149" s="1"/>
      <c r="AAW149" s="1"/>
      <c r="AAX149" s="1"/>
      <c r="AAY149" s="1"/>
      <c r="AAZ149" s="1"/>
      <c r="ABA149" s="1"/>
      <c r="ABB149" s="1"/>
      <c r="ABC149" s="1"/>
      <c r="ABD149" s="1"/>
      <c r="ABE149" s="1"/>
      <c r="ABF149" s="1"/>
      <c r="ABG149" s="1"/>
      <c r="ABH149" s="1"/>
      <c r="ABI149" s="1"/>
      <c r="ABJ149" s="1"/>
      <c r="ABK149" s="1"/>
      <c r="ABL149" s="1"/>
      <c r="ABM149" s="1"/>
      <c r="ABN149" s="1"/>
      <c r="ABO149" s="1"/>
      <c r="ABP149" s="1"/>
      <c r="ABQ149" s="1"/>
      <c r="ABR149" s="1"/>
      <c r="ABS149" s="1"/>
      <c r="ABT149" s="1"/>
      <c r="ABU149" s="1"/>
      <c r="ABV149" s="1"/>
      <c r="ABW149" s="1"/>
      <c r="ABX149" s="1"/>
      <c r="ABY149" s="1"/>
      <c r="ABZ149" s="1"/>
      <c r="ACA149" s="1"/>
      <c r="ACB149" s="1"/>
      <c r="ACC149" s="1"/>
      <c r="ACD149" s="1"/>
      <c r="ACE149" s="1"/>
      <c r="ACF149" s="1"/>
      <c r="ACG149" s="1"/>
      <c r="ACH149" s="1"/>
      <c r="ACI149" s="1"/>
      <c r="ACJ149" s="1"/>
      <c r="ACK149" s="1"/>
      <c r="ACL149" s="1"/>
      <c r="ACM149" s="1"/>
      <c r="ACN149" s="1"/>
      <c r="ACO149" s="1"/>
      <c r="ACP149" s="1"/>
      <c r="ACQ149" s="1"/>
      <c r="ACR149" s="1"/>
      <c r="ACS149" s="1"/>
      <c r="ACT149" s="1"/>
      <c r="ACU149" s="1"/>
      <c r="ACV149" s="1"/>
      <c r="ACW149" s="1"/>
      <c r="ACX149" s="1"/>
      <c r="ACY149" s="1"/>
      <c r="ACZ149" s="1"/>
      <c r="ADA149" s="1"/>
      <c r="ADB149" s="1"/>
      <c r="ADC149" s="1"/>
      <c r="ADD149" s="1"/>
      <c r="ADE149" s="1"/>
      <c r="ADF149" s="1"/>
      <c r="ADG149" s="1"/>
      <c r="ADH149" s="1"/>
      <c r="ADI149" s="1"/>
      <c r="ADJ149" s="1"/>
      <c r="ADK149" s="1"/>
      <c r="ADL149" s="1"/>
      <c r="ADM149" s="1"/>
      <c r="ADN149" s="1"/>
      <c r="ADO149" s="1"/>
      <c r="ADP149" s="1"/>
      <c r="ADQ149" s="1"/>
      <c r="ADR149" s="1"/>
      <c r="ADS149" s="1"/>
      <c r="ADT149" s="1"/>
      <c r="ADU149" s="1"/>
      <c r="ADV149" s="1"/>
      <c r="ADW149" s="1"/>
      <c r="ADX149" s="1"/>
      <c r="ADY149" s="1"/>
      <c r="ADZ149" s="1"/>
      <c r="AEA149" s="1"/>
      <c r="AEB149" s="1"/>
      <c r="AEC149" s="1"/>
      <c r="AED149" s="1"/>
      <c r="AEE149" s="1"/>
      <c r="AEF149" s="1"/>
      <c r="AEG149" s="1"/>
      <c r="AEH149" s="1"/>
      <c r="AEI149" s="1"/>
      <c r="AEJ149" s="1"/>
      <c r="AEK149" s="1"/>
      <c r="AEL149" s="1"/>
      <c r="AEM149" s="1"/>
      <c r="AEN149" s="1"/>
      <c r="AEO149" s="1"/>
      <c r="AEP149" s="1"/>
      <c r="AEQ149" s="1"/>
      <c r="AER149" s="1"/>
      <c r="AES149" s="1"/>
      <c r="AET149" s="1"/>
      <c r="AEU149" s="1"/>
      <c r="AEV149" s="1"/>
      <c r="AEW149" s="1"/>
      <c r="AEX149" s="1"/>
      <c r="AEY149" s="1"/>
      <c r="AEZ149" s="1"/>
      <c r="AFA149" s="1"/>
      <c r="AFB149" s="1"/>
      <c r="AFC149" s="1"/>
      <c r="AFD149" s="1"/>
      <c r="AFE149" s="1"/>
      <c r="AFF149" s="1"/>
      <c r="AFG149" s="1"/>
      <c r="AFH149" s="1"/>
      <c r="AFI149" s="1"/>
      <c r="AFJ149" s="1"/>
      <c r="AFK149" s="1"/>
      <c r="AFL149" s="1"/>
      <c r="AFM149" s="1"/>
      <c r="AFN149" s="1"/>
      <c r="AFO149" s="1"/>
      <c r="AFP149" s="1"/>
      <c r="AFQ149" s="1"/>
      <c r="AFR149" s="1"/>
      <c r="AFS149" s="1"/>
      <c r="AFT149" s="1"/>
      <c r="AFU149" s="1"/>
      <c r="AFV149" s="1"/>
      <c r="AFW149" s="1"/>
      <c r="AFX149" s="1"/>
      <c r="AFY149" s="1"/>
      <c r="AFZ149" s="1"/>
      <c r="AGA149" s="1"/>
      <c r="AGB149" s="1"/>
      <c r="AGC149" s="1"/>
      <c r="AGD149" s="1"/>
      <c r="AGE149" s="1"/>
      <c r="AGF149" s="1"/>
      <c r="AGG149" s="1"/>
      <c r="AGH149" s="1"/>
      <c r="AGI149" s="1"/>
      <c r="AGJ149" s="1"/>
      <c r="AGK149" s="1"/>
      <c r="AGL149" s="1"/>
      <c r="AGM149" s="1"/>
      <c r="AGN149" s="1"/>
      <c r="AGO149" s="1"/>
      <c r="AGP149" s="1"/>
      <c r="AGQ149" s="1"/>
      <c r="AGR149" s="1"/>
      <c r="AGS149" s="1"/>
      <c r="AGT149" s="1"/>
      <c r="AGU149" s="1"/>
      <c r="AGV149" s="1"/>
      <c r="AGW149" s="1"/>
      <c r="AGX149" s="1"/>
      <c r="AGY149" s="1"/>
      <c r="AGZ149" s="1"/>
      <c r="AHA149" s="1"/>
      <c r="AHB149" s="1"/>
      <c r="AHC149" s="1"/>
      <c r="AHD149" s="1"/>
      <c r="AHE149" s="1"/>
      <c r="AHF149" s="1"/>
      <c r="AHG149" s="1"/>
      <c r="AHH149" s="1"/>
      <c r="AHI149" s="1"/>
      <c r="AHJ149" s="1"/>
      <c r="AHK149" s="1"/>
      <c r="AHL149" s="1"/>
      <c r="AHM149" s="1"/>
      <c r="AHN149" s="1"/>
      <c r="AHO149" s="1"/>
      <c r="AHP149" s="1"/>
      <c r="AHQ149" s="1"/>
      <c r="AHR149" s="1"/>
      <c r="AHS149" s="1"/>
      <c r="AHT149" s="1"/>
      <c r="AHU149" s="1"/>
      <c r="AHV149" s="1"/>
      <c r="AHW149" s="1"/>
      <c r="AHX149" s="1"/>
      <c r="AHY149" s="1"/>
      <c r="AHZ149" s="1"/>
      <c r="AIA149" s="1"/>
      <c r="AIB149" s="1"/>
      <c r="AIC149" s="1"/>
      <c r="AID149" s="1"/>
      <c r="AIE149" s="1"/>
      <c r="AIF149" s="1"/>
      <c r="AIG149" s="1"/>
      <c r="AIH149" s="1"/>
      <c r="AII149" s="1"/>
      <c r="AIJ149" s="1"/>
      <c r="AIK149" s="1"/>
      <c r="AIL149" s="1"/>
      <c r="AIM149" s="1"/>
      <c r="AIN149" s="1"/>
      <c r="AIO149" s="1"/>
      <c r="AIP149" s="1"/>
      <c r="AIQ149" s="1"/>
      <c r="AIR149" s="1"/>
      <c r="AIS149" s="1"/>
      <c r="AIT149" s="1"/>
      <c r="AIU149" s="1"/>
      <c r="AIV149" s="1"/>
      <c r="AIW149" s="1"/>
      <c r="AIX149" s="1"/>
      <c r="AIY149" s="1"/>
      <c r="AIZ149" s="1"/>
      <c r="AJA149" s="1"/>
      <c r="AJB149" s="1"/>
      <c r="AJC149" s="1"/>
      <c r="AJD149" s="1"/>
      <c r="AJE149" s="1"/>
      <c r="AJF149" s="1"/>
      <c r="AJG149" s="1"/>
      <c r="AJH149" s="1"/>
      <c r="AJI149" s="1"/>
      <c r="AJJ149" s="1"/>
      <c r="AJK149" s="1"/>
      <c r="AJL149" s="1"/>
      <c r="AJM149" s="1"/>
      <c r="AJN149" s="1"/>
      <c r="AJO149" s="1"/>
      <c r="AJP149" s="1"/>
      <c r="AJQ149" s="1"/>
      <c r="AJR149" s="1"/>
      <c r="AJS149" s="1"/>
      <c r="AJT149" s="1"/>
      <c r="AJU149" s="1"/>
      <c r="AJV149" s="1"/>
      <c r="AJW149" s="1"/>
      <c r="AJX149" s="1"/>
      <c r="AJY149" s="1"/>
      <c r="AJZ149" s="1"/>
      <c r="AKA149" s="1"/>
      <c r="AKB149" s="1"/>
      <c r="AKC149" s="1"/>
      <c r="AKD149" s="1"/>
      <c r="AKE149" s="1"/>
      <c r="AKF149" s="1"/>
      <c r="AKG149" s="1"/>
      <c r="AKH149" s="1"/>
      <c r="AKI149" s="1"/>
      <c r="AKJ149" s="1"/>
      <c r="AKK149" s="1"/>
      <c r="AKL149" s="1"/>
      <c r="AKM149" s="1"/>
      <c r="AKN149" s="1"/>
      <c r="AKO149" s="1"/>
      <c r="AKP149" s="1"/>
      <c r="AKQ149" s="1"/>
      <c r="AKR149" s="1"/>
      <c r="AKS149" s="1"/>
      <c r="AKT149" s="1"/>
      <c r="AKU149" s="1"/>
      <c r="AKV149" s="1"/>
      <c r="AKW149" s="1"/>
      <c r="AKX149" s="1"/>
      <c r="AKY149" s="1"/>
      <c r="AKZ149" s="1"/>
      <c r="ALA149" s="1"/>
      <c r="ALB149" s="1"/>
      <c r="ALC149" s="1"/>
      <c r="ALD149" s="1"/>
      <c r="ALE149" s="1"/>
      <c r="ALF149" s="1"/>
      <c r="ALG149" s="1"/>
      <c r="ALH149" s="1"/>
      <c r="ALI149" s="1"/>
      <c r="ALJ149" s="1"/>
      <c r="ALK149" s="1"/>
      <c r="ALL149" s="1"/>
      <c r="ALM149" s="1"/>
      <c r="ALN149" s="1"/>
      <c r="ALO149" s="1"/>
      <c r="ALP149" s="1"/>
      <c r="ALQ149" s="1"/>
      <c r="ALR149" s="1"/>
      <c r="ALS149" s="1"/>
      <c r="ALT149" s="1"/>
      <c r="ALU149" s="1"/>
      <c r="ALV149" s="1"/>
      <c r="ALW149" s="1"/>
      <c r="ALX149" s="1"/>
      <c r="ALY149" s="1"/>
      <c r="ALZ149" s="1"/>
      <c r="AMA149" s="1"/>
      <c r="AMB149" s="1"/>
      <c r="AMC149" s="1"/>
      <c r="AMD149" s="1"/>
      <c r="AME149" s="1"/>
      <c r="AMF149" s="1"/>
      <c r="AMG149" s="1"/>
      <c r="AMH149" s="1"/>
      <c r="AMI149" s="1"/>
      <c r="AMJ149" s="1"/>
    </row>
    <row r="150" customFormat="false" ht="10.5" hidden="false" customHeight="true" outlineLevel="0" collapsed="false">
      <c r="A150" s="211" t="s">
        <v>290</v>
      </c>
      <c r="B150" s="211"/>
      <c r="C150" s="212"/>
      <c r="D150" s="212"/>
      <c r="E150" s="212"/>
      <c r="F150" s="212"/>
      <c r="G150" s="212"/>
      <c r="H150" s="212"/>
      <c r="I150" s="212"/>
      <c r="J150" s="212"/>
      <c r="K150" s="213" t="s">
        <v>291</v>
      </c>
      <c r="L150" s="213"/>
      <c r="M150" s="213"/>
      <c r="N150" s="212"/>
      <c r="O150" s="212"/>
      <c r="P150" s="213" t="s">
        <v>292</v>
      </c>
      <c r="Q150" s="213"/>
      <c r="R150" s="212"/>
      <c r="S150" s="212"/>
      <c r="T150" s="212"/>
      <c r="U150" s="213" t="s">
        <v>293</v>
      </c>
      <c r="V150" s="213"/>
      <c r="W150" s="212"/>
      <c r="X150" s="212"/>
      <c r="Y150" s="212"/>
      <c r="Z150" s="212"/>
      <c r="AA150" s="213" t="s">
        <v>294</v>
      </c>
      <c r="AB150" s="213"/>
      <c r="AC150" s="212"/>
      <c r="AD150" s="212"/>
      <c r="AE150" s="213" t="s">
        <v>295</v>
      </c>
      <c r="AF150" s="213"/>
      <c r="AG150" s="213"/>
      <c r="AH150" s="213"/>
      <c r="AI150" s="213"/>
      <c r="AJ150" s="213"/>
      <c r="AK150" s="214"/>
      <c r="AL150" s="214"/>
      <c r="AM150" s="215"/>
      <c r="AN150" s="215"/>
      <c r="AO150" s="215"/>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c r="IY150" s="1"/>
      <c r="IZ150" s="1"/>
      <c r="JA150" s="1"/>
      <c r="JB150" s="1"/>
      <c r="JC150" s="1"/>
      <c r="JD150" s="1"/>
      <c r="JE150" s="1"/>
      <c r="JF150" s="1"/>
      <c r="JG150" s="1"/>
      <c r="JH150" s="1"/>
      <c r="JI150" s="1"/>
      <c r="JJ150" s="1"/>
      <c r="JK150" s="1"/>
      <c r="JL150" s="1"/>
      <c r="JM150" s="1"/>
      <c r="JN150" s="1"/>
      <c r="JO150" s="1"/>
      <c r="JP150" s="1"/>
      <c r="JQ150" s="1"/>
      <c r="JR150" s="1"/>
      <c r="JS150" s="1"/>
      <c r="JT150" s="1"/>
      <c r="JU150" s="1"/>
      <c r="JV150" s="1"/>
      <c r="JW150" s="1"/>
      <c r="JX150" s="1"/>
      <c r="JY150" s="1"/>
      <c r="JZ150" s="1"/>
      <c r="KA150" s="1"/>
      <c r="KB150" s="1"/>
      <c r="KC150" s="1"/>
      <c r="KD150" s="1"/>
      <c r="KE150" s="1"/>
      <c r="KF150" s="1"/>
      <c r="KG150" s="1"/>
      <c r="KH150" s="1"/>
      <c r="KI150" s="1"/>
      <c r="KJ150" s="1"/>
      <c r="KK150" s="1"/>
      <c r="KL150" s="1"/>
      <c r="KM150" s="1"/>
      <c r="KN150" s="1"/>
      <c r="KO150" s="1"/>
      <c r="KP150" s="1"/>
      <c r="KQ150" s="1"/>
      <c r="KR150" s="1"/>
      <c r="KS150" s="1"/>
      <c r="KT150" s="1"/>
      <c r="KU150" s="1"/>
      <c r="KV150" s="1"/>
      <c r="KW150" s="1"/>
      <c r="KX150" s="1"/>
      <c r="KY150" s="1"/>
      <c r="KZ150" s="1"/>
      <c r="LA150" s="1"/>
      <c r="LB150" s="1"/>
      <c r="LC150" s="1"/>
      <c r="LD150" s="1"/>
      <c r="LE150" s="1"/>
      <c r="LF150" s="1"/>
      <c r="LG150" s="1"/>
      <c r="LH150" s="1"/>
      <c r="LI150" s="1"/>
      <c r="LJ150" s="1"/>
      <c r="LK150" s="1"/>
      <c r="LL150" s="1"/>
      <c r="LM150" s="1"/>
      <c r="LN150" s="1"/>
      <c r="LO150" s="1"/>
      <c r="LP150" s="1"/>
      <c r="LQ150" s="1"/>
      <c r="LR150" s="1"/>
      <c r="LS150" s="1"/>
      <c r="LT150" s="1"/>
      <c r="LU150" s="1"/>
      <c r="LV150" s="1"/>
      <c r="LW150" s="1"/>
      <c r="LX150" s="1"/>
      <c r="LY150" s="1"/>
      <c r="LZ150" s="1"/>
      <c r="MA150" s="1"/>
      <c r="MB150" s="1"/>
      <c r="MC150" s="1"/>
      <c r="MD150" s="1"/>
      <c r="ME150" s="1"/>
      <c r="MF150" s="1"/>
      <c r="MG150" s="1"/>
      <c r="MH150" s="1"/>
      <c r="MI150" s="1"/>
      <c r="MJ150" s="1"/>
      <c r="MK150" s="1"/>
      <c r="ML150" s="1"/>
      <c r="MM150" s="1"/>
      <c r="MN150" s="1"/>
      <c r="MO150" s="1"/>
      <c r="MP150" s="1"/>
      <c r="MQ150" s="1"/>
      <c r="MR150" s="1"/>
      <c r="MS150" s="1"/>
      <c r="MT150" s="1"/>
      <c r="MU150" s="1"/>
      <c r="MV150" s="1"/>
      <c r="MW150" s="1"/>
      <c r="MX150" s="1"/>
      <c r="MY150" s="1"/>
      <c r="MZ150" s="1"/>
      <c r="NA150" s="1"/>
      <c r="NB150" s="1"/>
      <c r="NC150" s="1"/>
      <c r="ND150" s="1"/>
      <c r="NE150" s="1"/>
      <c r="NF150" s="1"/>
      <c r="NG150" s="1"/>
      <c r="NH150" s="1"/>
      <c r="NI150" s="1"/>
      <c r="NJ150" s="1"/>
      <c r="NK150" s="1"/>
      <c r="NL150" s="1"/>
      <c r="NM150" s="1"/>
      <c r="NN150" s="1"/>
      <c r="NO150" s="1"/>
      <c r="NP150" s="1"/>
      <c r="NQ150" s="1"/>
      <c r="NR150" s="1"/>
      <c r="NS150" s="1"/>
      <c r="NT150" s="1"/>
      <c r="NU150" s="1"/>
      <c r="NV150" s="1"/>
      <c r="NW150" s="1"/>
      <c r="NX150" s="1"/>
      <c r="NY150" s="1"/>
      <c r="NZ150" s="1"/>
      <c r="OA150" s="1"/>
      <c r="OB150" s="1"/>
      <c r="OC150" s="1"/>
      <c r="OD150" s="1"/>
      <c r="OE150" s="1"/>
      <c r="OF150" s="1"/>
      <c r="OG150" s="1"/>
      <c r="OH150" s="1"/>
      <c r="OI150" s="1"/>
      <c r="OJ150" s="1"/>
      <c r="OK150" s="1"/>
      <c r="OL150" s="1"/>
      <c r="OM150" s="1"/>
      <c r="ON150" s="1"/>
      <c r="OO150" s="1"/>
      <c r="OP150" s="1"/>
      <c r="OQ150" s="1"/>
      <c r="OR150" s="1"/>
      <c r="OS150" s="1"/>
      <c r="OT150" s="1"/>
      <c r="OU150" s="1"/>
      <c r="OV150" s="1"/>
      <c r="OW150" s="1"/>
      <c r="OX150" s="1"/>
      <c r="OY150" s="1"/>
      <c r="OZ150" s="1"/>
      <c r="PA150" s="1"/>
      <c r="PB150" s="1"/>
      <c r="PC150" s="1"/>
      <c r="PD150" s="1"/>
      <c r="PE150" s="1"/>
      <c r="PF150" s="1"/>
      <c r="PG150" s="1"/>
      <c r="PH150" s="1"/>
      <c r="PI150" s="1"/>
      <c r="PJ150" s="1"/>
      <c r="PK150" s="1"/>
      <c r="PL150" s="1"/>
      <c r="PM150" s="1"/>
      <c r="PN150" s="1"/>
      <c r="PO150" s="1"/>
      <c r="PP150" s="1"/>
      <c r="PQ150" s="1"/>
      <c r="PR150" s="1"/>
      <c r="PS150" s="1"/>
      <c r="PT150" s="1"/>
      <c r="PU150" s="1"/>
      <c r="PV150" s="1"/>
      <c r="PW150" s="1"/>
      <c r="PX150" s="1"/>
      <c r="PY150" s="1"/>
      <c r="PZ150" s="1"/>
      <c r="QA150" s="1"/>
      <c r="QB150" s="1"/>
      <c r="QC150" s="1"/>
      <c r="QD150" s="1"/>
      <c r="QE150" s="1"/>
      <c r="QF150" s="1"/>
      <c r="QG150" s="1"/>
      <c r="QH150" s="1"/>
      <c r="QI150" s="1"/>
      <c r="QJ150" s="1"/>
      <c r="QK150" s="1"/>
      <c r="QL150" s="1"/>
      <c r="QM150" s="1"/>
      <c r="QN150" s="1"/>
      <c r="QO150" s="1"/>
      <c r="QP150" s="1"/>
      <c r="QQ150" s="1"/>
      <c r="QR150" s="1"/>
      <c r="QS150" s="1"/>
      <c r="QT150" s="1"/>
      <c r="QU150" s="1"/>
      <c r="QV150" s="1"/>
      <c r="QW150" s="1"/>
      <c r="QX150" s="1"/>
      <c r="QY150" s="1"/>
      <c r="QZ150" s="1"/>
      <c r="RA150" s="1"/>
      <c r="RB150" s="1"/>
      <c r="RC150" s="1"/>
      <c r="RD150" s="1"/>
      <c r="RE150" s="1"/>
      <c r="RF150" s="1"/>
      <c r="RG150" s="1"/>
      <c r="RH150" s="1"/>
      <c r="RI150" s="1"/>
      <c r="RJ150" s="1"/>
      <c r="RK150" s="1"/>
      <c r="RL150" s="1"/>
      <c r="RM150" s="1"/>
      <c r="RN150" s="1"/>
      <c r="RO150" s="1"/>
      <c r="RP150" s="1"/>
      <c r="RQ150" s="1"/>
      <c r="RR150" s="1"/>
      <c r="RS150" s="1"/>
      <c r="RT150" s="1"/>
      <c r="RU150" s="1"/>
      <c r="RV150" s="1"/>
      <c r="RW150" s="1"/>
      <c r="RX150" s="1"/>
      <c r="RY150" s="1"/>
      <c r="RZ150" s="1"/>
      <c r="SA150" s="1"/>
      <c r="SB150" s="1"/>
      <c r="SC150" s="1"/>
      <c r="SD150" s="1"/>
      <c r="SE150" s="1"/>
      <c r="SF150" s="1"/>
      <c r="SG150" s="1"/>
      <c r="SH150" s="1"/>
      <c r="SI150" s="1"/>
      <c r="SJ150" s="1"/>
      <c r="SK150" s="1"/>
      <c r="SL150" s="1"/>
      <c r="SM150" s="1"/>
      <c r="SN150" s="1"/>
      <c r="SO150" s="1"/>
      <c r="SP150" s="1"/>
      <c r="SQ150" s="1"/>
      <c r="SR150" s="1"/>
      <c r="SS150" s="1"/>
      <c r="ST150" s="1"/>
      <c r="SU150" s="1"/>
      <c r="SV150" s="1"/>
      <c r="SW150" s="1"/>
      <c r="SX150" s="1"/>
      <c r="SY150" s="1"/>
      <c r="SZ150" s="1"/>
      <c r="TA150" s="1"/>
      <c r="TB150" s="1"/>
      <c r="TC150" s="1"/>
      <c r="TD150" s="1"/>
      <c r="TE150" s="1"/>
      <c r="TF150" s="1"/>
      <c r="TG150" s="1"/>
      <c r="TH150" s="1"/>
      <c r="TI150" s="1"/>
      <c r="TJ150" s="1"/>
      <c r="TK150" s="1"/>
      <c r="TL150" s="1"/>
      <c r="TM150" s="1"/>
      <c r="TN150" s="1"/>
      <c r="TO150" s="1"/>
      <c r="TP150" s="1"/>
      <c r="TQ150" s="1"/>
      <c r="TR150" s="1"/>
      <c r="TS150" s="1"/>
      <c r="TT150" s="1"/>
      <c r="TU150" s="1"/>
      <c r="TV150" s="1"/>
      <c r="TW150" s="1"/>
      <c r="TX150" s="1"/>
      <c r="TY150" s="1"/>
      <c r="TZ150" s="1"/>
      <c r="UA150" s="1"/>
      <c r="UB150" s="1"/>
      <c r="UC150" s="1"/>
      <c r="UD150" s="1"/>
      <c r="UE150" s="1"/>
      <c r="UF150" s="1"/>
      <c r="UG150" s="1"/>
      <c r="UH150" s="1"/>
      <c r="UI150" s="1"/>
      <c r="UJ150" s="1"/>
      <c r="UK150" s="1"/>
      <c r="UL150" s="1"/>
      <c r="UM150" s="1"/>
      <c r="UN150" s="1"/>
      <c r="UO150" s="1"/>
      <c r="UP150" s="1"/>
      <c r="UQ150" s="1"/>
      <c r="UR150" s="1"/>
      <c r="US150" s="1"/>
      <c r="UT150" s="1"/>
      <c r="UU150" s="1"/>
      <c r="UV150" s="1"/>
      <c r="UW150" s="1"/>
      <c r="UX150" s="1"/>
      <c r="UY150" s="1"/>
      <c r="UZ150" s="1"/>
      <c r="VA150" s="1"/>
      <c r="VB150" s="1"/>
      <c r="VC150" s="1"/>
      <c r="VD150" s="1"/>
      <c r="VE150" s="1"/>
      <c r="VF150" s="1"/>
      <c r="VG150" s="1"/>
      <c r="VH150" s="1"/>
      <c r="VI150" s="1"/>
      <c r="VJ150" s="1"/>
      <c r="VK150" s="1"/>
      <c r="VL150" s="1"/>
      <c r="VM150" s="1"/>
      <c r="VN150" s="1"/>
      <c r="VO150" s="1"/>
      <c r="VP150" s="1"/>
      <c r="VQ150" s="1"/>
      <c r="VR150" s="1"/>
      <c r="VS150" s="1"/>
      <c r="VT150" s="1"/>
      <c r="VU150" s="1"/>
      <c r="VV150" s="1"/>
      <c r="VW150" s="1"/>
      <c r="VX150" s="1"/>
      <c r="VY150" s="1"/>
      <c r="VZ150" s="1"/>
      <c r="WA150" s="1"/>
      <c r="WB150" s="1"/>
      <c r="WC150" s="1"/>
      <c r="WD150" s="1"/>
      <c r="WE150" s="1"/>
      <c r="WF150" s="1"/>
      <c r="WG150" s="1"/>
      <c r="WH150" s="1"/>
      <c r="WI150" s="1"/>
      <c r="WJ150" s="1"/>
      <c r="WK150" s="1"/>
      <c r="WL150" s="1"/>
      <c r="WM150" s="1"/>
      <c r="WN150" s="1"/>
      <c r="WO150" s="1"/>
      <c r="WP150" s="1"/>
      <c r="WQ150" s="1"/>
      <c r="WR150" s="1"/>
      <c r="WS150" s="1"/>
      <c r="WT150" s="1"/>
      <c r="WU150" s="1"/>
      <c r="WV150" s="1"/>
      <c r="WW150" s="1"/>
      <c r="WX150" s="1"/>
      <c r="WY150" s="1"/>
      <c r="WZ150" s="1"/>
      <c r="XA150" s="1"/>
      <c r="XB150" s="1"/>
      <c r="XC150" s="1"/>
      <c r="XD150" s="1"/>
      <c r="XE150" s="1"/>
      <c r="XF150" s="1"/>
      <c r="XG150" s="1"/>
      <c r="XH150" s="1"/>
      <c r="XI150" s="1"/>
      <c r="XJ150" s="1"/>
      <c r="XK150" s="1"/>
      <c r="XL150" s="1"/>
      <c r="XM150" s="1"/>
      <c r="XN150" s="1"/>
      <c r="XO150" s="1"/>
      <c r="XP150" s="1"/>
      <c r="XQ150" s="1"/>
      <c r="XR150" s="1"/>
      <c r="XS150" s="1"/>
      <c r="XT150" s="1"/>
      <c r="XU150" s="1"/>
      <c r="XV150" s="1"/>
      <c r="XW150" s="1"/>
      <c r="XX150" s="1"/>
      <c r="XY150" s="1"/>
      <c r="XZ150" s="1"/>
      <c r="YA150" s="1"/>
      <c r="YB150" s="1"/>
      <c r="YC150" s="1"/>
      <c r="YD150" s="1"/>
      <c r="YE150" s="1"/>
      <c r="YF150" s="1"/>
      <c r="YG150" s="1"/>
      <c r="YH150" s="1"/>
      <c r="YI150" s="1"/>
      <c r="YJ150" s="1"/>
      <c r="YK150" s="1"/>
      <c r="YL150" s="1"/>
      <c r="YM150" s="1"/>
      <c r="YN150" s="1"/>
      <c r="YO150" s="1"/>
      <c r="YP150" s="1"/>
      <c r="YQ150" s="1"/>
      <c r="YR150" s="1"/>
      <c r="YS150" s="1"/>
      <c r="YT150" s="1"/>
      <c r="YU150" s="1"/>
      <c r="YV150" s="1"/>
      <c r="YW150" s="1"/>
      <c r="YX150" s="1"/>
      <c r="YY150" s="1"/>
      <c r="YZ150" s="1"/>
      <c r="ZA150" s="1"/>
      <c r="ZB150" s="1"/>
      <c r="ZC150" s="1"/>
      <c r="ZD150" s="1"/>
      <c r="ZE150" s="1"/>
      <c r="ZF150" s="1"/>
      <c r="ZG150" s="1"/>
      <c r="ZH150" s="1"/>
      <c r="ZI150" s="1"/>
      <c r="ZJ150" s="1"/>
      <c r="ZK150" s="1"/>
      <c r="ZL150" s="1"/>
      <c r="ZM150" s="1"/>
      <c r="ZN150" s="1"/>
      <c r="ZO150" s="1"/>
      <c r="ZP150" s="1"/>
      <c r="ZQ150" s="1"/>
      <c r="ZR150" s="1"/>
      <c r="ZS150" s="1"/>
      <c r="ZT150" s="1"/>
      <c r="ZU150" s="1"/>
      <c r="ZV150" s="1"/>
      <c r="ZW150" s="1"/>
      <c r="ZX150" s="1"/>
      <c r="ZY150" s="1"/>
      <c r="ZZ150" s="1"/>
      <c r="AAA150" s="1"/>
      <c r="AAB150" s="1"/>
      <c r="AAC150" s="1"/>
      <c r="AAD150" s="1"/>
      <c r="AAE150" s="1"/>
      <c r="AAF150" s="1"/>
      <c r="AAG150" s="1"/>
      <c r="AAH150" s="1"/>
      <c r="AAI150" s="1"/>
      <c r="AAJ150" s="1"/>
      <c r="AAK150" s="1"/>
      <c r="AAL150" s="1"/>
      <c r="AAM150" s="1"/>
      <c r="AAN150" s="1"/>
      <c r="AAO150" s="1"/>
      <c r="AAP150" s="1"/>
      <c r="AAQ150" s="1"/>
      <c r="AAR150" s="1"/>
      <c r="AAS150" s="1"/>
      <c r="AAT150" s="1"/>
      <c r="AAU150" s="1"/>
      <c r="AAV150" s="1"/>
      <c r="AAW150" s="1"/>
      <c r="AAX150" s="1"/>
      <c r="AAY150" s="1"/>
      <c r="AAZ150" s="1"/>
      <c r="ABA150" s="1"/>
      <c r="ABB150" s="1"/>
      <c r="ABC150" s="1"/>
      <c r="ABD150" s="1"/>
      <c r="ABE150" s="1"/>
      <c r="ABF150" s="1"/>
      <c r="ABG150" s="1"/>
      <c r="ABH150" s="1"/>
      <c r="ABI150" s="1"/>
      <c r="ABJ150" s="1"/>
      <c r="ABK150" s="1"/>
      <c r="ABL150" s="1"/>
      <c r="ABM150" s="1"/>
      <c r="ABN150" s="1"/>
      <c r="ABO150" s="1"/>
      <c r="ABP150" s="1"/>
      <c r="ABQ150" s="1"/>
      <c r="ABR150" s="1"/>
      <c r="ABS150" s="1"/>
      <c r="ABT150" s="1"/>
      <c r="ABU150" s="1"/>
      <c r="ABV150" s="1"/>
      <c r="ABW150" s="1"/>
      <c r="ABX150" s="1"/>
      <c r="ABY150" s="1"/>
      <c r="ABZ150" s="1"/>
      <c r="ACA150" s="1"/>
      <c r="ACB150" s="1"/>
      <c r="ACC150" s="1"/>
      <c r="ACD150" s="1"/>
      <c r="ACE150" s="1"/>
      <c r="ACF150" s="1"/>
      <c r="ACG150" s="1"/>
      <c r="ACH150" s="1"/>
      <c r="ACI150" s="1"/>
      <c r="ACJ150" s="1"/>
      <c r="ACK150" s="1"/>
      <c r="ACL150" s="1"/>
      <c r="ACM150" s="1"/>
      <c r="ACN150" s="1"/>
      <c r="ACO150" s="1"/>
      <c r="ACP150" s="1"/>
      <c r="ACQ150" s="1"/>
      <c r="ACR150" s="1"/>
      <c r="ACS150" s="1"/>
      <c r="ACT150" s="1"/>
      <c r="ACU150" s="1"/>
      <c r="ACV150" s="1"/>
      <c r="ACW150" s="1"/>
      <c r="ACX150" s="1"/>
      <c r="ACY150" s="1"/>
      <c r="ACZ150" s="1"/>
      <c r="ADA150" s="1"/>
      <c r="ADB150" s="1"/>
      <c r="ADC150" s="1"/>
      <c r="ADD150" s="1"/>
      <c r="ADE150" s="1"/>
      <c r="ADF150" s="1"/>
      <c r="ADG150" s="1"/>
      <c r="ADH150" s="1"/>
      <c r="ADI150" s="1"/>
      <c r="ADJ150" s="1"/>
      <c r="ADK150" s="1"/>
      <c r="ADL150" s="1"/>
      <c r="ADM150" s="1"/>
      <c r="ADN150" s="1"/>
      <c r="ADO150" s="1"/>
      <c r="ADP150" s="1"/>
      <c r="ADQ150" s="1"/>
      <c r="ADR150" s="1"/>
      <c r="ADS150" s="1"/>
      <c r="ADT150" s="1"/>
      <c r="ADU150" s="1"/>
      <c r="ADV150" s="1"/>
      <c r="ADW150" s="1"/>
      <c r="ADX150" s="1"/>
      <c r="ADY150" s="1"/>
      <c r="ADZ150" s="1"/>
      <c r="AEA150" s="1"/>
      <c r="AEB150" s="1"/>
      <c r="AEC150" s="1"/>
      <c r="AED150" s="1"/>
      <c r="AEE150" s="1"/>
      <c r="AEF150" s="1"/>
      <c r="AEG150" s="1"/>
      <c r="AEH150" s="1"/>
      <c r="AEI150" s="1"/>
      <c r="AEJ150" s="1"/>
      <c r="AEK150" s="1"/>
      <c r="AEL150" s="1"/>
      <c r="AEM150" s="1"/>
      <c r="AEN150" s="1"/>
      <c r="AEO150" s="1"/>
      <c r="AEP150" s="1"/>
      <c r="AEQ150" s="1"/>
      <c r="AER150" s="1"/>
      <c r="AES150" s="1"/>
      <c r="AET150" s="1"/>
      <c r="AEU150" s="1"/>
      <c r="AEV150" s="1"/>
      <c r="AEW150" s="1"/>
      <c r="AEX150" s="1"/>
      <c r="AEY150" s="1"/>
      <c r="AEZ150" s="1"/>
      <c r="AFA150" s="1"/>
      <c r="AFB150" s="1"/>
      <c r="AFC150" s="1"/>
      <c r="AFD150" s="1"/>
      <c r="AFE150" s="1"/>
      <c r="AFF150" s="1"/>
      <c r="AFG150" s="1"/>
      <c r="AFH150" s="1"/>
      <c r="AFI150" s="1"/>
      <c r="AFJ150" s="1"/>
      <c r="AFK150" s="1"/>
      <c r="AFL150" s="1"/>
      <c r="AFM150" s="1"/>
      <c r="AFN150" s="1"/>
      <c r="AFO150" s="1"/>
      <c r="AFP150" s="1"/>
      <c r="AFQ150" s="1"/>
      <c r="AFR150" s="1"/>
      <c r="AFS150" s="1"/>
      <c r="AFT150" s="1"/>
      <c r="AFU150" s="1"/>
      <c r="AFV150" s="1"/>
      <c r="AFW150" s="1"/>
      <c r="AFX150" s="1"/>
      <c r="AFY150" s="1"/>
      <c r="AFZ150" s="1"/>
      <c r="AGA150" s="1"/>
      <c r="AGB150" s="1"/>
      <c r="AGC150" s="1"/>
      <c r="AGD150" s="1"/>
      <c r="AGE150" s="1"/>
      <c r="AGF150" s="1"/>
      <c r="AGG150" s="1"/>
      <c r="AGH150" s="1"/>
      <c r="AGI150" s="1"/>
      <c r="AGJ150" s="1"/>
      <c r="AGK150" s="1"/>
      <c r="AGL150" s="1"/>
      <c r="AGM150" s="1"/>
      <c r="AGN150" s="1"/>
      <c r="AGO150" s="1"/>
      <c r="AGP150" s="1"/>
      <c r="AGQ150" s="1"/>
      <c r="AGR150" s="1"/>
      <c r="AGS150" s="1"/>
      <c r="AGT150" s="1"/>
      <c r="AGU150" s="1"/>
      <c r="AGV150" s="1"/>
      <c r="AGW150" s="1"/>
      <c r="AGX150" s="1"/>
      <c r="AGY150" s="1"/>
      <c r="AGZ150" s="1"/>
      <c r="AHA150" s="1"/>
      <c r="AHB150" s="1"/>
      <c r="AHC150" s="1"/>
      <c r="AHD150" s="1"/>
      <c r="AHE150" s="1"/>
      <c r="AHF150" s="1"/>
      <c r="AHG150" s="1"/>
      <c r="AHH150" s="1"/>
      <c r="AHI150" s="1"/>
      <c r="AHJ150" s="1"/>
      <c r="AHK150" s="1"/>
      <c r="AHL150" s="1"/>
      <c r="AHM150" s="1"/>
      <c r="AHN150" s="1"/>
      <c r="AHO150" s="1"/>
      <c r="AHP150" s="1"/>
      <c r="AHQ150" s="1"/>
      <c r="AHR150" s="1"/>
      <c r="AHS150" s="1"/>
      <c r="AHT150" s="1"/>
      <c r="AHU150" s="1"/>
      <c r="AHV150" s="1"/>
      <c r="AHW150" s="1"/>
      <c r="AHX150" s="1"/>
      <c r="AHY150" s="1"/>
      <c r="AHZ150" s="1"/>
      <c r="AIA150" s="1"/>
      <c r="AIB150" s="1"/>
      <c r="AIC150" s="1"/>
      <c r="AID150" s="1"/>
      <c r="AIE150" s="1"/>
      <c r="AIF150" s="1"/>
      <c r="AIG150" s="1"/>
      <c r="AIH150" s="1"/>
      <c r="AII150" s="1"/>
      <c r="AIJ150" s="1"/>
      <c r="AIK150" s="1"/>
      <c r="AIL150" s="1"/>
      <c r="AIM150" s="1"/>
      <c r="AIN150" s="1"/>
      <c r="AIO150" s="1"/>
      <c r="AIP150" s="1"/>
      <c r="AIQ150" s="1"/>
      <c r="AIR150" s="1"/>
      <c r="AIS150" s="1"/>
      <c r="AIT150" s="1"/>
      <c r="AIU150" s="1"/>
      <c r="AIV150" s="1"/>
      <c r="AIW150" s="1"/>
      <c r="AIX150" s="1"/>
      <c r="AIY150" s="1"/>
      <c r="AIZ150" s="1"/>
      <c r="AJA150" s="1"/>
      <c r="AJB150" s="1"/>
      <c r="AJC150" s="1"/>
      <c r="AJD150" s="1"/>
      <c r="AJE150" s="1"/>
      <c r="AJF150" s="1"/>
      <c r="AJG150" s="1"/>
      <c r="AJH150" s="1"/>
      <c r="AJI150" s="1"/>
      <c r="AJJ150" s="1"/>
      <c r="AJK150" s="1"/>
      <c r="AJL150" s="1"/>
      <c r="AJM150" s="1"/>
      <c r="AJN150" s="1"/>
      <c r="AJO150" s="1"/>
      <c r="AJP150" s="1"/>
      <c r="AJQ150" s="1"/>
      <c r="AJR150" s="1"/>
      <c r="AJS150" s="1"/>
      <c r="AJT150" s="1"/>
      <c r="AJU150" s="1"/>
      <c r="AJV150" s="1"/>
      <c r="AJW150" s="1"/>
      <c r="AJX150" s="1"/>
      <c r="AJY150" s="1"/>
      <c r="AJZ150" s="1"/>
      <c r="AKA150" s="1"/>
      <c r="AKB150" s="1"/>
      <c r="AKC150" s="1"/>
      <c r="AKD150" s="1"/>
      <c r="AKE150" s="1"/>
      <c r="AKF150" s="1"/>
      <c r="AKG150" s="1"/>
      <c r="AKH150" s="1"/>
      <c r="AKI150" s="1"/>
      <c r="AKJ150" s="1"/>
      <c r="AKK150" s="1"/>
      <c r="AKL150" s="1"/>
      <c r="AKM150" s="1"/>
      <c r="AKN150" s="1"/>
      <c r="AKO150" s="1"/>
      <c r="AKP150" s="1"/>
      <c r="AKQ150" s="1"/>
      <c r="AKR150" s="1"/>
      <c r="AKS150" s="1"/>
      <c r="AKT150" s="1"/>
      <c r="AKU150" s="1"/>
      <c r="AKV150" s="1"/>
      <c r="AKW150" s="1"/>
      <c r="AKX150" s="1"/>
      <c r="AKY150" s="1"/>
      <c r="AKZ150" s="1"/>
      <c r="ALA150" s="1"/>
      <c r="ALB150" s="1"/>
      <c r="ALC150" s="1"/>
      <c r="ALD150" s="1"/>
      <c r="ALE150" s="1"/>
      <c r="ALF150" s="1"/>
      <c r="ALG150" s="1"/>
      <c r="ALH150" s="1"/>
      <c r="ALI150" s="1"/>
      <c r="ALJ150" s="1"/>
      <c r="ALK150" s="1"/>
      <c r="ALL150" s="1"/>
      <c r="ALM150" s="1"/>
      <c r="ALN150" s="1"/>
      <c r="ALO150" s="1"/>
      <c r="ALP150" s="1"/>
      <c r="ALQ150" s="1"/>
      <c r="ALR150" s="1"/>
      <c r="ALS150" s="1"/>
      <c r="ALT150" s="1"/>
      <c r="ALU150" s="1"/>
      <c r="ALV150" s="1"/>
      <c r="ALW150" s="1"/>
      <c r="ALX150" s="1"/>
      <c r="ALY150" s="1"/>
      <c r="ALZ150" s="1"/>
      <c r="AMA150" s="1"/>
      <c r="AMB150" s="1"/>
      <c r="AMC150" s="1"/>
      <c r="AMD150" s="1"/>
      <c r="AME150" s="1"/>
      <c r="AMF150" s="1"/>
      <c r="AMG150" s="1"/>
      <c r="AMH150" s="1"/>
      <c r="AMI150" s="1"/>
      <c r="AMJ150" s="1"/>
    </row>
    <row r="151" customFormat="false" ht="2.25" hidden="false" customHeight="true" outlineLevel="0" collapsed="false">
      <c r="A151" s="38"/>
      <c r="C151" s="216"/>
      <c r="D151" s="216"/>
      <c r="E151" s="216"/>
      <c r="F151" s="216"/>
      <c r="G151" s="216"/>
      <c r="H151" s="216"/>
      <c r="I151" s="216"/>
      <c r="J151" s="216"/>
      <c r="AK151" s="216"/>
      <c r="AO151" s="40"/>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c r="IY151" s="1"/>
      <c r="IZ151" s="1"/>
      <c r="JA151" s="1"/>
      <c r="JB151" s="1"/>
      <c r="JC151" s="1"/>
      <c r="JD151" s="1"/>
      <c r="JE151" s="1"/>
      <c r="JF151" s="1"/>
      <c r="JG151" s="1"/>
      <c r="JH151" s="1"/>
      <c r="JI151" s="1"/>
      <c r="JJ151" s="1"/>
      <c r="JK151" s="1"/>
      <c r="JL151" s="1"/>
      <c r="JM151" s="1"/>
      <c r="JN151" s="1"/>
      <c r="JO151" s="1"/>
      <c r="JP151" s="1"/>
      <c r="JQ151" s="1"/>
      <c r="JR151" s="1"/>
      <c r="JS151" s="1"/>
      <c r="JT151" s="1"/>
      <c r="JU151" s="1"/>
      <c r="JV151" s="1"/>
      <c r="JW151" s="1"/>
      <c r="JX151" s="1"/>
      <c r="JY151" s="1"/>
      <c r="JZ151" s="1"/>
      <c r="KA151" s="1"/>
      <c r="KB151" s="1"/>
      <c r="KC151" s="1"/>
      <c r="KD151" s="1"/>
      <c r="KE151" s="1"/>
      <c r="KF151" s="1"/>
      <c r="KG151" s="1"/>
      <c r="KH151" s="1"/>
      <c r="KI151" s="1"/>
      <c r="KJ151" s="1"/>
      <c r="KK151" s="1"/>
      <c r="KL151" s="1"/>
      <c r="KM151" s="1"/>
      <c r="KN151" s="1"/>
      <c r="KO151" s="1"/>
      <c r="KP151" s="1"/>
      <c r="KQ151" s="1"/>
      <c r="KR151" s="1"/>
      <c r="KS151" s="1"/>
      <c r="KT151" s="1"/>
      <c r="KU151" s="1"/>
      <c r="KV151" s="1"/>
      <c r="KW151" s="1"/>
      <c r="KX151" s="1"/>
      <c r="KY151" s="1"/>
      <c r="KZ151" s="1"/>
      <c r="LA151" s="1"/>
      <c r="LB151" s="1"/>
      <c r="LC151" s="1"/>
      <c r="LD151" s="1"/>
      <c r="LE151" s="1"/>
      <c r="LF151" s="1"/>
      <c r="LG151" s="1"/>
      <c r="LH151" s="1"/>
      <c r="LI151" s="1"/>
      <c r="LJ151" s="1"/>
      <c r="LK151" s="1"/>
      <c r="LL151" s="1"/>
      <c r="LM151" s="1"/>
      <c r="LN151" s="1"/>
      <c r="LO151" s="1"/>
      <c r="LP151" s="1"/>
      <c r="LQ151" s="1"/>
      <c r="LR151" s="1"/>
      <c r="LS151" s="1"/>
      <c r="LT151" s="1"/>
      <c r="LU151" s="1"/>
      <c r="LV151" s="1"/>
      <c r="LW151" s="1"/>
      <c r="LX151" s="1"/>
      <c r="LY151" s="1"/>
      <c r="LZ151" s="1"/>
      <c r="MA151" s="1"/>
      <c r="MB151" s="1"/>
      <c r="MC151" s="1"/>
      <c r="MD151" s="1"/>
      <c r="ME151" s="1"/>
      <c r="MF151" s="1"/>
      <c r="MG151" s="1"/>
      <c r="MH151" s="1"/>
      <c r="MI151" s="1"/>
      <c r="MJ151" s="1"/>
      <c r="MK151" s="1"/>
      <c r="ML151" s="1"/>
      <c r="MM151" s="1"/>
      <c r="MN151" s="1"/>
      <c r="MO151" s="1"/>
      <c r="MP151" s="1"/>
      <c r="MQ151" s="1"/>
      <c r="MR151" s="1"/>
      <c r="MS151" s="1"/>
      <c r="MT151" s="1"/>
      <c r="MU151" s="1"/>
      <c r="MV151" s="1"/>
      <c r="MW151" s="1"/>
      <c r="MX151" s="1"/>
      <c r="MY151" s="1"/>
      <c r="MZ151" s="1"/>
      <c r="NA151" s="1"/>
      <c r="NB151" s="1"/>
      <c r="NC151" s="1"/>
      <c r="ND151" s="1"/>
      <c r="NE151" s="1"/>
      <c r="NF151" s="1"/>
      <c r="NG151" s="1"/>
      <c r="NH151" s="1"/>
      <c r="NI151" s="1"/>
      <c r="NJ151" s="1"/>
      <c r="NK151" s="1"/>
      <c r="NL151" s="1"/>
      <c r="NM151" s="1"/>
      <c r="NN151" s="1"/>
      <c r="NO151" s="1"/>
      <c r="NP151" s="1"/>
      <c r="NQ151" s="1"/>
      <c r="NR151" s="1"/>
      <c r="NS151" s="1"/>
      <c r="NT151" s="1"/>
      <c r="NU151" s="1"/>
      <c r="NV151" s="1"/>
      <c r="NW151" s="1"/>
      <c r="NX151" s="1"/>
      <c r="NY151" s="1"/>
      <c r="NZ151" s="1"/>
      <c r="OA151" s="1"/>
      <c r="OB151" s="1"/>
      <c r="OC151" s="1"/>
      <c r="OD151" s="1"/>
      <c r="OE151" s="1"/>
      <c r="OF151" s="1"/>
      <c r="OG151" s="1"/>
      <c r="OH151" s="1"/>
      <c r="OI151" s="1"/>
      <c r="OJ151" s="1"/>
      <c r="OK151" s="1"/>
      <c r="OL151" s="1"/>
      <c r="OM151" s="1"/>
      <c r="ON151" s="1"/>
      <c r="OO151" s="1"/>
      <c r="OP151" s="1"/>
      <c r="OQ151" s="1"/>
      <c r="OR151" s="1"/>
      <c r="OS151" s="1"/>
      <c r="OT151" s="1"/>
      <c r="OU151" s="1"/>
      <c r="OV151" s="1"/>
      <c r="OW151" s="1"/>
      <c r="OX151" s="1"/>
      <c r="OY151" s="1"/>
      <c r="OZ151" s="1"/>
      <c r="PA151" s="1"/>
      <c r="PB151" s="1"/>
      <c r="PC151" s="1"/>
      <c r="PD151" s="1"/>
      <c r="PE151" s="1"/>
      <c r="PF151" s="1"/>
      <c r="PG151" s="1"/>
      <c r="PH151" s="1"/>
      <c r="PI151" s="1"/>
      <c r="PJ151" s="1"/>
      <c r="PK151" s="1"/>
      <c r="PL151" s="1"/>
      <c r="PM151" s="1"/>
      <c r="PN151" s="1"/>
      <c r="PO151" s="1"/>
      <c r="PP151" s="1"/>
      <c r="PQ151" s="1"/>
      <c r="PR151" s="1"/>
      <c r="PS151" s="1"/>
      <c r="PT151" s="1"/>
      <c r="PU151" s="1"/>
      <c r="PV151" s="1"/>
      <c r="PW151" s="1"/>
      <c r="PX151" s="1"/>
      <c r="PY151" s="1"/>
      <c r="PZ151" s="1"/>
      <c r="QA151" s="1"/>
      <c r="QB151" s="1"/>
      <c r="QC151" s="1"/>
      <c r="QD151" s="1"/>
      <c r="QE151" s="1"/>
      <c r="QF151" s="1"/>
      <c r="QG151" s="1"/>
      <c r="QH151" s="1"/>
      <c r="QI151" s="1"/>
      <c r="QJ151" s="1"/>
      <c r="QK151" s="1"/>
      <c r="QL151" s="1"/>
      <c r="QM151" s="1"/>
      <c r="QN151" s="1"/>
      <c r="QO151" s="1"/>
      <c r="QP151" s="1"/>
      <c r="QQ151" s="1"/>
      <c r="QR151" s="1"/>
      <c r="QS151" s="1"/>
      <c r="QT151" s="1"/>
      <c r="QU151" s="1"/>
      <c r="QV151" s="1"/>
      <c r="QW151" s="1"/>
      <c r="QX151" s="1"/>
      <c r="QY151" s="1"/>
      <c r="QZ151" s="1"/>
      <c r="RA151" s="1"/>
      <c r="RB151" s="1"/>
      <c r="RC151" s="1"/>
      <c r="RD151" s="1"/>
      <c r="RE151" s="1"/>
      <c r="RF151" s="1"/>
      <c r="RG151" s="1"/>
      <c r="RH151" s="1"/>
      <c r="RI151" s="1"/>
      <c r="RJ151" s="1"/>
      <c r="RK151" s="1"/>
      <c r="RL151" s="1"/>
      <c r="RM151" s="1"/>
      <c r="RN151" s="1"/>
      <c r="RO151" s="1"/>
      <c r="RP151" s="1"/>
      <c r="RQ151" s="1"/>
      <c r="RR151" s="1"/>
      <c r="RS151" s="1"/>
      <c r="RT151" s="1"/>
      <c r="RU151" s="1"/>
      <c r="RV151" s="1"/>
      <c r="RW151" s="1"/>
      <c r="RX151" s="1"/>
      <c r="RY151" s="1"/>
      <c r="RZ151" s="1"/>
      <c r="SA151" s="1"/>
      <c r="SB151" s="1"/>
      <c r="SC151" s="1"/>
      <c r="SD151" s="1"/>
      <c r="SE151" s="1"/>
      <c r="SF151" s="1"/>
      <c r="SG151" s="1"/>
      <c r="SH151" s="1"/>
      <c r="SI151" s="1"/>
      <c r="SJ151" s="1"/>
      <c r="SK151" s="1"/>
      <c r="SL151" s="1"/>
      <c r="SM151" s="1"/>
      <c r="SN151" s="1"/>
      <c r="SO151" s="1"/>
      <c r="SP151" s="1"/>
      <c r="SQ151" s="1"/>
      <c r="SR151" s="1"/>
      <c r="SS151" s="1"/>
      <c r="ST151" s="1"/>
      <c r="SU151" s="1"/>
      <c r="SV151" s="1"/>
      <c r="SW151" s="1"/>
      <c r="SX151" s="1"/>
      <c r="SY151" s="1"/>
      <c r="SZ151" s="1"/>
      <c r="TA151" s="1"/>
      <c r="TB151" s="1"/>
      <c r="TC151" s="1"/>
      <c r="TD151" s="1"/>
      <c r="TE151" s="1"/>
      <c r="TF151" s="1"/>
      <c r="TG151" s="1"/>
      <c r="TH151" s="1"/>
      <c r="TI151" s="1"/>
      <c r="TJ151" s="1"/>
      <c r="TK151" s="1"/>
      <c r="TL151" s="1"/>
      <c r="TM151" s="1"/>
      <c r="TN151" s="1"/>
      <c r="TO151" s="1"/>
      <c r="TP151" s="1"/>
      <c r="TQ151" s="1"/>
      <c r="TR151" s="1"/>
      <c r="TS151" s="1"/>
      <c r="TT151" s="1"/>
      <c r="TU151" s="1"/>
      <c r="TV151" s="1"/>
      <c r="TW151" s="1"/>
      <c r="TX151" s="1"/>
      <c r="TY151" s="1"/>
      <c r="TZ151" s="1"/>
      <c r="UA151" s="1"/>
      <c r="UB151" s="1"/>
      <c r="UC151" s="1"/>
      <c r="UD151" s="1"/>
      <c r="UE151" s="1"/>
      <c r="UF151" s="1"/>
      <c r="UG151" s="1"/>
      <c r="UH151" s="1"/>
      <c r="UI151" s="1"/>
      <c r="UJ151" s="1"/>
      <c r="UK151" s="1"/>
      <c r="UL151" s="1"/>
      <c r="UM151" s="1"/>
      <c r="UN151" s="1"/>
      <c r="UO151" s="1"/>
      <c r="UP151" s="1"/>
      <c r="UQ151" s="1"/>
      <c r="UR151" s="1"/>
      <c r="US151" s="1"/>
      <c r="UT151" s="1"/>
      <c r="UU151" s="1"/>
      <c r="UV151" s="1"/>
      <c r="UW151" s="1"/>
      <c r="UX151" s="1"/>
      <c r="UY151" s="1"/>
      <c r="UZ151" s="1"/>
      <c r="VA151" s="1"/>
      <c r="VB151" s="1"/>
      <c r="VC151" s="1"/>
      <c r="VD151" s="1"/>
      <c r="VE151" s="1"/>
      <c r="VF151" s="1"/>
      <c r="VG151" s="1"/>
      <c r="VH151" s="1"/>
      <c r="VI151" s="1"/>
      <c r="VJ151" s="1"/>
      <c r="VK151" s="1"/>
      <c r="VL151" s="1"/>
      <c r="VM151" s="1"/>
      <c r="VN151" s="1"/>
      <c r="VO151" s="1"/>
      <c r="VP151" s="1"/>
      <c r="VQ151" s="1"/>
      <c r="VR151" s="1"/>
      <c r="VS151" s="1"/>
      <c r="VT151" s="1"/>
      <c r="VU151" s="1"/>
      <c r="VV151" s="1"/>
      <c r="VW151" s="1"/>
      <c r="VX151" s="1"/>
      <c r="VY151" s="1"/>
      <c r="VZ151" s="1"/>
      <c r="WA151" s="1"/>
      <c r="WB151" s="1"/>
      <c r="WC151" s="1"/>
      <c r="WD151" s="1"/>
      <c r="WE151" s="1"/>
      <c r="WF151" s="1"/>
      <c r="WG151" s="1"/>
      <c r="WH151" s="1"/>
      <c r="WI151" s="1"/>
      <c r="WJ151" s="1"/>
      <c r="WK151" s="1"/>
      <c r="WL151" s="1"/>
      <c r="WM151" s="1"/>
      <c r="WN151" s="1"/>
      <c r="WO151" s="1"/>
      <c r="WP151" s="1"/>
      <c r="WQ151" s="1"/>
      <c r="WR151" s="1"/>
      <c r="WS151" s="1"/>
      <c r="WT151" s="1"/>
      <c r="WU151" s="1"/>
      <c r="WV151" s="1"/>
      <c r="WW151" s="1"/>
      <c r="WX151" s="1"/>
      <c r="WY151" s="1"/>
      <c r="WZ151" s="1"/>
      <c r="XA151" s="1"/>
      <c r="XB151" s="1"/>
      <c r="XC151" s="1"/>
      <c r="XD151" s="1"/>
      <c r="XE151" s="1"/>
      <c r="XF151" s="1"/>
      <c r="XG151" s="1"/>
      <c r="XH151" s="1"/>
      <c r="XI151" s="1"/>
      <c r="XJ151" s="1"/>
      <c r="XK151" s="1"/>
      <c r="XL151" s="1"/>
      <c r="XM151" s="1"/>
      <c r="XN151" s="1"/>
      <c r="XO151" s="1"/>
      <c r="XP151" s="1"/>
      <c r="XQ151" s="1"/>
      <c r="XR151" s="1"/>
      <c r="XS151" s="1"/>
      <c r="XT151" s="1"/>
      <c r="XU151" s="1"/>
      <c r="XV151" s="1"/>
      <c r="XW151" s="1"/>
      <c r="XX151" s="1"/>
      <c r="XY151" s="1"/>
      <c r="XZ151" s="1"/>
      <c r="YA151" s="1"/>
      <c r="YB151" s="1"/>
      <c r="YC151" s="1"/>
      <c r="YD151" s="1"/>
      <c r="YE151" s="1"/>
      <c r="YF151" s="1"/>
      <c r="YG151" s="1"/>
      <c r="YH151" s="1"/>
      <c r="YI151" s="1"/>
      <c r="YJ151" s="1"/>
      <c r="YK151" s="1"/>
      <c r="YL151" s="1"/>
      <c r="YM151" s="1"/>
      <c r="YN151" s="1"/>
      <c r="YO151" s="1"/>
      <c r="YP151" s="1"/>
      <c r="YQ151" s="1"/>
      <c r="YR151" s="1"/>
      <c r="YS151" s="1"/>
      <c r="YT151" s="1"/>
      <c r="YU151" s="1"/>
      <c r="YV151" s="1"/>
      <c r="YW151" s="1"/>
      <c r="YX151" s="1"/>
      <c r="YY151" s="1"/>
      <c r="YZ151" s="1"/>
      <c r="ZA151" s="1"/>
      <c r="ZB151" s="1"/>
      <c r="ZC151" s="1"/>
      <c r="ZD151" s="1"/>
      <c r="ZE151" s="1"/>
      <c r="ZF151" s="1"/>
      <c r="ZG151" s="1"/>
      <c r="ZH151" s="1"/>
      <c r="ZI151" s="1"/>
      <c r="ZJ151" s="1"/>
      <c r="ZK151" s="1"/>
      <c r="ZL151" s="1"/>
      <c r="ZM151" s="1"/>
      <c r="ZN151" s="1"/>
      <c r="ZO151" s="1"/>
      <c r="ZP151" s="1"/>
      <c r="ZQ151" s="1"/>
      <c r="ZR151" s="1"/>
      <c r="ZS151" s="1"/>
      <c r="ZT151" s="1"/>
      <c r="ZU151" s="1"/>
      <c r="ZV151" s="1"/>
      <c r="ZW151" s="1"/>
      <c r="ZX151" s="1"/>
      <c r="ZY151" s="1"/>
      <c r="ZZ151" s="1"/>
      <c r="AAA151" s="1"/>
      <c r="AAB151" s="1"/>
      <c r="AAC151" s="1"/>
      <c r="AAD151" s="1"/>
      <c r="AAE151" s="1"/>
      <c r="AAF151" s="1"/>
      <c r="AAG151" s="1"/>
      <c r="AAH151" s="1"/>
      <c r="AAI151" s="1"/>
      <c r="AAJ151" s="1"/>
      <c r="AAK151" s="1"/>
      <c r="AAL151" s="1"/>
      <c r="AAM151" s="1"/>
      <c r="AAN151" s="1"/>
      <c r="AAO151" s="1"/>
      <c r="AAP151" s="1"/>
      <c r="AAQ151" s="1"/>
      <c r="AAR151" s="1"/>
      <c r="AAS151" s="1"/>
      <c r="AAT151" s="1"/>
      <c r="AAU151" s="1"/>
      <c r="AAV151" s="1"/>
      <c r="AAW151" s="1"/>
      <c r="AAX151" s="1"/>
      <c r="AAY151" s="1"/>
      <c r="AAZ151" s="1"/>
      <c r="ABA151" s="1"/>
      <c r="ABB151" s="1"/>
      <c r="ABC151" s="1"/>
      <c r="ABD151" s="1"/>
      <c r="ABE151" s="1"/>
      <c r="ABF151" s="1"/>
      <c r="ABG151" s="1"/>
      <c r="ABH151" s="1"/>
      <c r="ABI151" s="1"/>
      <c r="ABJ151" s="1"/>
      <c r="ABK151" s="1"/>
      <c r="ABL151" s="1"/>
      <c r="ABM151" s="1"/>
      <c r="ABN151" s="1"/>
      <c r="ABO151" s="1"/>
      <c r="ABP151" s="1"/>
      <c r="ABQ151" s="1"/>
      <c r="ABR151" s="1"/>
      <c r="ABS151" s="1"/>
      <c r="ABT151" s="1"/>
      <c r="ABU151" s="1"/>
      <c r="ABV151" s="1"/>
      <c r="ABW151" s="1"/>
      <c r="ABX151" s="1"/>
      <c r="ABY151" s="1"/>
      <c r="ABZ151" s="1"/>
      <c r="ACA151" s="1"/>
      <c r="ACB151" s="1"/>
      <c r="ACC151" s="1"/>
      <c r="ACD151" s="1"/>
      <c r="ACE151" s="1"/>
      <c r="ACF151" s="1"/>
      <c r="ACG151" s="1"/>
      <c r="ACH151" s="1"/>
      <c r="ACI151" s="1"/>
      <c r="ACJ151" s="1"/>
      <c r="ACK151" s="1"/>
      <c r="ACL151" s="1"/>
      <c r="ACM151" s="1"/>
      <c r="ACN151" s="1"/>
      <c r="ACO151" s="1"/>
      <c r="ACP151" s="1"/>
      <c r="ACQ151" s="1"/>
      <c r="ACR151" s="1"/>
      <c r="ACS151" s="1"/>
      <c r="ACT151" s="1"/>
      <c r="ACU151" s="1"/>
      <c r="ACV151" s="1"/>
      <c r="ACW151" s="1"/>
      <c r="ACX151" s="1"/>
      <c r="ACY151" s="1"/>
      <c r="ACZ151" s="1"/>
      <c r="ADA151" s="1"/>
      <c r="ADB151" s="1"/>
      <c r="ADC151" s="1"/>
      <c r="ADD151" s="1"/>
      <c r="ADE151" s="1"/>
      <c r="ADF151" s="1"/>
      <c r="ADG151" s="1"/>
      <c r="ADH151" s="1"/>
      <c r="ADI151" s="1"/>
      <c r="ADJ151" s="1"/>
      <c r="ADK151" s="1"/>
      <c r="ADL151" s="1"/>
      <c r="ADM151" s="1"/>
      <c r="ADN151" s="1"/>
      <c r="ADO151" s="1"/>
      <c r="ADP151" s="1"/>
      <c r="ADQ151" s="1"/>
      <c r="ADR151" s="1"/>
      <c r="ADS151" s="1"/>
      <c r="ADT151" s="1"/>
      <c r="ADU151" s="1"/>
      <c r="ADV151" s="1"/>
      <c r="ADW151" s="1"/>
      <c r="ADX151" s="1"/>
      <c r="ADY151" s="1"/>
      <c r="ADZ151" s="1"/>
      <c r="AEA151" s="1"/>
      <c r="AEB151" s="1"/>
      <c r="AEC151" s="1"/>
      <c r="AED151" s="1"/>
      <c r="AEE151" s="1"/>
      <c r="AEF151" s="1"/>
      <c r="AEG151" s="1"/>
      <c r="AEH151" s="1"/>
      <c r="AEI151" s="1"/>
      <c r="AEJ151" s="1"/>
      <c r="AEK151" s="1"/>
      <c r="AEL151" s="1"/>
      <c r="AEM151" s="1"/>
      <c r="AEN151" s="1"/>
      <c r="AEO151" s="1"/>
      <c r="AEP151" s="1"/>
      <c r="AEQ151" s="1"/>
      <c r="AER151" s="1"/>
      <c r="AES151" s="1"/>
      <c r="AET151" s="1"/>
      <c r="AEU151" s="1"/>
      <c r="AEV151" s="1"/>
      <c r="AEW151" s="1"/>
      <c r="AEX151" s="1"/>
      <c r="AEY151" s="1"/>
      <c r="AEZ151" s="1"/>
      <c r="AFA151" s="1"/>
      <c r="AFB151" s="1"/>
      <c r="AFC151" s="1"/>
      <c r="AFD151" s="1"/>
      <c r="AFE151" s="1"/>
      <c r="AFF151" s="1"/>
      <c r="AFG151" s="1"/>
      <c r="AFH151" s="1"/>
      <c r="AFI151" s="1"/>
      <c r="AFJ151" s="1"/>
      <c r="AFK151" s="1"/>
      <c r="AFL151" s="1"/>
      <c r="AFM151" s="1"/>
      <c r="AFN151" s="1"/>
      <c r="AFO151" s="1"/>
      <c r="AFP151" s="1"/>
      <c r="AFQ151" s="1"/>
      <c r="AFR151" s="1"/>
      <c r="AFS151" s="1"/>
      <c r="AFT151" s="1"/>
      <c r="AFU151" s="1"/>
      <c r="AFV151" s="1"/>
      <c r="AFW151" s="1"/>
      <c r="AFX151" s="1"/>
      <c r="AFY151" s="1"/>
      <c r="AFZ151" s="1"/>
      <c r="AGA151" s="1"/>
      <c r="AGB151" s="1"/>
      <c r="AGC151" s="1"/>
      <c r="AGD151" s="1"/>
      <c r="AGE151" s="1"/>
      <c r="AGF151" s="1"/>
      <c r="AGG151" s="1"/>
      <c r="AGH151" s="1"/>
      <c r="AGI151" s="1"/>
      <c r="AGJ151" s="1"/>
      <c r="AGK151" s="1"/>
      <c r="AGL151" s="1"/>
      <c r="AGM151" s="1"/>
      <c r="AGN151" s="1"/>
      <c r="AGO151" s="1"/>
      <c r="AGP151" s="1"/>
      <c r="AGQ151" s="1"/>
      <c r="AGR151" s="1"/>
      <c r="AGS151" s="1"/>
      <c r="AGT151" s="1"/>
      <c r="AGU151" s="1"/>
      <c r="AGV151" s="1"/>
      <c r="AGW151" s="1"/>
      <c r="AGX151" s="1"/>
      <c r="AGY151" s="1"/>
      <c r="AGZ151" s="1"/>
      <c r="AHA151" s="1"/>
      <c r="AHB151" s="1"/>
      <c r="AHC151" s="1"/>
      <c r="AHD151" s="1"/>
      <c r="AHE151" s="1"/>
      <c r="AHF151" s="1"/>
      <c r="AHG151" s="1"/>
      <c r="AHH151" s="1"/>
      <c r="AHI151" s="1"/>
      <c r="AHJ151" s="1"/>
      <c r="AHK151" s="1"/>
      <c r="AHL151" s="1"/>
      <c r="AHM151" s="1"/>
      <c r="AHN151" s="1"/>
      <c r="AHO151" s="1"/>
      <c r="AHP151" s="1"/>
      <c r="AHQ151" s="1"/>
      <c r="AHR151" s="1"/>
      <c r="AHS151" s="1"/>
      <c r="AHT151" s="1"/>
      <c r="AHU151" s="1"/>
      <c r="AHV151" s="1"/>
      <c r="AHW151" s="1"/>
      <c r="AHX151" s="1"/>
      <c r="AHY151" s="1"/>
      <c r="AHZ151" s="1"/>
      <c r="AIA151" s="1"/>
      <c r="AIB151" s="1"/>
      <c r="AIC151" s="1"/>
      <c r="AID151" s="1"/>
      <c r="AIE151" s="1"/>
      <c r="AIF151" s="1"/>
      <c r="AIG151" s="1"/>
      <c r="AIH151" s="1"/>
      <c r="AII151" s="1"/>
      <c r="AIJ151" s="1"/>
      <c r="AIK151" s="1"/>
      <c r="AIL151" s="1"/>
      <c r="AIM151" s="1"/>
      <c r="AIN151" s="1"/>
      <c r="AIO151" s="1"/>
      <c r="AIP151" s="1"/>
      <c r="AIQ151" s="1"/>
      <c r="AIR151" s="1"/>
      <c r="AIS151" s="1"/>
      <c r="AIT151" s="1"/>
      <c r="AIU151" s="1"/>
      <c r="AIV151" s="1"/>
      <c r="AIW151" s="1"/>
      <c r="AIX151" s="1"/>
      <c r="AIY151" s="1"/>
      <c r="AIZ151" s="1"/>
      <c r="AJA151" s="1"/>
      <c r="AJB151" s="1"/>
      <c r="AJC151" s="1"/>
      <c r="AJD151" s="1"/>
      <c r="AJE151" s="1"/>
      <c r="AJF151" s="1"/>
      <c r="AJG151" s="1"/>
      <c r="AJH151" s="1"/>
      <c r="AJI151" s="1"/>
      <c r="AJJ151" s="1"/>
      <c r="AJK151" s="1"/>
      <c r="AJL151" s="1"/>
      <c r="AJM151" s="1"/>
      <c r="AJN151" s="1"/>
      <c r="AJO151" s="1"/>
      <c r="AJP151" s="1"/>
      <c r="AJQ151" s="1"/>
      <c r="AJR151" s="1"/>
      <c r="AJS151" s="1"/>
      <c r="AJT151" s="1"/>
      <c r="AJU151" s="1"/>
      <c r="AJV151" s="1"/>
      <c r="AJW151" s="1"/>
      <c r="AJX151" s="1"/>
      <c r="AJY151" s="1"/>
      <c r="AJZ151" s="1"/>
      <c r="AKA151" s="1"/>
      <c r="AKB151" s="1"/>
      <c r="AKC151" s="1"/>
      <c r="AKD151" s="1"/>
      <c r="AKE151" s="1"/>
      <c r="AKF151" s="1"/>
      <c r="AKG151" s="1"/>
      <c r="AKH151" s="1"/>
      <c r="AKI151" s="1"/>
      <c r="AKJ151" s="1"/>
      <c r="AKK151" s="1"/>
      <c r="AKL151" s="1"/>
      <c r="AKM151" s="1"/>
      <c r="AKN151" s="1"/>
      <c r="AKO151" s="1"/>
      <c r="AKP151" s="1"/>
      <c r="AKQ151" s="1"/>
      <c r="AKR151" s="1"/>
      <c r="AKS151" s="1"/>
      <c r="AKT151" s="1"/>
      <c r="AKU151" s="1"/>
      <c r="AKV151" s="1"/>
      <c r="AKW151" s="1"/>
      <c r="AKX151" s="1"/>
      <c r="AKY151" s="1"/>
      <c r="AKZ151" s="1"/>
      <c r="ALA151" s="1"/>
      <c r="ALB151" s="1"/>
      <c r="ALC151" s="1"/>
      <c r="ALD151" s="1"/>
      <c r="ALE151" s="1"/>
      <c r="ALF151" s="1"/>
      <c r="ALG151" s="1"/>
      <c r="ALH151" s="1"/>
      <c r="ALI151" s="1"/>
      <c r="ALJ151" s="1"/>
      <c r="ALK151" s="1"/>
      <c r="ALL151" s="1"/>
      <c r="ALM151" s="1"/>
      <c r="ALN151" s="1"/>
      <c r="ALO151" s="1"/>
      <c r="ALP151" s="1"/>
      <c r="ALQ151" s="1"/>
      <c r="ALR151" s="1"/>
      <c r="ALS151" s="1"/>
      <c r="ALT151" s="1"/>
      <c r="ALU151" s="1"/>
      <c r="ALV151" s="1"/>
      <c r="ALW151" s="1"/>
      <c r="ALX151" s="1"/>
      <c r="ALY151" s="1"/>
      <c r="ALZ151" s="1"/>
      <c r="AMA151" s="1"/>
      <c r="AMB151" s="1"/>
      <c r="AMC151" s="1"/>
      <c r="AMD151" s="1"/>
      <c r="AME151" s="1"/>
      <c r="AMF151" s="1"/>
      <c r="AMG151" s="1"/>
      <c r="AMH151" s="1"/>
      <c r="AMI151" s="1"/>
      <c r="AMJ151" s="1"/>
    </row>
    <row r="152" customFormat="false" ht="10.5" hidden="false" customHeight="true" outlineLevel="0" collapsed="false">
      <c r="A152" s="98" t="s">
        <v>296</v>
      </c>
      <c r="B152" s="98"/>
      <c r="C152" s="98"/>
      <c r="D152" s="98"/>
      <c r="E152" s="98"/>
      <c r="F152" s="98"/>
      <c r="G152" s="98"/>
      <c r="H152" s="98"/>
      <c r="I152" s="98"/>
      <c r="J152" s="98"/>
      <c r="K152" s="98"/>
      <c r="L152" s="98"/>
      <c r="M152" s="98"/>
      <c r="N152" s="77" t="s">
        <v>297</v>
      </c>
      <c r="O152" s="77"/>
      <c r="P152" s="77"/>
      <c r="Q152" s="77"/>
      <c r="R152" s="77"/>
      <c r="S152" s="77" t="s">
        <v>298</v>
      </c>
      <c r="T152" s="77"/>
      <c r="U152" s="77"/>
      <c r="V152" s="77"/>
      <c r="W152" s="77"/>
      <c r="X152" s="77" t="s">
        <v>299</v>
      </c>
      <c r="Y152" s="77"/>
      <c r="Z152" s="77"/>
      <c r="AA152" s="77"/>
      <c r="AB152" s="77"/>
      <c r="AC152" s="77" t="s">
        <v>300</v>
      </c>
      <c r="AD152" s="77"/>
      <c r="AE152" s="77"/>
      <c r="AF152" s="77"/>
      <c r="AG152" s="77"/>
      <c r="AH152" s="78" t="s">
        <v>301</v>
      </c>
      <c r="AI152" s="78"/>
      <c r="AJ152" s="78"/>
      <c r="AK152" s="78"/>
      <c r="AL152" s="78"/>
      <c r="AM152" s="78"/>
      <c r="AN152" s="78"/>
      <c r="AO152" s="78"/>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c r="IY152" s="1"/>
      <c r="IZ152" s="1"/>
      <c r="JA152" s="1"/>
      <c r="JB152" s="1"/>
      <c r="JC152" s="1"/>
      <c r="JD152" s="1"/>
      <c r="JE152" s="1"/>
      <c r="JF152" s="1"/>
      <c r="JG152" s="1"/>
      <c r="JH152" s="1"/>
      <c r="JI152" s="1"/>
      <c r="JJ152" s="1"/>
      <c r="JK152" s="1"/>
      <c r="JL152" s="1"/>
      <c r="JM152" s="1"/>
      <c r="JN152" s="1"/>
      <c r="JO152" s="1"/>
      <c r="JP152" s="1"/>
      <c r="JQ152" s="1"/>
      <c r="JR152" s="1"/>
      <c r="JS152" s="1"/>
      <c r="JT152" s="1"/>
      <c r="JU152" s="1"/>
      <c r="JV152" s="1"/>
      <c r="JW152" s="1"/>
      <c r="JX152" s="1"/>
      <c r="JY152" s="1"/>
      <c r="JZ152" s="1"/>
      <c r="KA152" s="1"/>
      <c r="KB152" s="1"/>
      <c r="KC152" s="1"/>
      <c r="KD152" s="1"/>
      <c r="KE152" s="1"/>
      <c r="KF152" s="1"/>
      <c r="KG152" s="1"/>
      <c r="KH152" s="1"/>
      <c r="KI152" s="1"/>
      <c r="KJ152" s="1"/>
      <c r="KK152" s="1"/>
      <c r="KL152" s="1"/>
      <c r="KM152" s="1"/>
      <c r="KN152" s="1"/>
      <c r="KO152" s="1"/>
      <c r="KP152" s="1"/>
      <c r="KQ152" s="1"/>
      <c r="KR152" s="1"/>
      <c r="KS152" s="1"/>
      <c r="KT152" s="1"/>
      <c r="KU152" s="1"/>
      <c r="KV152" s="1"/>
      <c r="KW152" s="1"/>
      <c r="KX152" s="1"/>
      <c r="KY152" s="1"/>
      <c r="KZ152" s="1"/>
      <c r="LA152" s="1"/>
      <c r="LB152" s="1"/>
      <c r="LC152" s="1"/>
      <c r="LD152" s="1"/>
      <c r="LE152" s="1"/>
      <c r="LF152" s="1"/>
      <c r="LG152" s="1"/>
      <c r="LH152" s="1"/>
      <c r="LI152" s="1"/>
      <c r="LJ152" s="1"/>
      <c r="LK152" s="1"/>
      <c r="LL152" s="1"/>
      <c r="LM152" s="1"/>
      <c r="LN152" s="1"/>
      <c r="LO152" s="1"/>
      <c r="LP152" s="1"/>
      <c r="LQ152" s="1"/>
      <c r="LR152" s="1"/>
      <c r="LS152" s="1"/>
      <c r="LT152" s="1"/>
      <c r="LU152" s="1"/>
      <c r="LV152" s="1"/>
      <c r="LW152" s="1"/>
      <c r="LX152" s="1"/>
      <c r="LY152" s="1"/>
      <c r="LZ152" s="1"/>
      <c r="MA152" s="1"/>
      <c r="MB152" s="1"/>
      <c r="MC152" s="1"/>
      <c r="MD152" s="1"/>
      <c r="ME152" s="1"/>
      <c r="MF152" s="1"/>
      <c r="MG152" s="1"/>
      <c r="MH152" s="1"/>
      <c r="MI152" s="1"/>
      <c r="MJ152" s="1"/>
      <c r="MK152" s="1"/>
      <c r="ML152" s="1"/>
      <c r="MM152" s="1"/>
      <c r="MN152" s="1"/>
      <c r="MO152" s="1"/>
      <c r="MP152" s="1"/>
      <c r="MQ152" s="1"/>
      <c r="MR152" s="1"/>
      <c r="MS152" s="1"/>
      <c r="MT152" s="1"/>
      <c r="MU152" s="1"/>
      <c r="MV152" s="1"/>
      <c r="MW152" s="1"/>
      <c r="MX152" s="1"/>
      <c r="MY152" s="1"/>
      <c r="MZ152" s="1"/>
      <c r="NA152" s="1"/>
      <c r="NB152" s="1"/>
      <c r="NC152" s="1"/>
      <c r="ND152" s="1"/>
      <c r="NE152" s="1"/>
      <c r="NF152" s="1"/>
      <c r="NG152" s="1"/>
      <c r="NH152" s="1"/>
      <c r="NI152" s="1"/>
      <c r="NJ152" s="1"/>
      <c r="NK152" s="1"/>
      <c r="NL152" s="1"/>
      <c r="NM152" s="1"/>
      <c r="NN152" s="1"/>
      <c r="NO152" s="1"/>
      <c r="NP152" s="1"/>
      <c r="NQ152" s="1"/>
      <c r="NR152" s="1"/>
      <c r="NS152" s="1"/>
      <c r="NT152" s="1"/>
      <c r="NU152" s="1"/>
      <c r="NV152" s="1"/>
      <c r="NW152" s="1"/>
      <c r="NX152" s="1"/>
      <c r="NY152" s="1"/>
      <c r="NZ152" s="1"/>
      <c r="OA152" s="1"/>
      <c r="OB152" s="1"/>
      <c r="OC152" s="1"/>
      <c r="OD152" s="1"/>
      <c r="OE152" s="1"/>
      <c r="OF152" s="1"/>
      <c r="OG152" s="1"/>
      <c r="OH152" s="1"/>
      <c r="OI152" s="1"/>
      <c r="OJ152" s="1"/>
      <c r="OK152" s="1"/>
      <c r="OL152" s="1"/>
      <c r="OM152" s="1"/>
      <c r="ON152" s="1"/>
      <c r="OO152" s="1"/>
      <c r="OP152" s="1"/>
      <c r="OQ152" s="1"/>
      <c r="OR152" s="1"/>
      <c r="OS152" s="1"/>
      <c r="OT152" s="1"/>
      <c r="OU152" s="1"/>
      <c r="OV152" s="1"/>
      <c r="OW152" s="1"/>
      <c r="OX152" s="1"/>
      <c r="OY152" s="1"/>
      <c r="OZ152" s="1"/>
      <c r="PA152" s="1"/>
      <c r="PB152" s="1"/>
      <c r="PC152" s="1"/>
      <c r="PD152" s="1"/>
      <c r="PE152" s="1"/>
      <c r="PF152" s="1"/>
      <c r="PG152" s="1"/>
      <c r="PH152" s="1"/>
      <c r="PI152" s="1"/>
      <c r="PJ152" s="1"/>
      <c r="PK152" s="1"/>
      <c r="PL152" s="1"/>
      <c r="PM152" s="1"/>
      <c r="PN152" s="1"/>
      <c r="PO152" s="1"/>
      <c r="PP152" s="1"/>
      <c r="PQ152" s="1"/>
      <c r="PR152" s="1"/>
      <c r="PS152" s="1"/>
      <c r="PT152" s="1"/>
      <c r="PU152" s="1"/>
      <c r="PV152" s="1"/>
      <c r="PW152" s="1"/>
      <c r="PX152" s="1"/>
      <c r="PY152" s="1"/>
      <c r="PZ152" s="1"/>
      <c r="QA152" s="1"/>
      <c r="QB152" s="1"/>
      <c r="QC152" s="1"/>
      <c r="QD152" s="1"/>
      <c r="QE152" s="1"/>
      <c r="QF152" s="1"/>
      <c r="QG152" s="1"/>
      <c r="QH152" s="1"/>
      <c r="QI152" s="1"/>
      <c r="QJ152" s="1"/>
      <c r="QK152" s="1"/>
      <c r="QL152" s="1"/>
      <c r="QM152" s="1"/>
      <c r="QN152" s="1"/>
      <c r="QO152" s="1"/>
      <c r="QP152" s="1"/>
      <c r="QQ152" s="1"/>
      <c r="QR152" s="1"/>
      <c r="QS152" s="1"/>
      <c r="QT152" s="1"/>
      <c r="QU152" s="1"/>
      <c r="QV152" s="1"/>
      <c r="QW152" s="1"/>
      <c r="QX152" s="1"/>
      <c r="QY152" s="1"/>
      <c r="QZ152" s="1"/>
      <c r="RA152" s="1"/>
      <c r="RB152" s="1"/>
      <c r="RC152" s="1"/>
      <c r="RD152" s="1"/>
      <c r="RE152" s="1"/>
      <c r="RF152" s="1"/>
      <c r="RG152" s="1"/>
      <c r="RH152" s="1"/>
      <c r="RI152" s="1"/>
      <c r="RJ152" s="1"/>
      <c r="RK152" s="1"/>
      <c r="RL152" s="1"/>
      <c r="RM152" s="1"/>
      <c r="RN152" s="1"/>
      <c r="RO152" s="1"/>
      <c r="RP152" s="1"/>
      <c r="RQ152" s="1"/>
      <c r="RR152" s="1"/>
      <c r="RS152" s="1"/>
      <c r="RT152" s="1"/>
      <c r="RU152" s="1"/>
      <c r="RV152" s="1"/>
      <c r="RW152" s="1"/>
      <c r="RX152" s="1"/>
      <c r="RY152" s="1"/>
      <c r="RZ152" s="1"/>
      <c r="SA152" s="1"/>
      <c r="SB152" s="1"/>
      <c r="SC152" s="1"/>
      <c r="SD152" s="1"/>
      <c r="SE152" s="1"/>
      <c r="SF152" s="1"/>
      <c r="SG152" s="1"/>
      <c r="SH152" s="1"/>
      <c r="SI152" s="1"/>
      <c r="SJ152" s="1"/>
      <c r="SK152" s="1"/>
      <c r="SL152" s="1"/>
      <c r="SM152" s="1"/>
      <c r="SN152" s="1"/>
      <c r="SO152" s="1"/>
      <c r="SP152" s="1"/>
      <c r="SQ152" s="1"/>
      <c r="SR152" s="1"/>
      <c r="SS152" s="1"/>
      <c r="ST152" s="1"/>
      <c r="SU152" s="1"/>
      <c r="SV152" s="1"/>
      <c r="SW152" s="1"/>
      <c r="SX152" s="1"/>
      <c r="SY152" s="1"/>
      <c r="SZ152" s="1"/>
      <c r="TA152" s="1"/>
      <c r="TB152" s="1"/>
      <c r="TC152" s="1"/>
      <c r="TD152" s="1"/>
      <c r="TE152" s="1"/>
      <c r="TF152" s="1"/>
      <c r="TG152" s="1"/>
      <c r="TH152" s="1"/>
      <c r="TI152" s="1"/>
      <c r="TJ152" s="1"/>
      <c r="TK152" s="1"/>
      <c r="TL152" s="1"/>
      <c r="TM152" s="1"/>
      <c r="TN152" s="1"/>
      <c r="TO152" s="1"/>
      <c r="TP152" s="1"/>
      <c r="TQ152" s="1"/>
      <c r="TR152" s="1"/>
      <c r="TS152" s="1"/>
      <c r="TT152" s="1"/>
      <c r="TU152" s="1"/>
      <c r="TV152" s="1"/>
      <c r="TW152" s="1"/>
      <c r="TX152" s="1"/>
      <c r="TY152" s="1"/>
      <c r="TZ152" s="1"/>
      <c r="UA152" s="1"/>
      <c r="UB152" s="1"/>
      <c r="UC152" s="1"/>
      <c r="UD152" s="1"/>
      <c r="UE152" s="1"/>
      <c r="UF152" s="1"/>
      <c r="UG152" s="1"/>
      <c r="UH152" s="1"/>
      <c r="UI152" s="1"/>
      <c r="UJ152" s="1"/>
      <c r="UK152" s="1"/>
      <c r="UL152" s="1"/>
      <c r="UM152" s="1"/>
      <c r="UN152" s="1"/>
      <c r="UO152" s="1"/>
      <c r="UP152" s="1"/>
      <c r="UQ152" s="1"/>
      <c r="UR152" s="1"/>
      <c r="US152" s="1"/>
      <c r="UT152" s="1"/>
      <c r="UU152" s="1"/>
      <c r="UV152" s="1"/>
      <c r="UW152" s="1"/>
      <c r="UX152" s="1"/>
      <c r="UY152" s="1"/>
      <c r="UZ152" s="1"/>
      <c r="VA152" s="1"/>
      <c r="VB152" s="1"/>
      <c r="VC152" s="1"/>
      <c r="VD152" s="1"/>
      <c r="VE152" s="1"/>
      <c r="VF152" s="1"/>
      <c r="VG152" s="1"/>
      <c r="VH152" s="1"/>
      <c r="VI152" s="1"/>
      <c r="VJ152" s="1"/>
      <c r="VK152" s="1"/>
      <c r="VL152" s="1"/>
      <c r="VM152" s="1"/>
      <c r="VN152" s="1"/>
      <c r="VO152" s="1"/>
      <c r="VP152" s="1"/>
      <c r="VQ152" s="1"/>
      <c r="VR152" s="1"/>
      <c r="VS152" s="1"/>
      <c r="VT152" s="1"/>
      <c r="VU152" s="1"/>
      <c r="VV152" s="1"/>
      <c r="VW152" s="1"/>
      <c r="VX152" s="1"/>
      <c r="VY152" s="1"/>
      <c r="VZ152" s="1"/>
      <c r="WA152" s="1"/>
      <c r="WB152" s="1"/>
      <c r="WC152" s="1"/>
      <c r="WD152" s="1"/>
      <c r="WE152" s="1"/>
      <c r="WF152" s="1"/>
      <c r="WG152" s="1"/>
      <c r="WH152" s="1"/>
      <c r="WI152" s="1"/>
      <c r="WJ152" s="1"/>
      <c r="WK152" s="1"/>
      <c r="WL152" s="1"/>
      <c r="WM152" s="1"/>
      <c r="WN152" s="1"/>
      <c r="WO152" s="1"/>
      <c r="WP152" s="1"/>
      <c r="WQ152" s="1"/>
      <c r="WR152" s="1"/>
      <c r="WS152" s="1"/>
      <c r="WT152" s="1"/>
      <c r="WU152" s="1"/>
      <c r="WV152" s="1"/>
      <c r="WW152" s="1"/>
      <c r="WX152" s="1"/>
      <c r="WY152" s="1"/>
      <c r="WZ152" s="1"/>
      <c r="XA152" s="1"/>
      <c r="XB152" s="1"/>
      <c r="XC152" s="1"/>
      <c r="XD152" s="1"/>
      <c r="XE152" s="1"/>
      <c r="XF152" s="1"/>
      <c r="XG152" s="1"/>
      <c r="XH152" s="1"/>
      <c r="XI152" s="1"/>
      <c r="XJ152" s="1"/>
      <c r="XK152" s="1"/>
      <c r="XL152" s="1"/>
      <c r="XM152" s="1"/>
      <c r="XN152" s="1"/>
      <c r="XO152" s="1"/>
      <c r="XP152" s="1"/>
      <c r="XQ152" s="1"/>
      <c r="XR152" s="1"/>
      <c r="XS152" s="1"/>
      <c r="XT152" s="1"/>
      <c r="XU152" s="1"/>
      <c r="XV152" s="1"/>
      <c r="XW152" s="1"/>
      <c r="XX152" s="1"/>
      <c r="XY152" s="1"/>
      <c r="XZ152" s="1"/>
      <c r="YA152" s="1"/>
      <c r="YB152" s="1"/>
      <c r="YC152" s="1"/>
      <c r="YD152" s="1"/>
      <c r="YE152" s="1"/>
      <c r="YF152" s="1"/>
      <c r="YG152" s="1"/>
      <c r="YH152" s="1"/>
      <c r="YI152" s="1"/>
      <c r="YJ152" s="1"/>
      <c r="YK152" s="1"/>
      <c r="YL152" s="1"/>
      <c r="YM152" s="1"/>
      <c r="YN152" s="1"/>
      <c r="YO152" s="1"/>
      <c r="YP152" s="1"/>
      <c r="YQ152" s="1"/>
      <c r="YR152" s="1"/>
      <c r="YS152" s="1"/>
      <c r="YT152" s="1"/>
      <c r="YU152" s="1"/>
      <c r="YV152" s="1"/>
      <c r="YW152" s="1"/>
      <c r="YX152" s="1"/>
      <c r="YY152" s="1"/>
      <c r="YZ152" s="1"/>
      <c r="ZA152" s="1"/>
      <c r="ZB152" s="1"/>
      <c r="ZC152" s="1"/>
      <c r="ZD152" s="1"/>
      <c r="ZE152" s="1"/>
      <c r="ZF152" s="1"/>
      <c r="ZG152" s="1"/>
      <c r="ZH152" s="1"/>
      <c r="ZI152" s="1"/>
      <c r="ZJ152" s="1"/>
      <c r="ZK152" s="1"/>
      <c r="ZL152" s="1"/>
      <c r="ZM152" s="1"/>
      <c r="ZN152" s="1"/>
      <c r="ZO152" s="1"/>
      <c r="ZP152" s="1"/>
      <c r="ZQ152" s="1"/>
      <c r="ZR152" s="1"/>
      <c r="ZS152" s="1"/>
      <c r="ZT152" s="1"/>
      <c r="ZU152" s="1"/>
      <c r="ZV152" s="1"/>
      <c r="ZW152" s="1"/>
      <c r="ZX152" s="1"/>
      <c r="ZY152" s="1"/>
      <c r="ZZ152" s="1"/>
      <c r="AAA152" s="1"/>
      <c r="AAB152" s="1"/>
      <c r="AAC152" s="1"/>
      <c r="AAD152" s="1"/>
      <c r="AAE152" s="1"/>
      <c r="AAF152" s="1"/>
      <c r="AAG152" s="1"/>
      <c r="AAH152" s="1"/>
      <c r="AAI152" s="1"/>
      <c r="AAJ152" s="1"/>
      <c r="AAK152" s="1"/>
      <c r="AAL152" s="1"/>
      <c r="AAM152" s="1"/>
      <c r="AAN152" s="1"/>
      <c r="AAO152" s="1"/>
      <c r="AAP152" s="1"/>
      <c r="AAQ152" s="1"/>
      <c r="AAR152" s="1"/>
      <c r="AAS152" s="1"/>
      <c r="AAT152" s="1"/>
      <c r="AAU152" s="1"/>
      <c r="AAV152" s="1"/>
      <c r="AAW152" s="1"/>
      <c r="AAX152" s="1"/>
      <c r="AAY152" s="1"/>
      <c r="AAZ152" s="1"/>
      <c r="ABA152" s="1"/>
      <c r="ABB152" s="1"/>
      <c r="ABC152" s="1"/>
      <c r="ABD152" s="1"/>
      <c r="ABE152" s="1"/>
      <c r="ABF152" s="1"/>
      <c r="ABG152" s="1"/>
      <c r="ABH152" s="1"/>
      <c r="ABI152" s="1"/>
      <c r="ABJ152" s="1"/>
      <c r="ABK152" s="1"/>
      <c r="ABL152" s="1"/>
      <c r="ABM152" s="1"/>
      <c r="ABN152" s="1"/>
      <c r="ABO152" s="1"/>
      <c r="ABP152" s="1"/>
      <c r="ABQ152" s="1"/>
      <c r="ABR152" s="1"/>
      <c r="ABS152" s="1"/>
      <c r="ABT152" s="1"/>
      <c r="ABU152" s="1"/>
      <c r="ABV152" s="1"/>
      <c r="ABW152" s="1"/>
      <c r="ABX152" s="1"/>
      <c r="ABY152" s="1"/>
      <c r="ABZ152" s="1"/>
      <c r="ACA152" s="1"/>
      <c r="ACB152" s="1"/>
      <c r="ACC152" s="1"/>
      <c r="ACD152" s="1"/>
      <c r="ACE152" s="1"/>
      <c r="ACF152" s="1"/>
      <c r="ACG152" s="1"/>
      <c r="ACH152" s="1"/>
      <c r="ACI152" s="1"/>
      <c r="ACJ152" s="1"/>
      <c r="ACK152" s="1"/>
      <c r="ACL152" s="1"/>
      <c r="ACM152" s="1"/>
      <c r="ACN152" s="1"/>
      <c r="ACO152" s="1"/>
      <c r="ACP152" s="1"/>
      <c r="ACQ152" s="1"/>
      <c r="ACR152" s="1"/>
      <c r="ACS152" s="1"/>
      <c r="ACT152" s="1"/>
      <c r="ACU152" s="1"/>
      <c r="ACV152" s="1"/>
      <c r="ACW152" s="1"/>
      <c r="ACX152" s="1"/>
      <c r="ACY152" s="1"/>
      <c r="ACZ152" s="1"/>
      <c r="ADA152" s="1"/>
      <c r="ADB152" s="1"/>
      <c r="ADC152" s="1"/>
      <c r="ADD152" s="1"/>
      <c r="ADE152" s="1"/>
      <c r="ADF152" s="1"/>
      <c r="ADG152" s="1"/>
      <c r="ADH152" s="1"/>
      <c r="ADI152" s="1"/>
      <c r="ADJ152" s="1"/>
      <c r="ADK152" s="1"/>
      <c r="ADL152" s="1"/>
      <c r="ADM152" s="1"/>
      <c r="ADN152" s="1"/>
      <c r="ADO152" s="1"/>
      <c r="ADP152" s="1"/>
      <c r="ADQ152" s="1"/>
      <c r="ADR152" s="1"/>
      <c r="ADS152" s="1"/>
      <c r="ADT152" s="1"/>
      <c r="ADU152" s="1"/>
      <c r="ADV152" s="1"/>
      <c r="ADW152" s="1"/>
      <c r="ADX152" s="1"/>
      <c r="ADY152" s="1"/>
      <c r="ADZ152" s="1"/>
      <c r="AEA152" s="1"/>
      <c r="AEB152" s="1"/>
      <c r="AEC152" s="1"/>
      <c r="AED152" s="1"/>
      <c r="AEE152" s="1"/>
      <c r="AEF152" s="1"/>
      <c r="AEG152" s="1"/>
      <c r="AEH152" s="1"/>
      <c r="AEI152" s="1"/>
      <c r="AEJ152" s="1"/>
      <c r="AEK152" s="1"/>
      <c r="AEL152" s="1"/>
      <c r="AEM152" s="1"/>
      <c r="AEN152" s="1"/>
      <c r="AEO152" s="1"/>
      <c r="AEP152" s="1"/>
      <c r="AEQ152" s="1"/>
      <c r="AER152" s="1"/>
      <c r="AES152" s="1"/>
      <c r="AET152" s="1"/>
      <c r="AEU152" s="1"/>
      <c r="AEV152" s="1"/>
      <c r="AEW152" s="1"/>
      <c r="AEX152" s="1"/>
      <c r="AEY152" s="1"/>
      <c r="AEZ152" s="1"/>
      <c r="AFA152" s="1"/>
      <c r="AFB152" s="1"/>
      <c r="AFC152" s="1"/>
      <c r="AFD152" s="1"/>
      <c r="AFE152" s="1"/>
      <c r="AFF152" s="1"/>
      <c r="AFG152" s="1"/>
      <c r="AFH152" s="1"/>
      <c r="AFI152" s="1"/>
      <c r="AFJ152" s="1"/>
      <c r="AFK152" s="1"/>
      <c r="AFL152" s="1"/>
      <c r="AFM152" s="1"/>
      <c r="AFN152" s="1"/>
      <c r="AFO152" s="1"/>
      <c r="AFP152" s="1"/>
      <c r="AFQ152" s="1"/>
      <c r="AFR152" s="1"/>
      <c r="AFS152" s="1"/>
      <c r="AFT152" s="1"/>
      <c r="AFU152" s="1"/>
      <c r="AFV152" s="1"/>
      <c r="AFW152" s="1"/>
      <c r="AFX152" s="1"/>
      <c r="AFY152" s="1"/>
      <c r="AFZ152" s="1"/>
      <c r="AGA152" s="1"/>
      <c r="AGB152" s="1"/>
      <c r="AGC152" s="1"/>
      <c r="AGD152" s="1"/>
      <c r="AGE152" s="1"/>
      <c r="AGF152" s="1"/>
      <c r="AGG152" s="1"/>
      <c r="AGH152" s="1"/>
      <c r="AGI152" s="1"/>
      <c r="AGJ152" s="1"/>
      <c r="AGK152" s="1"/>
      <c r="AGL152" s="1"/>
      <c r="AGM152" s="1"/>
      <c r="AGN152" s="1"/>
      <c r="AGO152" s="1"/>
      <c r="AGP152" s="1"/>
      <c r="AGQ152" s="1"/>
      <c r="AGR152" s="1"/>
      <c r="AGS152" s="1"/>
      <c r="AGT152" s="1"/>
      <c r="AGU152" s="1"/>
      <c r="AGV152" s="1"/>
      <c r="AGW152" s="1"/>
      <c r="AGX152" s="1"/>
      <c r="AGY152" s="1"/>
      <c r="AGZ152" s="1"/>
      <c r="AHA152" s="1"/>
      <c r="AHB152" s="1"/>
      <c r="AHC152" s="1"/>
      <c r="AHD152" s="1"/>
      <c r="AHE152" s="1"/>
      <c r="AHF152" s="1"/>
      <c r="AHG152" s="1"/>
      <c r="AHH152" s="1"/>
      <c r="AHI152" s="1"/>
      <c r="AHJ152" s="1"/>
      <c r="AHK152" s="1"/>
      <c r="AHL152" s="1"/>
      <c r="AHM152" s="1"/>
      <c r="AHN152" s="1"/>
      <c r="AHO152" s="1"/>
      <c r="AHP152" s="1"/>
      <c r="AHQ152" s="1"/>
      <c r="AHR152" s="1"/>
      <c r="AHS152" s="1"/>
      <c r="AHT152" s="1"/>
      <c r="AHU152" s="1"/>
      <c r="AHV152" s="1"/>
      <c r="AHW152" s="1"/>
      <c r="AHX152" s="1"/>
      <c r="AHY152" s="1"/>
      <c r="AHZ152" s="1"/>
      <c r="AIA152" s="1"/>
      <c r="AIB152" s="1"/>
      <c r="AIC152" s="1"/>
      <c r="AID152" s="1"/>
      <c r="AIE152" s="1"/>
      <c r="AIF152" s="1"/>
      <c r="AIG152" s="1"/>
      <c r="AIH152" s="1"/>
      <c r="AII152" s="1"/>
      <c r="AIJ152" s="1"/>
      <c r="AIK152" s="1"/>
      <c r="AIL152" s="1"/>
      <c r="AIM152" s="1"/>
      <c r="AIN152" s="1"/>
      <c r="AIO152" s="1"/>
      <c r="AIP152" s="1"/>
      <c r="AIQ152" s="1"/>
      <c r="AIR152" s="1"/>
      <c r="AIS152" s="1"/>
      <c r="AIT152" s="1"/>
      <c r="AIU152" s="1"/>
      <c r="AIV152" s="1"/>
      <c r="AIW152" s="1"/>
      <c r="AIX152" s="1"/>
      <c r="AIY152" s="1"/>
      <c r="AIZ152" s="1"/>
      <c r="AJA152" s="1"/>
      <c r="AJB152" s="1"/>
      <c r="AJC152" s="1"/>
      <c r="AJD152" s="1"/>
      <c r="AJE152" s="1"/>
      <c r="AJF152" s="1"/>
      <c r="AJG152" s="1"/>
      <c r="AJH152" s="1"/>
      <c r="AJI152" s="1"/>
      <c r="AJJ152" s="1"/>
      <c r="AJK152" s="1"/>
      <c r="AJL152" s="1"/>
      <c r="AJM152" s="1"/>
      <c r="AJN152" s="1"/>
      <c r="AJO152" s="1"/>
      <c r="AJP152" s="1"/>
      <c r="AJQ152" s="1"/>
      <c r="AJR152" s="1"/>
      <c r="AJS152" s="1"/>
      <c r="AJT152" s="1"/>
      <c r="AJU152" s="1"/>
      <c r="AJV152" s="1"/>
      <c r="AJW152" s="1"/>
      <c r="AJX152" s="1"/>
      <c r="AJY152" s="1"/>
      <c r="AJZ152" s="1"/>
      <c r="AKA152" s="1"/>
      <c r="AKB152" s="1"/>
      <c r="AKC152" s="1"/>
      <c r="AKD152" s="1"/>
      <c r="AKE152" s="1"/>
      <c r="AKF152" s="1"/>
      <c r="AKG152" s="1"/>
      <c r="AKH152" s="1"/>
      <c r="AKI152" s="1"/>
      <c r="AKJ152" s="1"/>
      <c r="AKK152" s="1"/>
      <c r="AKL152" s="1"/>
      <c r="AKM152" s="1"/>
      <c r="AKN152" s="1"/>
      <c r="AKO152" s="1"/>
      <c r="AKP152" s="1"/>
      <c r="AKQ152" s="1"/>
      <c r="AKR152" s="1"/>
      <c r="AKS152" s="1"/>
      <c r="AKT152" s="1"/>
      <c r="AKU152" s="1"/>
      <c r="AKV152" s="1"/>
      <c r="AKW152" s="1"/>
      <c r="AKX152" s="1"/>
      <c r="AKY152" s="1"/>
      <c r="AKZ152" s="1"/>
      <c r="ALA152" s="1"/>
      <c r="ALB152" s="1"/>
      <c r="ALC152" s="1"/>
      <c r="ALD152" s="1"/>
      <c r="ALE152" s="1"/>
      <c r="ALF152" s="1"/>
      <c r="ALG152" s="1"/>
      <c r="ALH152" s="1"/>
      <c r="ALI152" s="1"/>
      <c r="ALJ152" s="1"/>
      <c r="ALK152" s="1"/>
      <c r="ALL152" s="1"/>
      <c r="ALM152" s="1"/>
      <c r="ALN152" s="1"/>
      <c r="ALO152" s="1"/>
      <c r="ALP152" s="1"/>
      <c r="ALQ152" s="1"/>
      <c r="ALR152" s="1"/>
      <c r="ALS152" s="1"/>
      <c r="ALT152" s="1"/>
      <c r="ALU152" s="1"/>
      <c r="ALV152" s="1"/>
      <c r="ALW152" s="1"/>
      <c r="ALX152" s="1"/>
      <c r="ALY152" s="1"/>
      <c r="ALZ152" s="1"/>
      <c r="AMA152" s="1"/>
      <c r="AMB152" s="1"/>
      <c r="AMC152" s="1"/>
      <c r="AMD152" s="1"/>
      <c r="AME152" s="1"/>
      <c r="AMF152" s="1"/>
      <c r="AMG152" s="1"/>
      <c r="AMH152" s="1"/>
      <c r="AMI152" s="1"/>
      <c r="AMJ152" s="1"/>
    </row>
    <row r="153" customFormat="false" ht="10.5" hidden="false" customHeight="true" outlineLevel="0" collapsed="false">
      <c r="A153" s="164"/>
      <c r="B153" s="164"/>
      <c r="C153" s="164"/>
      <c r="D153" s="164"/>
      <c r="E153" s="164"/>
      <c r="F153" s="164"/>
      <c r="G153" s="164"/>
      <c r="H153" s="164"/>
      <c r="I153" s="164"/>
      <c r="J153" s="164"/>
      <c r="K153" s="164"/>
      <c r="L153" s="164"/>
      <c r="M153" s="164"/>
      <c r="N153" s="23"/>
      <c r="O153" s="23"/>
      <c r="P153" s="23"/>
      <c r="Q153" s="23"/>
      <c r="R153" s="23"/>
      <c r="S153" s="187"/>
      <c r="T153" s="187"/>
      <c r="U153" s="187"/>
      <c r="V153" s="187"/>
      <c r="W153" s="187"/>
      <c r="X153" s="217"/>
      <c r="Y153" s="217"/>
      <c r="Z153" s="217"/>
      <c r="AA153" s="217"/>
      <c r="AB153" s="217"/>
      <c r="AC153" s="23"/>
      <c r="AD153" s="23"/>
      <c r="AE153" s="23"/>
      <c r="AF153" s="23"/>
      <c r="AG153" s="23"/>
      <c r="AH153" s="142" t="n">
        <f aca="false">S153*X153*AC153</f>
        <v>0</v>
      </c>
      <c r="AI153" s="142"/>
      <c r="AJ153" s="142"/>
      <c r="AK153" s="142"/>
      <c r="AL153" s="142"/>
      <c r="AM153" s="142"/>
      <c r="AN153" s="142"/>
      <c r="AO153" s="142"/>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c r="IY153" s="1"/>
      <c r="IZ153" s="1"/>
      <c r="JA153" s="1"/>
      <c r="JB153" s="1"/>
      <c r="JC153" s="1"/>
      <c r="JD153" s="1"/>
      <c r="JE153" s="1"/>
      <c r="JF153" s="1"/>
      <c r="JG153" s="1"/>
      <c r="JH153" s="1"/>
      <c r="JI153" s="1"/>
      <c r="JJ153" s="1"/>
      <c r="JK153" s="1"/>
      <c r="JL153" s="1"/>
      <c r="JM153" s="1"/>
      <c r="JN153" s="1"/>
      <c r="JO153" s="1"/>
      <c r="JP153" s="1"/>
      <c r="JQ153" s="1"/>
      <c r="JR153" s="1"/>
      <c r="JS153" s="1"/>
      <c r="JT153" s="1"/>
      <c r="JU153" s="1"/>
      <c r="JV153" s="1"/>
      <c r="JW153" s="1"/>
      <c r="JX153" s="1"/>
      <c r="JY153" s="1"/>
      <c r="JZ153" s="1"/>
      <c r="KA153" s="1"/>
      <c r="KB153" s="1"/>
      <c r="KC153" s="1"/>
      <c r="KD153" s="1"/>
      <c r="KE153" s="1"/>
      <c r="KF153" s="1"/>
      <c r="KG153" s="1"/>
      <c r="KH153" s="1"/>
      <c r="KI153" s="1"/>
      <c r="KJ153" s="1"/>
      <c r="KK153" s="1"/>
      <c r="KL153" s="1"/>
      <c r="KM153" s="1"/>
      <c r="KN153" s="1"/>
      <c r="KO153" s="1"/>
      <c r="KP153" s="1"/>
      <c r="KQ153" s="1"/>
      <c r="KR153" s="1"/>
      <c r="KS153" s="1"/>
      <c r="KT153" s="1"/>
      <c r="KU153" s="1"/>
      <c r="KV153" s="1"/>
      <c r="KW153" s="1"/>
      <c r="KX153" s="1"/>
      <c r="KY153" s="1"/>
      <c r="KZ153" s="1"/>
      <c r="LA153" s="1"/>
      <c r="LB153" s="1"/>
      <c r="LC153" s="1"/>
      <c r="LD153" s="1"/>
      <c r="LE153" s="1"/>
      <c r="LF153" s="1"/>
      <c r="LG153" s="1"/>
      <c r="LH153" s="1"/>
      <c r="LI153" s="1"/>
      <c r="LJ153" s="1"/>
      <c r="LK153" s="1"/>
      <c r="LL153" s="1"/>
      <c r="LM153" s="1"/>
      <c r="LN153" s="1"/>
      <c r="LO153" s="1"/>
      <c r="LP153" s="1"/>
      <c r="LQ153" s="1"/>
      <c r="LR153" s="1"/>
      <c r="LS153" s="1"/>
      <c r="LT153" s="1"/>
      <c r="LU153" s="1"/>
      <c r="LV153" s="1"/>
      <c r="LW153" s="1"/>
      <c r="LX153" s="1"/>
      <c r="LY153" s="1"/>
      <c r="LZ153" s="1"/>
      <c r="MA153" s="1"/>
      <c r="MB153" s="1"/>
      <c r="MC153" s="1"/>
      <c r="MD153" s="1"/>
      <c r="ME153" s="1"/>
      <c r="MF153" s="1"/>
      <c r="MG153" s="1"/>
      <c r="MH153" s="1"/>
      <c r="MI153" s="1"/>
      <c r="MJ153" s="1"/>
      <c r="MK153" s="1"/>
      <c r="ML153" s="1"/>
      <c r="MM153" s="1"/>
      <c r="MN153" s="1"/>
      <c r="MO153" s="1"/>
      <c r="MP153" s="1"/>
      <c r="MQ153" s="1"/>
      <c r="MR153" s="1"/>
      <c r="MS153" s="1"/>
      <c r="MT153" s="1"/>
      <c r="MU153" s="1"/>
      <c r="MV153" s="1"/>
      <c r="MW153" s="1"/>
      <c r="MX153" s="1"/>
      <c r="MY153" s="1"/>
      <c r="MZ153" s="1"/>
      <c r="NA153" s="1"/>
      <c r="NB153" s="1"/>
      <c r="NC153" s="1"/>
      <c r="ND153" s="1"/>
      <c r="NE153" s="1"/>
      <c r="NF153" s="1"/>
      <c r="NG153" s="1"/>
      <c r="NH153" s="1"/>
      <c r="NI153" s="1"/>
      <c r="NJ153" s="1"/>
      <c r="NK153" s="1"/>
      <c r="NL153" s="1"/>
      <c r="NM153" s="1"/>
      <c r="NN153" s="1"/>
      <c r="NO153" s="1"/>
      <c r="NP153" s="1"/>
      <c r="NQ153" s="1"/>
      <c r="NR153" s="1"/>
      <c r="NS153" s="1"/>
      <c r="NT153" s="1"/>
      <c r="NU153" s="1"/>
      <c r="NV153" s="1"/>
      <c r="NW153" s="1"/>
      <c r="NX153" s="1"/>
      <c r="NY153" s="1"/>
      <c r="NZ153" s="1"/>
      <c r="OA153" s="1"/>
      <c r="OB153" s="1"/>
      <c r="OC153" s="1"/>
      <c r="OD153" s="1"/>
      <c r="OE153" s="1"/>
      <c r="OF153" s="1"/>
      <c r="OG153" s="1"/>
      <c r="OH153" s="1"/>
      <c r="OI153" s="1"/>
      <c r="OJ153" s="1"/>
      <c r="OK153" s="1"/>
      <c r="OL153" s="1"/>
      <c r="OM153" s="1"/>
      <c r="ON153" s="1"/>
      <c r="OO153" s="1"/>
      <c r="OP153" s="1"/>
      <c r="OQ153" s="1"/>
      <c r="OR153" s="1"/>
      <c r="OS153" s="1"/>
      <c r="OT153" s="1"/>
      <c r="OU153" s="1"/>
      <c r="OV153" s="1"/>
      <c r="OW153" s="1"/>
      <c r="OX153" s="1"/>
      <c r="OY153" s="1"/>
      <c r="OZ153" s="1"/>
      <c r="PA153" s="1"/>
      <c r="PB153" s="1"/>
      <c r="PC153" s="1"/>
      <c r="PD153" s="1"/>
      <c r="PE153" s="1"/>
      <c r="PF153" s="1"/>
      <c r="PG153" s="1"/>
      <c r="PH153" s="1"/>
      <c r="PI153" s="1"/>
      <c r="PJ153" s="1"/>
      <c r="PK153" s="1"/>
      <c r="PL153" s="1"/>
      <c r="PM153" s="1"/>
      <c r="PN153" s="1"/>
      <c r="PO153" s="1"/>
      <c r="PP153" s="1"/>
      <c r="PQ153" s="1"/>
      <c r="PR153" s="1"/>
      <c r="PS153" s="1"/>
      <c r="PT153" s="1"/>
      <c r="PU153" s="1"/>
      <c r="PV153" s="1"/>
      <c r="PW153" s="1"/>
      <c r="PX153" s="1"/>
      <c r="PY153" s="1"/>
      <c r="PZ153" s="1"/>
      <c r="QA153" s="1"/>
      <c r="QB153" s="1"/>
      <c r="QC153" s="1"/>
      <c r="QD153" s="1"/>
      <c r="QE153" s="1"/>
      <c r="QF153" s="1"/>
      <c r="QG153" s="1"/>
      <c r="QH153" s="1"/>
      <c r="QI153" s="1"/>
      <c r="QJ153" s="1"/>
      <c r="QK153" s="1"/>
      <c r="QL153" s="1"/>
      <c r="QM153" s="1"/>
      <c r="QN153" s="1"/>
      <c r="QO153" s="1"/>
      <c r="QP153" s="1"/>
      <c r="QQ153" s="1"/>
      <c r="QR153" s="1"/>
      <c r="QS153" s="1"/>
      <c r="QT153" s="1"/>
      <c r="QU153" s="1"/>
      <c r="QV153" s="1"/>
      <c r="QW153" s="1"/>
      <c r="QX153" s="1"/>
      <c r="QY153" s="1"/>
      <c r="QZ153" s="1"/>
      <c r="RA153" s="1"/>
      <c r="RB153" s="1"/>
      <c r="RC153" s="1"/>
      <c r="RD153" s="1"/>
      <c r="RE153" s="1"/>
      <c r="RF153" s="1"/>
      <c r="RG153" s="1"/>
      <c r="RH153" s="1"/>
      <c r="RI153" s="1"/>
      <c r="RJ153" s="1"/>
      <c r="RK153" s="1"/>
      <c r="RL153" s="1"/>
      <c r="RM153" s="1"/>
      <c r="RN153" s="1"/>
      <c r="RO153" s="1"/>
      <c r="RP153" s="1"/>
      <c r="RQ153" s="1"/>
      <c r="RR153" s="1"/>
      <c r="RS153" s="1"/>
      <c r="RT153" s="1"/>
      <c r="RU153" s="1"/>
      <c r="RV153" s="1"/>
      <c r="RW153" s="1"/>
      <c r="RX153" s="1"/>
      <c r="RY153" s="1"/>
      <c r="RZ153" s="1"/>
      <c r="SA153" s="1"/>
      <c r="SB153" s="1"/>
      <c r="SC153" s="1"/>
      <c r="SD153" s="1"/>
      <c r="SE153" s="1"/>
      <c r="SF153" s="1"/>
      <c r="SG153" s="1"/>
      <c r="SH153" s="1"/>
      <c r="SI153" s="1"/>
      <c r="SJ153" s="1"/>
      <c r="SK153" s="1"/>
      <c r="SL153" s="1"/>
      <c r="SM153" s="1"/>
      <c r="SN153" s="1"/>
      <c r="SO153" s="1"/>
      <c r="SP153" s="1"/>
      <c r="SQ153" s="1"/>
      <c r="SR153" s="1"/>
      <c r="SS153" s="1"/>
      <c r="ST153" s="1"/>
      <c r="SU153" s="1"/>
      <c r="SV153" s="1"/>
      <c r="SW153" s="1"/>
      <c r="SX153" s="1"/>
      <c r="SY153" s="1"/>
      <c r="SZ153" s="1"/>
      <c r="TA153" s="1"/>
      <c r="TB153" s="1"/>
      <c r="TC153" s="1"/>
      <c r="TD153" s="1"/>
      <c r="TE153" s="1"/>
      <c r="TF153" s="1"/>
      <c r="TG153" s="1"/>
      <c r="TH153" s="1"/>
      <c r="TI153" s="1"/>
      <c r="TJ153" s="1"/>
      <c r="TK153" s="1"/>
      <c r="TL153" s="1"/>
      <c r="TM153" s="1"/>
      <c r="TN153" s="1"/>
      <c r="TO153" s="1"/>
      <c r="TP153" s="1"/>
      <c r="TQ153" s="1"/>
      <c r="TR153" s="1"/>
      <c r="TS153" s="1"/>
      <c r="TT153" s="1"/>
      <c r="TU153" s="1"/>
      <c r="TV153" s="1"/>
      <c r="TW153" s="1"/>
      <c r="TX153" s="1"/>
      <c r="TY153" s="1"/>
      <c r="TZ153" s="1"/>
      <c r="UA153" s="1"/>
      <c r="UB153" s="1"/>
      <c r="UC153" s="1"/>
      <c r="UD153" s="1"/>
      <c r="UE153" s="1"/>
      <c r="UF153" s="1"/>
      <c r="UG153" s="1"/>
      <c r="UH153" s="1"/>
      <c r="UI153" s="1"/>
      <c r="UJ153" s="1"/>
      <c r="UK153" s="1"/>
      <c r="UL153" s="1"/>
      <c r="UM153" s="1"/>
      <c r="UN153" s="1"/>
      <c r="UO153" s="1"/>
      <c r="UP153" s="1"/>
      <c r="UQ153" s="1"/>
      <c r="UR153" s="1"/>
      <c r="US153" s="1"/>
      <c r="UT153" s="1"/>
      <c r="UU153" s="1"/>
      <c r="UV153" s="1"/>
      <c r="UW153" s="1"/>
      <c r="UX153" s="1"/>
      <c r="UY153" s="1"/>
      <c r="UZ153" s="1"/>
      <c r="VA153" s="1"/>
      <c r="VB153" s="1"/>
      <c r="VC153" s="1"/>
      <c r="VD153" s="1"/>
      <c r="VE153" s="1"/>
      <c r="VF153" s="1"/>
      <c r="VG153" s="1"/>
      <c r="VH153" s="1"/>
      <c r="VI153" s="1"/>
      <c r="VJ153" s="1"/>
      <c r="VK153" s="1"/>
      <c r="VL153" s="1"/>
      <c r="VM153" s="1"/>
      <c r="VN153" s="1"/>
      <c r="VO153" s="1"/>
      <c r="VP153" s="1"/>
      <c r="VQ153" s="1"/>
      <c r="VR153" s="1"/>
      <c r="VS153" s="1"/>
      <c r="VT153" s="1"/>
      <c r="VU153" s="1"/>
      <c r="VV153" s="1"/>
      <c r="VW153" s="1"/>
      <c r="VX153" s="1"/>
      <c r="VY153" s="1"/>
      <c r="VZ153" s="1"/>
      <c r="WA153" s="1"/>
      <c r="WB153" s="1"/>
      <c r="WC153" s="1"/>
      <c r="WD153" s="1"/>
      <c r="WE153" s="1"/>
      <c r="WF153" s="1"/>
      <c r="WG153" s="1"/>
      <c r="WH153" s="1"/>
      <c r="WI153" s="1"/>
      <c r="WJ153" s="1"/>
      <c r="WK153" s="1"/>
      <c r="WL153" s="1"/>
      <c r="WM153" s="1"/>
      <c r="WN153" s="1"/>
      <c r="WO153" s="1"/>
      <c r="WP153" s="1"/>
      <c r="WQ153" s="1"/>
      <c r="WR153" s="1"/>
      <c r="WS153" s="1"/>
      <c r="WT153" s="1"/>
      <c r="WU153" s="1"/>
      <c r="WV153" s="1"/>
      <c r="WW153" s="1"/>
      <c r="WX153" s="1"/>
      <c r="WY153" s="1"/>
      <c r="WZ153" s="1"/>
      <c r="XA153" s="1"/>
      <c r="XB153" s="1"/>
      <c r="XC153" s="1"/>
      <c r="XD153" s="1"/>
      <c r="XE153" s="1"/>
      <c r="XF153" s="1"/>
      <c r="XG153" s="1"/>
      <c r="XH153" s="1"/>
      <c r="XI153" s="1"/>
      <c r="XJ153" s="1"/>
      <c r="XK153" s="1"/>
      <c r="XL153" s="1"/>
      <c r="XM153" s="1"/>
      <c r="XN153" s="1"/>
      <c r="XO153" s="1"/>
      <c r="XP153" s="1"/>
      <c r="XQ153" s="1"/>
      <c r="XR153" s="1"/>
      <c r="XS153" s="1"/>
      <c r="XT153" s="1"/>
      <c r="XU153" s="1"/>
      <c r="XV153" s="1"/>
      <c r="XW153" s="1"/>
      <c r="XX153" s="1"/>
      <c r="XY153" s="1"/>
      <c r="XZ153" s="1"/>
      <c r="YA153" s="1"/>
      <c r="YB153" s="1"/>
      <c r="YC153" s="1"/>
      <c r="YD153" s="1"/>
      <c r="YE153" s="1"/>
      <c r="YF153" s="1"/>
      <c r="YG153" s="1"/>
      <c r="YH153" s="1"/>
      <c r="YI153" s="1"/>
      <c r="YJ153" s="1"/>
      <c r="YK153" s="1"/>
      <c r="YL153" s="1"/>
      <c r="YM153" s="1"/>
      <c r="YN153" s="1"/>
      <c r="YO153" s="1"/>
      <c r="YP153" s="1"/>
      <c r="YQ153" s="1"/>
      <c r="YR153" s="1"/>
      <c r="YS153" s="1"/>
      <c r="YT153" s="1"/>
      <c r="YU153" s="1"/>
      <c r="YV153" s="1"/>
      <c r="YW153" s="1"/>
      <c r="YX153" s="1"/>
      <c r="YY153" s="1"/>
      <c r="YZ153" s="1"/>
      <c r="ZA153" s="1"/>
      <c r="ZB153" s="1"/>
      <c r="ZC153" s="1"/>
      <c r="ZD153" s="1"/>
      <c r="ZE153" s="1"/>
      <c r="ZF153" s="1"/>
      <c r="ZG153" s="1"/>
      <c r="ZH153" s="1"/>
      <c r="ZI153" s="1"/>
      <c r="ZJ153" s="1"/>
      <c r="ZK153" s="1"/>
      <c r="ZL153" s="1"/>
      <c r="ZM153" s="1"/>
      <c r="ZN153" s="1"/>
      <c r="ZO153" s="1"/>
      <c r="ZP153" s="1"/>
      <c r="ZQ153" s="1"/>
      <c r="ZR153" s="1"/>
      <c r="ZS153" s="1"/>
      <c r="ZT153" s="1"/>
      <c r="ZU153" s="1"/>
      <c r="ZV153" s="1"/>
      <c r="ZW153" s="1"/>
      <c r="ZX153" s="1"/>
      <c r="ZY153" s="1"/>
      <c r="ZZ153" s="1"/>
      <c r="AAA153" s="1"/>
      <c r="AAB153" s="1"/>
      <c r="AAC153" s="1"/>
      <c r="AAD153" s="1"/>
      <c r="AAE153" s="1"/>
      <c r="AAF153" s="1"/>
      <c r="AAG153" s="1"/>
      <c r="AAH153" s="1"/>
      <c r="AAI153" s="1"/>
      <c r="AAJ153" s="1"/>
      <c r="AAK153" s="1"/>
      <c r="AAL153" s="1"/>
      <c r="AAM153" s="1"/>
      <c r="AAN153" s="1"/>
      <c r="AAO153" s="1"/>
      <c r="AAP153" s="1"/>
      <c r="AAQ153" s="1"/>
      <c r="AAR153" s="1"/>
      <c r="AAS153" s="1"/>
      <c r="AAT153" s="1"/>
      <c r="AAU153" s="1"/>
      <c r="AAV153" s="1"/>
      <c r="AAW153" s="1"/>
      <c r="AAX153" s="1"/>
      <c r="AAY153" s="1"/>
      <c r="AAZ153" s="1"/>
      <c r="ABA153" s="1"/>
      <c r="ABB153" s="1"/>
      <c r="ABC153" s="1"/>
      <c r="ABD153" s="1"/>
      <c r="ABE153" s="1"/>
      <c r="ABF153" s="1"/>
      <c r="ABG153" s="1"/>
      <c r="ABH153" s="1"/>
      <c r="ABI153" s="1"/>
      <c r="ABJ153" s="1"/>
      <c r="ABK153" s="1"/>
      <c r="ABL153" s="1"/>
      <c r="ABM153" s="1"/>
      <c r="ABN153" s="1"/>
      <c r="ABO153" s="1"/>
      <c r="ABP153" s="1"/>
      <c r="ABQ153" s="1"/>
      <c r="ABR153" s="1"/>
      <c r="ABS153" s="1"/>
      <c r="ABT153" s="1"/>
      <c r="ABU153" s="1"/>
      <c r="ABV153" s="1"/>
      <c r="ABW153" s="1"/>
      <c r="ABX153" s="1"/>
      <c r="ABY153" s="1"/>
      <c r="ABZ153" s="1"/>
      <c r="ACA153" s="1"/>
      <c r="ACB153" s="1"/>
      <c r="ACC153" s="1"/>
      <c r="ACD153" s="1"/>
      <c r="ACE153" s="1"/>
      <c r="ACF153" s="1"/>
      <c r="ACG153" s="1"/>
      <c r="ACH153" s="1"/>
      <c r="ACI153" s="1"/>
      <c r="ACJ153" s="1"/>
      <c r="ACK153" s="1"/>
      <c r="ACL153" s="1"/>
      <c r="ACM153" s="1"/>
      <c r="ACN153" s="1"/>
      <c r="ACO153" s="1"/>
      <c r="ACP153" s="1"/>
      <c r="ACQ153" s="1"/>
      <c r="ACR153" s="1"/>
      <c r="ACS153" s="1"/>
      <c r="ACT153" s="1"/>
      <c r="ACU153" s="1"/>
      <c r="ACV153" s="1"/>
      <c r="ACW153" s="1"/>
      <c r="ACX153" s="1"/>
      <c r="ACY153" s="1"/>
      <c r="ACZ153" s="1"/>
      <c r="ADA153" s="1"/>
      <c r="ADB153" s="1"/>
      <c r="ADC153" s="1"/>
      <c r="ADD153" s="1"/>
      <c r="ADE153" s="1"/>
      <c r="ADF153" s="1"/>
      <c r="ADG153" s="1"/>
      <c r="ADH153" s="1"/>
      <c r="ADI153" s="1"/>
      <c r="ADJ153" s="1"/>
      <c r="ADK153" s="1"/>
      <c r="ADL153" s="1"/>
      <c r="ADM153" s="1"/>
      <c r="ADN153" s="1"/>
      <c r="ADO153" s="1"/>
      <c r="ADP153" s="1"/>
      <c r="ADQ153" s="1"/>
      <c r="ADR153" s="1"/>
      <c r="ADS153" s="1"/>
      <c r="ADT153" s="1"/>
      <c r="ADU153" s="1"/>
      <c r="ADV153" s="1"/>
      <c r="ADW153" s="1"/>
      <c r="ADX153" s="1"/>
      <c r="ADY153" s="1"/>
      <c r="ADZ153" s="1"/>
      <c r="AEA153" s="1"/>
      <c r="AEB153" s="1"/>
      <c r="AEC153" s="1"/>
      <c r="AED153" s="1"/>
      <c r="AEE153" s="1"/>
      <c r="AEF153" s="1"/>
      <c r="AEG153" s="1"/>
      <c r="AEH153" s="1"/>
      <c r="AEI153" s="1"/>
      <c r="AEJ153" s="1"/>
      <c r="AEK153" s="1"/>
      <c r="AEL153" s="1"/>
      <c r="AEM153" s="1"/>
      <c r="AEN153" s="1"/>
      <c r="AEO153" s="1"/>
      <c r="AEP153" s="1"/>
      <c r="AEQ153" s="1"/>
      <c r="AER153" s="1"/>
      <c r="AES153" s="1"/>
      <c r="AET153" s="1"/>
      <c r="AEU153" s="1"/>
      <c r="AEV153" s="1"/>
      <c r="AEW153" s="1"/>
      <c r="AEX153" s="1"/>
      <c r="AEY153" s="1"/>
      <c r="AEZ153" s="1"/>
      <c r="AFA153" s="1"/>
      <c r="AFB153" s="1"/>
      <c r="AFC153" s="1"/>
      <c r="AFD153" s="1"/>
      <c r="AFE153" s="1"/>
      <c r="AFF153" s="1"/>
      <c r="AFG153" s="1"/>
      <c r="AFH153" s="1"/>
      <c r="AFI153" s="1"/>
      <c r="AFJ153" s="1"/>
      <c r="AFK153" s="1"/>
      <c r="AFL153" s="1"/>
      <c r="AFM153" s="1"/>
      <c r="AFN153" s="1"/>
      <c r="AFO153" s="1"/>
      <c r="AFP153" s="1"/>
      <c r="AFQ153" s="1"/>
      <c r="AFR153" s="1"/>
      <c r="AFS153" s="1"/>
      <c r="AFT153" s="1"/>
      <c r="AFU153" s="1"/>
      <c r="AFV153" s="1"/>
      <c r="AFW153" s="1"/>
      <c r="AFX153" s="1"/>
      <c r="AFY153" s="1"/>
      <c r="AFZ153" s="1"/>
      <c r="AGA153" s="1"/>
      <c r="AGB153" s="1"/>
      <c r="AGC153" s="1"/>
      <c r="AGD153" s="1"/>
      <c r="AGE153" s="1"/>
      <c r="AGF153" s="1"/>
      <c r="AGG153" s="1"/>
      <c r="AGH153" s="1"/>
      <c r="AGI153" s="1"/>
      <c r="AGJ153" s="1"/>
      <c r="AGK153" s="1"/>
      <c r="AGL153" s="1"/>
      <c r="AGM153" s="1"/>
      <c r="AGN153" s="1"/>
      <c r="AGO153" s="1"/>
      <c r="AGP153" s="1"/>
      <c r="AGQ153" s="1"/>
      <c r="AGR153" s="1"/>
      <c r="AGS153" s="1"/>
      <c r="AGT153" s="1"/>
      <c r="AGU153" s="1"/>
      <c r="AGV153" s="1"/>
      <c r="AGW153" s="1"/>
      <c r="AGX153" s="1"/>
      <c r="AGY153" s="1"/>
      <c r="AGZ153" s="1"/>
      <c r="AHA153" s="1"/>
      <c r="AHB153" s="1"/>
      <c r="AHC153" s="1"/>
      <c r="AHD153" s="1"/>
      <c r="AHE153" s="1"/>
      <c r="AHF153" s="1"/>
      <c r="AHG153" s="1"/>
      <c r="AHH153" s="1"/>
      <c r="AHI153" s="1"/>
      <c r="AHJ153" s="1"/>
      <c r="AHK153" s="1"/>
      <c r="AHL153" s="1"/>
      <c r="AHM153" s="1"/>
      <c r="AHN153" s="1"/>
      <c r="AHO153" s="1"/>
      <c r="AHP153" s="1"/>
      <c r="AHQ153" s="1"/>
      <c r="AHR153" s="1"/>
      <c r="AHS153" s="1"/>
      <c r="AHT153" s="1"/>
      <c r="AHU153" s="1"/>
      <c r="AHV153" s="1"/>
      <c r="AHW153" s="1"/>
      <c r="AHX153" s="1"/>
      <c r="AHY153" s="1"/>
      <c r="AHZ153" s="1"/>
      <c r="AIA153" s="1"/>
      <c r="AIB153" s="1"/>
      <c r="AIC153" s="1"/>
      <c r="AID153" s="1"/>
      <c r="AIE153" s="1"/>
      <c r="AIF153" s="1"/>
      <c r="AIG153" s="1"/>
      <c r="AIH153" s="1"/>
      <c r="AII153" s="1"/>
      <c r="AIJ153" s="1"/>
      <c r="AIK153" s="1"/>
      <c r="AIL153" s="1"/>
      <c r="AIM153" s="1"/>
      <c r="AIN153" s="1"/>
      <c r="AIO153" s="1"/>
      <c r="AIP153" s="1"/>
      <c r="AIQ153" s="1"/>
      <c r="AIR153" s="1"/>
      <c r="AIS153" s="1"/>
      <c r="AIT153" s="1"/>
      <c r="AIU153" s="1"/>
      <c r="AIV153" s="1"/>
      <c r="AIW153" s="1"/>
      <c r="AIX153" s="1"/>
      <c r="AIY153" s="1"/>
      <c r="AIZ153" s="1"/>
      <c r="AJA153" s="1"/>
      <c r="AJB153" s="1"/>
      <c r="AJC153" s="1"/>
      <c r="AJD153" s="1"/>
      <c r="AJE153" s="1"/>
      <c r="AJF153" s="1"/>
      <c r="AJG153" s="1"/>
      <c r="AJH153" s="1"/>
      <c r="AJI153" s="1"/>
      <c r="AJJ153" s="1"/>
      <c r="AJK153" s="1"/>
      <c r="AJL153" s="1"/>
      <c r="AJM153" s="1"/>
      <c r="AJN153" s="1"/>
      <c r="AJO153" s="1"/>
      <c r="AJP153" s="1"/>
      <c r="AJQ153" s="1"/>
      <c r="AJR153" s="1"/>
      <c r="AJS153" s="1"/>
      <c r="AJT153" s="1"/>
      <c r="AJU153" s="1"/>
      <c r="AJV153" s="1"/>
      <c r="AJW153" s="1"/>
      <c r="AJX153" s="1"/>
      <c r="AJY153" s="1"/>
      <c r="AJZ153" s="1"/>
      <c r="AKA153" s="1"/>
      <c r="AKB153" s="1"/>
      <c r="AKC153" s="1"/>
      <c r="AKD153" s="1"/>
      <c r="AKE153" s="1"/>
      <c r="AKF153" s="1"/>
      <c r="AKG153" s="1"/>
      <c r="AKH153" s="1"/>
      <c r="AKI153" s="1"/>
      <c r="AKJ153" s="1"/>
      <c r="AKK153" s="1"/>
      <c r="AKL153" s="1"/>
      <c r="AKM153" s="1"/>
      <c r="AKN153" s="1"/>
      <c r="AKO153" s="1"/>
      <c r="AKP153" s="1"/>
      <c r="AKQ153" s="1"/>
      <c r="AKR153" s="1"/>
      <c r="AKS153" s="1"/>
      <c r="AKT153" s="1"/>
      <c r="AKU153" s="1"/>
      <c r="AKV153" s="1"/>
      <c r="AKW153" s="1"/>
      <c r="AKX153" s="1"/>
      <c r="AKY153" s="1"/>
      <c r="AKZ153" s="1"/>
      <c r="ALA153" s="1"/>
      <c r="ALB153" s="1"/>
      <c r="ALC153" s="1"/>
      <c r="ALD153" s="1"/>
      <c r="ALE153" s="1"/>
      <c r="ALF153" s="1"/>
      <c r="ALG153" s="1"/>
      <c r="ALH153" s="1"/>
      <c r="ALI153" s="1"/>
      <c r="ALJ153" s="1"/>
      <c r="ALK153" s="1"/>
      <c r="ALL153" s="1"/>
      <c r="ALM153" s="1"/>
      <c r="ALN153" s="1"/>
      <c r="ALO153" s="1"/>
      <c r="ALP153" s="1"/>
      <c r="ALQ153" s="1"/>
      <c r="ALR153" s="1"/>
      <c r="ALS153" s="1"/>
      <c r="ALT153" s="1"/>
      <c r="ALU153" s="1"/>
      <c r="ALV153" s="1"/>
      <c r="ALW153" s="1"/>
      <c r="ALX153" s="1"/>
      <c r="ALY153" s="1"/>
      <c r="ALZ153" s="1"/>
      <c r="AMA153" s="1"/>
      <c r="AMB153" s="1"/>
      <c r="AMC153" s="1"/>
      <c r="AMD153" s="1"/>
      <c r="AME153" s="1"/>
      <c r="AMF153" s="1"/>
      <c r="AMG153" s="1"/>
      <c r="AMH153" s="1"/>
      <c r="AMI153" s="1"/>
      <c r="AMJ153" s="1"/>
    </row>
    <row r="154" customFormat="false" ht="10.5" hidden="false" customHeight="true" outlineLevel="0" collapsed="false">
      <c r="A154" s="164"/>
      <c r="B154" s="164"/>
      <c r="C154" s="164"/>
      <c r="D154" s="164"/>
      <c r="E154" s="164"/>
      <c r="F154" s="164"/>
      <c r="G154" s="164"/>
      <c r="H154" s="164"/>
      <c r="I154" s="164"/>
      <c r="J154" s="164"/>
      <c r="K154" s="164"/>
      <c r="L154" s="164"/>
      <c r="M154" s="164"/>
      <c r="N154" s="23"/>
      <c r="O154" s="23"/>
      <c r="P154" s="23"/>
      <c r="Q154" s="23"/>
      <c r="R154" s="23"/>
      <c r="S154" s="187"/>
      <c r="T154" s="187"/>
      <c r="U154" s="187"/>
      <c r="V154" s="187"/>
      <c r="W154" s="187"/>
      <c r="X154" s="217"/>
      <c r="Y154" s="217"/>
      <c r="Z154" s="217"/>
      <c r="AA154" s="217"/>
      <c r="AB154" s="217"/>
      <c r="AC154" s="23"/>
      <c r="AD154" s="23"/>
      <c r="AE154" s="23"/>
      <c r="AF154" s="23"/>
      <c r="AG154" s="23"/>
      <c r="AH154" s="142" t="n">
        <f aca="false">S154*X154*AC154</f>
        <v>0</v>
      </c>
      <c r="AI154" s="142"/>
      <c r="AJ154" s="142"/>
      <c r="AK154" s="142"/>
      <c r="AL154" s="142"/>
      <c r="AM154" s="142"/>
      <c r="AN154" s="142"/>
      <c r="AO154" s="142"/>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c r="IY154" s="1"/>
      <c r="IZ154" s="1"/>
      <c r="JA154" s="1"/>
      <c r="JB154" s="1"/>
      <c r="JC154" s="1"/>
      <c r="JD154" s="1"/>
      <c r="JE154" s="1"/>
      <c r="JF154" s="1"/>
      <c r="JG154" s="1"/>
      <c r="JH154" s="1"/>
      <c r="JI154" s="1"/>
      <c r="JJ154" s="1"/>
      <c r="JK154" s="1"/>
      <c r="JL154" s="1"/>
      <c r="JM154" s="1"/>
      <c r="JN154" s="1"/>
      <c r="JO154" s="1"/>
      <c r="JP154" s="1"/>
      <c r="JQ154" s="1"/>
      <c r="JR154" s="1"/>
      <c r="JS154" s="1"/>
      <c r="JT154" s="1"/>
      <c r="JU154" s="1"/>
      <c r="JV154" s="1"/>
      <c r="JW154" s="1"/>
      <c r="JX154" s="1"/>
      <c r="JY154" s="1"/>
      <c r="JZ154" s="1"/>
      <c r="KA154" s="1"/>
      <c r="KB154" s="1"/>
      <c r="KC154" s="1"/>
      <c r="KD154" s="1"/>
      <c r="KE154" s="1"/>
      <c r="KF154" s="1"/>
      <c r="KG154" s="1"/>
      <c r="KH154" s="1"/>
      <c r="KI154" s="1"/>
      <c r="KJ154" s="1"/>
      <c r="KK154" s="1"/>
      <c r="KL154" s="1"/>
      <c r="KM154" s="1"/>
      <c r="KN154" s="1"/>
      <c r="KO154" s="1"/>
      <c r="KP154" s="1"/>
      <c r="KQ154" s="1"/>
      <c r="KR154" s="1"/>
      <c r="KS154" s="1"/>
      <c r="KT154" s="1"/>
      <c r="KU154" s="1"/>
      <c r="KV154" s="1"/>
      <c r="KW154" s="1"/>
      <c r="KX154" s="1"/>
      <c r="KY154" s="1"/>
      <c r="KZ154" s="1"/>
      <c r="LA154" s="1"/>
      <c r="LB154" s="1"/>
      <c r="LC154" s="1"/>
      <c r="LD154" s="1"/>
      <c r="LE154" s="1"/>
      <c r="LF154" s="1"/>
      <c r="LG154" s="1"/>
      <c r="LH154" s="1"/>
      <c r="LI154" s="1"/>
      <c r="LJ154" s="1"/>
      <c r="LK154" s="1"/>
      <c r="LL154" s="1"/>
      <c r="LM154" s="1"/>
      <c r="LN154" s="1"/>
      <c r="LO154" s="1"/>
      <c r="LP154" s="1"/>
      <c r="LQ154" s="1"/>
      <c r="LR154" s="1"/>
      <c r="LS154" s="1"/>
      <c r="LT154" s="1"/>
      <c r="LU154" s="1"/>
      <c r="LV154" s="1"/>
      <c r="LW154" s="1"/>
      <c r="LX154" s="1"/>
      <c r="LY154" s="1"/>
      <c r="LZ154" s="1"/>
      <c r="MA154" s="1"/>
      <c r="MB154" s="1"/>
      <c r="MC154" s="1"/>
      <c r="MD154" s="1"/>
      <c r="ME154" s="1"/>
      <c r="MF154" s="1"/>
      <c r="MG154" s="1"/>
      <c r="MH154" s="1"/>
      <c r="MI154" s="1"/>
      <c r="MJ154" s="1"/>
      <c r="MK154" s="1"/>
      <c r="ML154" s="1"/>
      <c r="MM154" s="1"/>
      <c r="MN154" s="1"/>
      <c r="MO154" s="1"/>
      <c r="MP154" s="1"/>
      <c r="MQ154" s="1"/>
      <c r="MR154" s="1"/>
      <c r="MS154" s="1"/>
      <c r="MT154" s="1"/>
      <c r="MU154" s="1"/>
      <c r="MV154" s="1"/>
      <c r="MW154" s="1"/>
      <c r="MX154" s="1"/>
      <c r="MY154" s="1"/>
      <c r="MZ154" s="1"/>
      <c r="NA154" s="1"/>
      <c r="NB154" s="1"/>
      <c r="NC154" s="1"/>
      <c r="ND154" s="1"/>
      <c r="NE154" s="1"/>
      <c r="NF154" s="1"/>
      <c r="NG154" s="1"/>
      <c r="NH154" s="1"/>
      <c r="NI154" s="1"/>
      <c r="NJ154" s="1"/>
      <c r="NK154" s="1"/>
      <c r="NL154" s="1"/>
      <c r="NM154" s="1"/>
      <c r="NN154" s="1"/>
      <c r="NO154" s="1"/>
      <c r="NP154" s="1"/>
      <c r="NQ154" s="1"/>
      <c r="NR154" s="1"/>
      <c r="NS154" s="1"/>
      <c r="NT154" s="1"/>
      <c r="NU154" s="1"/>
      <c r="NV154" s="1"/>
      <c r="NW154" s="1"/>
      <c r="NX154" s="1"/>
      <c r="NY154" s="1"/>
      <c r="NZ154" s="1"/>
      <c r="OA154" s="1"/>
      <c r="OB154" s="1"/>
      <c r="OC154" s="1"/>
      <c r="OD154" s="1"/>
      <c r="OE154" s="1"/>
      <c r="OF154" s="1"/>
      <c r="OG154" s="1"/>
      <c r="OH154" s="1"/>
      <c r="OI154" s="1"/>
      <c r="OJ154" s="1"/>
      <c r="OK154" s="1"/>
      <c r="OL154" s="1"/>
      <c r="OM154" s="1"/>
      <c r="ON154" s="1"/>
      <c r="OO154" s="1"/>
      <c r="OP154" s="1"/>
      <c r="OQ154" s="1"/>
      <c r="OR154" s="1"/>
      <c r="OS154" s="1"/>
      <c r="OT154" s="1"/>
      <c r="OU154" s="1"/>
      <c r="OV154" s="1"/>
      <c r="OW154" s="1"/>
      <c r="OX154" s="1"/>
      <c r="OY154" s="1"/>
      <c r="OZ154" s="1"/>
      <c r="PA154" s="1"/>
      <c r="PB154" s="1"/>
      <c r="PC154" s="1"/>
      <c r="PD154" s="1"/>
      <c r="PE154" s="1"/>
      <c r="PF154" s="1"/>
      <c r="PG154" s="1"/>
      <c r="PH154" s="1"/>
      <c r="PI154" s="1"/>
      <c r="PJ154" s="1"/>
      <c r="PK154" s="1"/>
      <c r="PL154" s="1"/>
      <c r="PM154" s="1"/>
      <c r="PN154" s="1"/>
      <c r="PO154" s="1"/>
      <c r="PP154" s="1"/>
      <c r="PQ154" s="1"/>
      <c r="PR154" s="1"/>
      <c r="PS154" s="1"/>
      <c r="PT154" s="1"/>
      <c r="PU154" s="1"/>
      <c r="PV154" s="1"/>
      <c r="PW154" s="1"/>
      <c r="PX154" s="1"/>
      <c r="PY154" s="1"/>
      <c r="PZ154" s="1"/>
      <c r="QA154" s="1"/>
      <c r="QB154" s="1"/>
      <c r="QC154" s="1"/>
      <c r="QD154" s="1"/>
      <c r="QE154" s="1"/>
      <c r="QF154" s="1"/>
      <c r="QG154" s="1"/>
      <c r="QH154" s="1"/>
      <c r="QI154" s="1"/>
      <c r="QJ154" s="1"/>
      <c r="QK154" s="1"/>
      <c r="QL154" s="1"/>
      <c r="QM154" s="1"/>
      <c r="QN154" s="1"/>
      <c r="QO154" s="1"/>
      <c r="QP154" s="1"/>
      <c r="QQ154" s="1"/>
      <c r="QR154" s="1"/>
      <c r="QS154" s="1"/>
      <c r="QT154" s="1"/>
      <c r="QU154" s="1"/>
      <c r="QV154" s="1"/>
      <c r="QW154" s="1"/>
      <c r="QX154" s="1"/>
      <c r="QY154" s="1"/>
      <c r="QZ154" s="1"/>
      <c r="RA154" s="1"/>
      <c r="RB154" s="1"/>
      <c r="RC154" s="1"/>
      <c r="RD154" s="1"/>
      <c r="RE154" s="1"/>
      <c r="RF154" s="1"/>
      <c r="RG154" s="1"/>
      <c r="RH154" s="1"/>
      <c r="RI154" s="1"/>
      <c r="RJ154" s="1"/>
      <c r="RK154" s="1"/>
      <c r="RL154" s="1"/>
      <c r="RM154" s="1"/>
      <c r="RN154" s="1"/>
      <c r="RO154" s="1"/>
      <c r="RP154" s="1"/>
      <c r="RQ154" s="1"/>
      <c r="RR154" s="1"/>
      <c r="RS154" s="1"/>
      <c r="RT154" s="1"/>
      <c r="RU154" s="1"/>
      <c r="RV154" s="1"/>
      <c r="RW154" s="1"/>
      <c r="RX154" s="1"/>
      <c r="RY154" s="1"/>
      <c r="RZ154" s="1"/>
      <c r="SA154" s="1"/>
      <c r="SB154" s="1"/>
      <c r="SC154" s="1"/>
      <c r="SD154" s="1"/>
      <c r="SE154" s="1"/>
      <c r="SF154" s="1"/>
      <c r="SG154" s="1"/>
      <c r="SH154" s="1"/>
      <c r="SI154" s="1"/>
      <c r="SJ154" s="1"/>
      <c r="SK154" s="1"/>
      <c r="SL154" s="1"/>
      <c r="SM154" s="1"/>
      <c r="SN154" s="1"/>
      <c r="SO154" s="1"/>
      <c r="SP154" s="1"/>
      <c r="SQ154" s="1"/>
      <c r="SR154" s="1"/>
      <c r="SS154" s="1"/>
      <c r="ST154" s="1"/>
      <c r="SU154" s="1"/>
      <c r="SV154" s="1"/>
      <c r="SW154" s="1"/>
      <c r="SX154" s="1"/>
      <c r="SY154" s="1"/>
      <c r="SZ154" s="1"/>
      <c r="TA154" s="1"/>
      <c r="TB154" s="1"/>
      <c r="TC154" s="1"/>
      <c r="TD154" s="1"/>
      <c r="TE154" s="1"/>
      <c r="TF154" s="1"/>
      <c r="TG154" s="1"/>
      <c r="TH154" s="1"/>
      <c r="TI154" s="1"/>
      <c r="TJ154" s="1"/>
      <c r="TK154" s="1"/>
      <c r="TL154" s="1"/>
      <c r="TM154" s="1"/>
      <c r="TN154" s="1"/>
      <c r="TO154" s="1"/>
      <c r="TP154" s="1"/>
      <c r="TQ154" s="1"/>
      <c r="TR154" s="1"/>
      <c r="TS154" s="1"/>
      <c r="TT154" s="1"/>
      <c r="TU154" s="1"/>
      <c r="TV154" s="1"/>
      <c r="TW154" s="1"/>
      <c r="TX154" s="1"/>
      <c r="TY154" s="1"/>
      <c r="TZ154" s="1"/>
      <c r="UA154" s="1"/>
      <c r="UB154" s="1"/>
      <c r="UC154" s="1"/>
      <c r="UD154" s="1"/>
      <c r="UE154" s="1"/>
      <c r="UF154" s="1"/>
      <c r="UG154" s="1"/>
      <c r="UH154" s="1"/>
      <c r="UI154" s="1"/>
      <c r="UJ154" s="1"/>
      <c r="UK154" s="1"/>
      <c r="UL154" s="1"/>
      <c r="UM154" s="1"/>
      <c r="UN154" s="1"/>
      <c r="UO154" s="1"/>
      <c r="UP154" s="1"/>
      <c r="UQ154" s="1"/>
      <c r="UR154" s="1"/>
      <c r="US154" s="1"/>
      <c r="UT154" s="1"/>
      <c r="UU154" s="1"/>
      <c r="UV154" s="1"/>
      <c r="UW154" s="1"/>
      <c r="UX154" s="1"/>
      <c r="UY154" s="1"/>
      <c r="UZ154" s="1"/>
      <c r="VA154" s="1"/>
      <c r="VB154" s="1"/>
      <c r="VC154" s="1"/>
      <c r="VD154" s="1"/>
      <c r="VE154" s="1"/>
      <c r="VF154" s="1"/>
      <c r="VG154" s="1"/>
      <c r="VH154" s="1"/>
      <c r="VI154" s="1"/>
      <c r="VJ154" s="1"/>
      <c r="VK154" s="1"/>
      <c r="VL154" s="1"/>
      <c r="VM154" s="1"/>
      <c r="VN154" s="1"/>
      <c r="VO154" s="1"/>
      <c r="VP154" s="1"/>
      <c r="VQ154" s="1"/>
      <c r="VR154" s="1"/>
      <c r="VS154" s="1"/>
      <c r="VT154" s="1"/>
      <c r="VU154" s="1"/>
      <c r="VV154" s="1"/>
      <c r="VW154" s="1"/>
      <c r="VX154" s="1"/>
      <c r="VY154" s="1"/>
      <c r="VZ154" s="1"/>
      <c r="WA154" s="1"/>
      <c r="WB154" s="1"/>
      <c r="WC154" s="1"/>
      <c r="WD154" s="1"/>
      <c r="WE154" s="1"/>
      <c r="WF154" s="1"/>
      <c r="WG154" s="1"/>
      <c r="WH154" s="1"/>
      <c r="WI154" s="1"/>
      <c r="WJ154" s="1"/>
      <c r="WK154" s="1"/>
      <c r="WL154" s="1"/>
      <c r="WM154" s="1"/>
      <c r="WN154" s="1"/>
      <c r="WO154" s="1"/>
      <c r="WP154" s="1"/>
      <c r="WQ154" s="1"/>
      <c r="WR154" s="1"/>
      <c r="WS154" s="1"/>
      <c r="WT154" s="1"/>
      <c r="WU154" s="1"/>
      <c r="WV154" s="1"/>
      <c r="WW154" s="1"/>
      <c r="WX154" s="1"/>
      <c r="WY154" s="1"/>
      <c r="WZ154" s="1"/>
      <c r="XA154" s="1"/>
      <c r="XB154" s="1"/>
      <c r="XC154" s="1"/>
      <c r="XD154" s="1"/>
      <c r="XE154" s="1"/>
      <c r="XF154" s="1"/>
      <c r="XG154" s="1"/>
      <c r="XH154" s="1"/>
      <c r="XI154" s="1"/>
      <c r="XJ154" s="1"/>
      <c r="XK154" s="1"/>
      <c r="XL154" s="1"/>
      <c r="XM154" s="1"/>
      <c r="XN154" s="1"/>
      <c r="XO154" s="1"/>
      <c r="XP154" s="1"/>
      <c r="XQ154" s="1"/>
      <c r="XR154" s="1"/>
      <c r="XS154" s="1"/>
      <c r="XT154" s="1"/>
      <c r="XU154" s="1"/>
      <c r="XV154" s="1"/>
      <c r="XW154" s="1"/>
      <c r="XX154" s="1"/>
      <c r="XY154" s="1"/>
      <c r="XZ154" s="1"/>
      <c r="YA154" s="1"/>
      <c r="YB154" s="1"/>
      <c r="YC154" s="1"/>
      <c r="YD154" s="1"/>
      <c r="YE154" s="1"/>
      <c r="YF154" s="1"/>
      <c r="YG154" s="1"/>
      <c r="YH154" s="1"/>
      <c r="YI154" s="1"/>
      <c r="YJ154" s="1"/>
      <c r="YK154" s="1"/>
      <c r="YL154" s="1"/>
      <c r="YM154" s="1"/>
      <c r="YN154" s="1"/>
      <c r="YO154" s="1"/>
      <c r="YP154" s="1"/>
      <c r="YQ154" s="1"/>
      <c r="YR154" s="1"/>
      <c r="YS154" s="1"/>
      <c r="YT154" s="1"/>
      <c r="YU154" s="1"/>
      <c r="YV154" s="1"/>
      <c r="YW154" s="1"/>
      <c r="YX154" s="1"/>
      <c r="YY154" s="1"/>
      <c r="YZ154" s="1"/>
      <c r="ZA154" s="1"/>
      <c r="ZB154" s="1"/>
      <c r="ZC154" s="1"/>
      <c r="ZD154" s="1"/>
      <c r="ZE154" s="1"/>
      <c r="ZF154" s="1"/>
      <c r="ZG154" s="1"/>
      <c r="ZH154" s="1"/>
      <c r="ZI154" s="1"/>
      <c r="ZJ154" s="1"/>
      <c r="ZK154" s="1"/>
      <c r="ZL154" s="1"/>
      <c r="ZM154" s="1"/>
      <c r="ZN154" s="1"/>
      <c r="ZO154" s="1"/>
      <c r="ZP154" s="1"/>
      <c r="ZQ154" s="1"/>
      <c r="ZR154" s="1"/>
      <c r="ZS154" s="1"/>
      <c r="ZT154" s="1"/>
      <c r="ZU154" s="1"/>
      <c r="ZV154" s="1"/>
      <c r="ZW154" s="1"/>
      <c r="ZX154" s="1"/>
      <c r="ZY154" s="1"/>
      <c r="ZZ154" s="1"/>
      <c r="AAA154" s="1"/>
      <c r="AAB154" s="1"/>
      <c r="AAC154" s="1"/>
      <c r="AAD154" s="1"/>
      <c r="AAE154" s="1"/>
      <c r="AAF154" s="1"/>
      <c r="AAG154" s="1"/>
      <c r="AAH154" s="1"/>
      <c r="AAI154" s="1"/>
      <c r="AAJ154" s="1"/>
      <c r="AAK154" s="1"/>
      <c r="AAL154" s="1"/>
      <c r="AAM154" s="1"/>
      <c r="AAN154" s="1"/>
      <c r="AAO154" s="1"/>
      <c r="AAP154" s="1"/>
      <c r="AAQ154" s="1"/>
      <c r="AAR154" s="1"/>
      <c r="AAS154" s="1"/>
      <c r="AAT154" s="1"/>
      <c r="AAU154" s="1"/>
      <c r="AAV154" s="1"/>
      <c r="AAW154" s="1"/>
      <c r="AAX154" s="1"/>
      <c r="AAY154" s="1"/>
      <c r="AAZ154" s="1"/>
      <c r="ABA154" s="1"/>
      <c r="ABB154" s="1"/>
      <c r="ABC154" s="1"/>
      <c r="ABD154" s="1"/>
      <c r="ABE154" s="1"/>
      <c r="ABF154" s="1"/>
      <c r="ABG154" s="1"/>
      <c r="ABH154" s="1"/>
      <c r="ABI154" s="1"/>
      <c r="ABJ154" s="1"/>
      <c r="ABK154" s="1"/>
      <c r="ABL154" s="1"/>
      <c r="ABM154" s="1"/>
      <c r="ABN154" s="1"/>
      <c r="ABO154" s="1"/>
      <c r="ABP154" s="1"/>
      <c r="ABQ154" s="1"/>
      <c r="ABR154" s="1"/>
      <c r="ABS154" s="1"/>
      <c r="ABT154" s="1"/>
      <c r="ABU154" s="1"/>
      <c r="ABV154" s="1"/>
      <c r="ABW154" s="1"/>
      <c r="ABX154" s="1"/>
      <c r="ABY154" s="1"/>
      <c r="ABZ154" s="1"/>
      <c r="ACA154" s="1"/>
      <c r="ACB154" s="1"/>
      <c r="ACC154" s="1"/>
      <c r="ACD154" s="1"/>
      <c r="ACE154" s="1"/>
      <c r="ACF154" s="1"/>
      <c r="ACG154" s="1"/>
      <c r="ACH154" s="1"/>
      <c r="ACI154" s="1"/>
      <c r="ACJ154" s="1"/>
      <c r="ACK154" s="1"/>
      <c r="ACL154" s="1"/>
      <c r="ACM154" s="1"/>
      <c r="ACN154" s="1"/>
      <c r="ACO154" s="1"/>
      <c r="ACP154" s="1"/>
      <c r="ACQ154" s="1"/>
      <c r="ACR154" s="1"/>
      <c r="ACS154" s="1"/>
      <c r="ACT154" s="1"/>
      <c r="ACU154" s="1"/>
      <c r="ACV154" s="1"/>
      <c r="ACW154" s="1"/>
      <c r="ACX154" s="1"/>
      <c r="ACY154" s="1"/>
      <c r="ACZ154" s="1"/>
      <c r="ADA154" s="1"/>
      <c r="ADB154" s="1"/>
      <c r="ADC154" s="1"/>
      <c r="ADD154" s="1"/>
      <c r="ADE154" s="1"/>
      <c r="ADF154" s="1"/>
      <c r="ADG154" s="1"/>
      <c r="ADH154" s="1"/>
      <c r="ADI154" s="1"/>
      <c r="ADJ154" s="1"/>
      <c r="ADK154" s="1"/>
      <c r="ADL154" s="1"/>
      <c r="ADM154" s="1"/>
      <c r="ADN154" s="1"/>
      <c r="ADO154" s="1"/>
      <c r="ADP154" s="1"/>
      <c r="ADQ154" s="1"/>
      <c r="ADR154" s="1"/>
      <c r="ADS154" s="1"/>
      <c r="ADT154" s="1"/>
      <c r="ADU154" s="1"/>
      <c r="ADV154" s="1"/>
      <c r="ADW154" s="1"/>
      <c r="ADX154" s="1"/>
      <c r="ADY154" s="1"/>
      <c r="ADZ154" s="1"/>
      <c r="AEA154" s="1"/>
      <c r="AEB154" s="1"/>
      <c r="AEC154" s="1"/>
      <c r="AED154" s="1"/>
      <c r="AEE154" s="1"/>
      <c r="AEF154" s="1"/>
      <c r="AEG154" s="1"/>
      <c r="AEH154" s="1"/>
      <c r="AEI154" s="1"/>
      <c r="AEJ154" s="1"/>
      <c r="AEK154" s="1"/>
      <c r="AEL154" s="1"/>
      <c r="AEM154" s="1"/>
      <c r="AEN154" s="1"/>
      <c r="AEO154" s="1"/>
      <c r="AEP154" s="1"/>
      <c r="AEQ154" s="1"/>
      <c r="AER154" s="1"/>
      <c r="AES154" s="1"/>
      <c r="AET154" s="1"/>
      <c r="AEU154" s="1"/>
      <c r="AEV154" s="1"/>
      <c r="AEW154" s="1"/>
      <c r="AEX154" s="1"/>
      <c r="AEY154" s="1"/>
      <c r="AEZ154" s="1"/>
      <c r="AFA154" s="1"/>
      <c r="AFB154" s="1"/>
      <c r="AFC154" s="1"/>
      <c r="AFD154" s="1"/>
      <c r="AFE154" s="1"/>
      <c r="AFF154" s="1"/>
      <c r="AFG154" s="1"/>
      <c r="AFH154" s="1"/>
      <c r="AFI154" s="1"/>
      <c r="AFJ154" s="1"/>
      <c r="AFK154" s="1"/>
      <c r="AFL154" s="1"/>
      <c r="AFM154" s="1"/>
      <c r="AFN154" s="1"/>
      <c r="AFO154" s="1"/>
      <c r="AFP154" s="1"/>
      <c r="AFQ154" s="1"/>
      <c r="AFR154" s="1"/>
      <c r="AFS154" s="1"/>
      <c r="AFT154" s="1"/>
      <c r="AFU154" s="1"/>
      <c r="AFV154" s="1"/>
      <c r="AFW154" s="1"/>
      <c r="AFX154" s="1"/>
      <c r="AFY154" s="1"/>
      <c r="AFZ154" s="1"/>
      <c r="AGA154" s="1"/>
      <c r="AGB154" s="1"/>
      <c r="AGC154" s="1"/>
      <c r="AGD154" s="1"/>
      <c r="AGE154" s="1"/>
      <c r="AGF154" s="1"/>
      <c r="AGG154" s="1"/>
      <c r="AGH154" s="1"/>
      <c r="AGI154" s="1"/>
      <c r="AGJ154" s="1"/>
      <c r="AGK154" s="1"/>
      <c r="AGL154" s="1"/>
      <c r="AGM154" s="1"/>
      <c r="AGN154" s="1"/>
      <c r="AGO154" s="1"/>
      <c r="AGP154" s="1"/>
      <c r="AGQ154" s="1"/>
      <c r="AGR154" s="1"/>
      <c r="AGS154" s="1"/>
      <c r="AGT154" s="1"/>
      <c r="AGU154" s="1"/>
      <c r="AGV154" s="1"/>
      <c r="AGW154" s="1"/>
      <c r="AGX154" s="1"/>
      <c r="AGY154" s="1"/>
      <c r="AGZ154" s="1"/>
      <c r="AHA154" s="1"/>
      <c r="AHB154" s="1"/>
      <c r="AHC154" s="1"/>
      <c r="AHD154" s="1"/>
      <c r="AHE154" s="1"/>
      <c r="AHF154" s="1"/>
      <c r="AHG154" s="1"/>
      <c r="AHH154" s="1"/>
      <c r="AHI154" s="1"/>
      <c r="AHJ154" s="1"/>
      <c r="AHK154" s="1"/>
      <c r="AHL154" s="1"/>
      <c r="AHM154" s="1"/>
      <c r="AHN154" s="1"/>
      <c r="AHO154" s="1"/>
      <c r="AHP154" s="1"/>
      <c r="AHQ154" s="1"/>
      <c r="AHR154" s="1"/>
      <c r="AHS154" s="1"/>
      <c r="AHT154" s="1"/>
      <c r="AHU154" s="1"/>
      <c r="AHV154" s="1"/>
      <c r="AHW154" s="1"/>
      <c r="AHX154" s="1"/>
      <c r="AHY154" s="1"/>
      <c r="AHZ154" s="1"/>
      <c r="AIA154" s="1"/>
      <c r="AIB154" s="1"/>
      <c r="AIC154" s="1"/>
      <c r="AID154" s="1"/>
      <c r="AIE154" s="1"/>
      <c r="AIF154" s="1"/>
      <c r="AIG154" s="1"/>
      <c r="AIH154" s="1"/>
      <c r="AII154" s="1"/>
      <c r="AIJ154" s="1"/>
      <c r="AIK154" s="1"/>
      <c r="AIL154" s="1"/>
      <c r="AIM154" s="1"/>
      <c r="AIN154" s="1"/>
      <c r="AIO154" s="1"/>
      <c r="AIP154" s="1"/>
      <c r="AIQ154" s="1"/>
      <c r="AIR154" s="1"/>
      <c r="AIS154" s="1"/>
      <c r="AIT154" s="1"/>
      <c r="AIU154" s="1"/>
      <c r="AIV154" s="1"/>
      <c r="AIW154" s="1"/>
      <c r="AIX154" s="1"/>
      <c r="AIY154" s="1"/>
      <c r="AIZ154" s="1"/>
      <c r="AJA154" s="1"/>
      <c r="AJB154" s="1"/>
      <c r="AJC154" s="1"/>
      <c r="AJD154" s="1"/>
      <c r="AJE154" s="1"/>
      <c r="AJF154" s="1"/>
      <c r="AJG154" s="1"/>
      <c r="AJH154" s="1"/>
      <c r="AJI154" s="1"/>
      <c r="AJJ154" s="1"/>
      <c r="AJK154" s="1"/>
      <c r="AJL154" s="1"/>
      <c r="AJM154" s="1"/>
      <c r="AJN154" s="1"/>
      <c r="AJO154" s="1"/>
      <c r="AJP154" s="1"/>
      <c r="AJQ154" s="1"/>
      <c r="AJR154" s="1"/>
      <c r="AJS154" s="1"/>
      <c r="AJT154" s="1"/>
      <c r="AJU154" s="1"/>
      <c r="AJV154" s="1"/>
      <c r="AJW154" s="1"/>
      <c r="AJX154" s="1"/>
      <c r="AJY154" s="1"/>
      <c r="AJZ154" s="1"/>
      <c r="AKA154" s="1"/>
      <c r="AKB154" s="1"/>
      <c r="AKC154" s="1"/>
      <c r="AKD154" s="1"/>
      <c r="AKE154" s="1"/>
      <c r="AKF154" s="1"/>
      <c r="AKG154" s="1"/>
      <c r="AKH154" s="1"/>
      <c r="AKI154" s="1"/>
      <c r="AKJ154" s="1"/>
      <c r="AKK154" s="1"/>
      <c r="AKL154" s="1"/>
      <c r="AKM154" s="1"/>
      <c r="AKN154" s="1"/>
      <c r="AKO154" s="1"/>
      <c r="AKP154" s="1"/>
      <c r="AKQ154" s="1"/>
      <c r="AKR154" s="1"/>
      <c r="AKS154" s="1"/>
      <c r="AKT154" s="1"/>
      <c r="AKU154" s="1"/>
      <c r="AKV154" s="1"/>
      <c r="AKW154" s="1"/>
      <c r="AKX154" s="1"/>
      <c r="AKY154" s="1"/>
      <c r="AKZ154" s="1"/>
      <c r="ALA154" s="1"/>
      <c r="ALB154" s="1"/>
      <c r="ALC154" s="1"/>
      <c r="ALD154" s="1"/>
      <c r="ALE154" s="1"/>
      <c r="ALF154" s="1"/>
      <c r="ALG154" s="1"/>
      <c r="ALH154" s="1"/>
      <c r="ALI154" s="1"/>
      <c r="ALJ154" s="1"/>
      <c r="ALK154" s="1"/>
      <c r="ALL154" s="1"/>
      <c r="ALM154" s="1"/>
      <c r="ALN154" s="1"/>
      <c r="ALO154" s="1"/>
      <c r="ALP154" s="1"/>
      <c r="ALQ154" s="1"/>
      <c r="ALR154" s="1"/>
      <c r="ALS154" s="1"/>
      <c r="ALT154" s="1"/>
      <c r="ALU154" s="1"/>
      <c r="ALV154" s="1"/>
      <c r="ALW154" s="1"/>
      <c r="ALX154" s="1"/>
      <c r="ALY154" s="1"/>
      <c r="ALZ154" s="1"/>
      <c r="AMA154" s="1"/>
      <c r="AMB154" s="1"/>
      <c r="AMC154" s="1"/>
      <c r="AMD154" s="1"/>
      <c r="AME154" s="1"/>
      <c r="AMF154" s="1"/>
      <c r="AMG154" s="1"/>
      <c r="AMH154" s="1"/>
      <c r="AMI154" s="1"/>
      <c r="AMJ154" s="1"/>
    </row>
    <row r="155" customFormat="false" ht="10.5" hidden="false" customHeight="true" outlineLevel="0" collapsed="false">
      <c r="A155" s="164"/>
      <c r="B155" s="164"/>
      <c r="C155" s="164"/>
      <c r="D155" s="164"/>
      <c r="E155" s="164"/>
      <c r="F155" s="164"/>
      <c r="G155" s="164"/>
      <c r="H155" s="164"/>
      <c r="I155" s="164"/>
      <c r="J155" s="164"/>
      <c r="K155" s="164"/>
      <c r="L155" s="164"/>
      <c r="M155" s="164"/>
      <c r="N155" s="23"/>
      <c r="O155" s="23"/>
      <c r="P155" s="23"/>
      <c r="Q155" s="23"/>
      <c r="R155" s="23"/>
      <c r="S155" s="187"/>
      <c r="T155" s="187"/>
      <c r="U155" s="187"/>
      <c r="V155" s="187"/>
      <c r="W155" s="187"/>
      <c r="X155" s="217"/>
      <c r="Y155" s="217"/>
      <c r="Z155" s="217"/>
      <c r="AA155" s="217"/>
      <c r="AB155" s="217"/>
      <c r="AC155" s="23"/>
      <c r="AD155" s="23"/>
      <c r="AE155" s="23"/>
      <c r="AF155" s="23"/>
      <c r="AG155" s="23"/>
      <c r="AH155" s="142" t="n">
        <f aca="false">S155*X155*AC155</f>
        <v>0</v>
      </c>
      <c r="AI155" s="142"/>
      <c r="AJ155" s="142"/>
      <c r="AK155" s="142"/>
      <c r="AL155" s="142"/>
      <c r="AM155" s="142"/>
      <c r="AN155" s="142"/>
      <c r="AO155" s="142"/>
      <c r="AW155" s="2" t="s">
        <v>169</v>
      </c>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c r="IY155" s="1"/>
      <c r="IZ155" s="1"/>
      <c r="JA155" s="1"/>
      <c r="JB155" s="1"/>
      <c r="JC155" s="1"/>
      <c r="JD155" s="1"/>
      <c r="JE155" s="1"/>
      <c r="JF155" s="1"/>
      <c r="JG155" s="1"/>
      <c r="JH155" s="1"/>
      <c r="JI155" s="1"/>
      <c r="JJ155" s="1"/>
      <c r="JK155" s="1"/>
      <c r="JL155" s="1"/>
      <c r="JM155" s="1"/>
      <c r="JN155" s="1"/>
      <c r="JO155" s="1"/>
      <c r="JP155" s="1"/>
      <c r="JQ155" s="1"/>
      <c r="JR155" s="1"/>
      <c r="JS155" s="1"/>
      <c r="JT155" s="1"/>
      <c r="JU155" s="1"/>
      <c r="JV155" s="1"/>
      <c r="JW155" s="1"/>
      <c r="JX155" s="1"/>
      <c r="JY155" s="1"/>
      <c r="JZ155" s="1"/>
      <c r="KA155" s="1"/>
      <c r="KB155" s="1"/>
      <c r="KC155" s="1"/>
      <c r="KD155" s="1"/>
      <c r="KE155" s="1"/>
      <c r="KF155" s="1"/>
      <c r="KG155" s="1"/>
      <c r="KH155" s="1"/>
      <c r="KI155" s="1"/>
      <c r="KJ155" s="1"/>
      <c r="KK155" s="1"/>
      <c r="KL155" s="1"/>
      <c r="KM155" s="1"/>
      <c r="KN155" s="1"/>
      <c r="KO155" s="1"/>
      <c r="KP155" s="1"/>
      <c r="KQ155" s="1"/>
      <c r="KR155" s="1"/>
      <c r="KS155" s="1"/>
      <c r="KT155" s="1"/>
      <c r="KU155" s="1"/>
      <c r="KV155" s="1"/>
      <c r="KW155" s="1"/>
      <c r="KX155" s="1"/>
      <c r="KY155" s="1"/>
      <c r="KZ155" s="1"/>
      <c r="LA155" s="1"/>
      <c r="LB155" s="1"/>
      <c r="LC155" s="1"/>
      <c r="LD155" s="1"/>
      <c r="LE155" s="1"/>
      <c r="LF155" s="1"/>
      <c r="LG155" s="1"/>
      <c r="LH155" s="1"/>
      <c r="LI155" s="1"/>
      <c r="LJ155" s="1"/>
      <c r="LK155" s="1"/>
      <c r="LL155" s="1"/>
      <c r="LM155" s="1"/>
      <c r="LN155" s="1"/>
      <c r="LO155" s="1"/>
      <c r="LP155" s="1"/>
      <c r="LQ155" s="1"/>
      <c r="LR155" s="1"/>
      <c r="LS155" s="1"/>
      <c r="LT155" s="1"/>
      <c r="LU155" s="1"/>
      <c r="LV155" s="1"/>
      <c r="LW155" s="1"/>
      <c r="LX155" s="1"/>
      <c r="LY155" s="1"/>
      <c r="LZ155" s="1"/>
      <c r="MA155" s="1"/>
      <c r="MB155" s="1"/>
      <c r="MC155" s="1"/>
      <c r="MD155" s="1"/>
      <c r="ME155" s="1"/>
      <c r="MF155" s="1"/>
      <c r="MG155" s="1"/>
      <c r="MH155" s="1"/>
      <c r="MI155" s="1"/>
      <c r="MJ155" s="1"/>
      <c r="MK155" s="1"/>
      <c r="ML155" s="1"/>
      <c r="MM155" s="1"/>
      <c r="MN155" s="1"/>
      <c r="MO155" s="1"/>
      <c r="MP155" s="1"/>
      <c r="MQ155" s="1"/>
      <c r="MR155" s="1"/>
      <c r="MS155" s="1"/>
      <c r="MT155" s="1"/>
      <c r="MU155" s="1"/>
      <c r="MV155" s="1"/>
      <c r="MW155" s="1"/>
      <c r="MX155" s="1"/>
      <c r="MY155" s="1"/>
      <c r="MZ155" s="1"/>
      <c r="NA155" s="1"/>
      <c r="NB155" s="1"/>
      <c r="NC155" s="1"/>
      <c r="ND155" s="1"/>
      <c r="NE155" s="1"/>
      <c r="NF155" s="1"/>
      <c r="NG155" s="1"/>
      <c r="NH155" s="1"/>
      <c r="NI155" s="1"/>
      <c r="NJ155" s="1"/>
      <c r="NK155" s="1"/>
      <c r="NL155" s="1"/>
      <c r="NM155" s="1"/>
      <c r="NN155" s="1"/>
      <c r="NO155" s="1"/>
      <c r="NP155" s="1"/>
      <c r="NQ155" s="1"/>
      <c r="NR155" s="1"/>
      <c r="NS155" s="1"/>
      <c r="NT155" s="1"/>
      <c r="NU155" s="1"/>
      <c r="NV155" s="1"/>
      <c r="NW155" s="1"/>
      <c r="NX155" s="1"/>
      <c r="NY155" s="1"/>
      <c r="NZ155" s="1"/>
      <c r="OA155" s="1"/>
      <c r="OB155" s="1"/>
      <c r="OC155" s="1"/>
      <c r="OD155" s="1"/>
      <c r="OE155" s="1"/>
      <c r="OF155" s="1"/>
      <c r="OG155" s="1"/>
      <c r="OH155" s="1"/>
      <c r="OI155" s="1"/>
      <c r="OJ155" s="1"/>
      <c r="OK155" s="1"/>
      <c r="OL155" s="1"/>
      <c r="OM155" s="1"/>
      <c r="ON155" s="1"/>
      <c r="OO155" s="1"/>
      <c r="OP155" s="1"/>
      <c r="OQ155" s="1"/>
      <c r="OR155" s="1"/>
      <c r="OS155" s="1"/>
      <c r="OT155" s="1"/>
      <c r="OU155" s="1"/>
      <c r="OV155" s="1"/>
      <c r="OW155" s="1"/>
      <c r="OX155" s="1"/>
      <c r="OY155" s="1"/>
      <c r="OZ155" s="1"/>
      <c r="PA155" s="1"/>
      <c r="PB155" s="1"/>
      <c r="PC155" s="1"/>
      <c r="PD155" s="1"/>
      <c r="PE155" s="1"/>
      <c r="PF155" s="1"/>
      <c r="PG155" s="1"/>
      <c r="PH155" s="1"/>
      <c r="PI155" s="1"/>
      <c r="PJ155" s="1"/>
      <c r="PK155" s="1"/>
      <c r="PL155" s="1"/>
      <c r="PM155" s="1"/>
      <c r="PN155" s="1"/>
      <c r="PO155" s="1"/>
      <c r="PP155" s="1"/>
      <c r="PQ155" s="1"/>
      <c r="PR155" s="1"/>
      <c r="PS155" s="1"/>
      <c r="PT155" s="1"/>
      <c r="PU155" s="1"/>
      <c r="PV155" s="1"/>
      <c r="PW155" s="1"/>
      <c r="PX155" s="1"/>
      <c r="PY155" s="1"/>
      <c r="PZ155" s="1"/>
      <c r="QA155" s="1"/>
      <c r="QB155" s="1"/>
      <c r="QC155" s="1"/>
      <c r="QD155" s="1"/>
      <c r="QE155" s="1"/>
      <c r="QF155" s="1"/>
      <c r="QG155" s="1"/>
      <c r="QH155" s="1"/>
      <c r="QI155" s="1"/>
      <c r="QJ155" s="1"/>
      <c r="QK155" s="1"/>
      <c r="QL155" s="1"/>
      <c r="QM155" s="1"/>
      <c r="QN155" s="1"/>
      <c r="QO155" s="1"/>
      <c r="QP155" s="1"/>
      <c r="QQ155" s="1"/>
      <c r="QR155" s="1"/>
      <c r="QS155" s="1"/>
      <c r="QT155" s="1"/>
      <c r="QU155" s="1"/>
      <c r="QV155" s="1"/>
      <c r="QW155" s="1"/>
      <c r="QX155" s="1"/>
      <c r="QY155" s="1"/>
      <c r="QZ155" s="1"/>
      <c r="RA155" s="1"/>
      <c r="RB155" s="1"/>
      <c r="RC155" s="1"/>
      <c r="RD155" s="1"/>
      <c r="RE155" s="1"/>
      <c r="RF155" s="1"/>
      <c r="RG155" s="1"/>
      <c r="RH155" s="1"/>
      <c r="RI155" s="1"/>
      <c r="RJ155" s="1"/>
      <c r="RK155" s="1"/>
      <c r="RL155" s="1"/>
      <c r="RM155" s="1"/>
      <c r="RN155" s="1"/>
      <c r="RO155" s="1"/>
      <c r="RP155" s="1"/>
      <c r="RQ155" s="1"/>
      <c r="RR155" s="1"/>
      <c r="RS155" s="1"/>
      <c r="RT155" s="1"/>
      <c r="RU155" s="1"/>
      <c r="RV155" s="1"/>
      <c r="RW155" s="1"/>
      <c r="RX155" s="1"/>
      <c r="RY155" s="1"/>
      <c r="RZ155" s="1"/>
      <c r="SA155" s="1"/>
      <c r="SB155" s="1"/>
      <c r="SC155" s="1"/>
      <c r="SD155" s="1"/>
      <c r="SE155" s="1"/>
      <c r="SF155" s="1"/>
      <c r="SG155" s="1"/>
      <c r="SH155" s="1"/>
      <c r="SI155" s="1"/>
      <c r="SJ155" s="1"/>
      <c r="SK155" s="1"/>
      <c r="SL155" s="1"/>
      <c r="SM155" s="1"/>
      <c r="SN155" s="1"/>
      <c r="SO155" s="1"/>
      <c r="SP155" s="1"/>
      <c r="SQ155" s="1"/>
      <c r="SR155" s="1"/>
      <c r="SS155" s="1"/>
      <c r="ST155" s="1"/>
      <c r="SU155" s="1"/>
      <c r="SV155" s="1"/>
      <c r="SW155" s="1"/>
      <c r="SX155" s="1"/>
      <c r="SY155" s="1"/>
      <c r="SZ155" s="1"/>
      <c r="TA155" s="1"/>
      <c r="TB155" s="1"/>
      <c r="TC155" s="1"/>
      <c r="TD155" s="1"/>
      <c r="TE155" s="1"/>
      <c r="TF155" s="1"/>
      <c r="TG155" s="1"/>
      <c r="TH155" s="1"/>
      <c r="TI155" s="1"/>
      <c r="TJ155" s="1"/>
      <c r="TK155" s="1"/>
      <c r="TL155" s="1"/>
      <c r="TM155" s="1"/>
      <c r="TN155" s="1"/>
      <c r="TO155" s="1"/>
      <c r="TP155" s="1"/>
      <c r="TQ155" s="1"/>
      <c r="TR155" s="1"/>
      <c r="TS155" s="1"/>
      <c r="TT155" s="1"/>
      <c r="TU155" s="1"/>
      <c r="TV155" s="1"/>
      <c r="TW155" s="1"/>
      <c r="TX155" s="1"/>
      <c r="TY155" s="1"/>
      <c r="TZ155" s="1"/>
      <c r="UA155" s="1"/>
      <c r="UB155" s="1"/>
      <c r="UC155" s="1"/>
      <c r="UD155" s="1"/>
      <c r="UE155" s="1"/>
      <c r="UF155" s="1"/>
      <c r="UG155" s="1"/>
      <c r="UH155" s="1"/>
      <c r="UI155" s="1"/>
      <c r="UJ155" s="1"/>
      <c r="UK155" s="1"/>
      <c r="UL155" s="1"/>
      <c r="UM155" s="1"/>
      <c r="UN155" s="1"/>
      <c r="UO155" s="1"/>
      <c r="UP155" s="1"/>
      <c r="UQ155" s="1"/>
      <c r="UR155" s="1"/>
      <c r="US155" s="1"/>
      <c r="UT155" s="1"/>
      <c r="UU155" s="1"/>
      <c r="UV155" s="1"/>
      <c r="UW155" s="1"/>
      <c r="UX155" s="1"/>
      <c r="UY155" s="1"/>
      <c r="UZ155" s="1"/>
      <c r="VA155" s="1"/>
      <c r="VB155" s="1"/>
      <c r="VC155" s="1"/>
      <c r="VD155" s="1"/>
      <c r="VE155" s="1"/>
      <c r="VF155" s="1"/>
      <c r="VG155" s="1"/>
      <c r="VH155" s="1"/>
      <c r="VI155" s="1"/>
      <c r="VJ155" s="1"/>
      <c r="VK155" s="1"/>
      <c r="VL155" s="1"/>
      <c r="VM155" s="1"/>
      <c r="VN155" s="1"/>
      <c r="VO155" s="1"/>
      <c r="VP155" s="1"/>
      <c r="VQ155" s="1"/>
      <c r="VR155" s="1"/>
      <c r="VS155" s="1"/>
      <c r="VT155" s="1"/>
      <c r="VU155" s="1"/>
      <c r="VV155" s="1"/>
      <c r="VW155" s="1"/>
      <c r="VX155" s="1"/>
      <c r="VY155" s="1"/>
      <c r="VZ155" s="1"/>
      <c r="WA155" s="1"/>
      <c r="WB155" s="1"/>
      <c r="WC155" s="1"/>
      <c r="WD155" s="1"/>
      <c r="WE155" s="1"/>
      <c r="WF155" s="1"/>
      <c r="WG155" s="1"/>
      <c r="WH155" s="1"/>
      <c r="WI155" s="1"/>
      <c r="WJ155" s="1"/>
      <c r="WK155" s="1"/>
      <c r="WL155" s="1"/>
      <c r="WM155" s="1"/>
      <c r="WN155" s="1"/>
      <c r="WO155" s="1"/>
      <c r="WP155" s="1"/>
      <c r="WQ155" s="1"/>
      <c r="WR155" s="1"/>
      <c r="WS155" s="1"/>
      <c r="WT155" s="1"/>
      <c r="WU155" s="1"/>
      <c r="WV155" s="1"/>
      <c r="WW155" s="1"/>
      <c r="WX155" s="1"/>
      <c r="WY155" s="1"/>
      <c r="WZ155" s="1"/>
      <c r="XA155" s="1"/>
      <c r="XB155" s="1"/>
      <c r="XC155" s="1"/>
      <c r="XD155" s="1"/>
      <c r="XE155" s="1"/>
      <c r="XF155" s="1"/>
      <c r="XG155" s="1"/>
      <c r="XH155" s="1"/>
      <c r="XI155" s="1"/>
      <c r="XJ155" s="1"/>
      <c r="XK155" s="1"/>
      <c r="XL155" s="1"/>
      <c r="XM155" s="1"/>
      <c r="XN155" s="1"/>
      <c r="XO155" s="1"/>
      <c r="XP155" s="1"/>
      <c r="XQ155" s="1"/>
      <c r="XR155" s="1"/>
      <c r="XS155" s="1"/>
      <c r="XT155" s="1"/>
      <c r="XU155" s="1"/>
      <c r="XV155" s="1"/>
      <c r="XW155" s="1"/>
      <c r="XX155" s="1"/>
      <c r="XY155" s="1"/>
      <c r="XZ155" s="1"/>
      <c r="YA155" s="1"/>
      <c r="YB155" s="1"/>
      <c r="YC155" s="1"/>
      <c r="YD155" s="1"/>
      <c r="YE155" s="1"/>
      <c r="YF155" s="1"/>
      <c r="YG155" s="1"/>
      <c r="YH155" s="1"/>
      <c r="YI155" s="1"/>
      <c r="YJ155" s="1"/>
      <c r="YK155" s="1"/>
      <c r="YL155" s="1"/>
      <c r="YM155" s="1"/>
      <c r="YN155" s="1"/>
      <c r="YO155" s="1"/>
      <c r="YP155" s="1"/>
      <c r="YQ155" s="1"/>
      <c r="YR155" s="1"/>
      <c r="YS155" s="1"/>
      <c r="YT155" s="1"/>
      <c r="YU155" s="1"/>
      <c r="YV155" s="1"/>
      <c r="YW155" s="1"/>
      <c r="YX155" s="1"/>
      <c r="YY155" s="1"/>
      <c r="YZ155" s="1"/>
      <c r="ZA155" s="1"/>
      <c r="ZB155" s="1"/>
      <c r="ZC155" s="1"/>
      <c r="ZD155" s="1"/>
      <c r="ZE155" s="1"/>
      <c r="ZF155" s="1"/>
      <c r="ZG155" s="1"/>
      <c r="ZH155" s="1"/>
      <c r="ZI155" s="1"/>
      <c r="ZJ155" s="1"/>
      <c r="ZK155" s="1"/>
      <c r="ZL155" s="1"/>
      <c r="ZM155" s="1"/>
      <c r="ZN155" s="1"/>
      <c r="ZO155" s="1"/>
      <c r="ZP155" s="1"/>
      <c r="ZQ155" s="1"/>
      <c r="ZR155" s="1"/>
      <c r="ZS155" s="1"/>
      <c r="ZT155" s="1"/>
      <c r="ZU155" s="1"/>
      <c r="ZV155" s="1"/>
      <c r="ZW155" s="1"/>
      <c r="ZX155" s="1"/>
      <c r="ZY155" s="1"/>
      <c r="ZZ155" s="1"/>
      <c r="AAA155" s="1"/>
      <c r="AAB155" s="1"/>
      <c r="AAC155" s="1"/>
      <c r="AAD155" s="1"/>
      <c r="AAE155" s="1"/>
      <c r="AAF155" s="1"/>
      <c r="AAG155" s="1"/>
      <c r="AAH155" s="1"/>
      <c r="AAI155" s="1"/>
      <c r="AAJ155" s="1"/>
      <c r="AAK155" s="1"/>
      <c r="AAL155" s="1"/>
      <c r="AAM155" s="1"/>
      <c r="AAN155" s="1"/>
      <c r="AAO155" s="1"/>
      <c r="AAP155" s="1"/>
      <c r="AAQ155" s="1"/>
      <c r="AAR155" s="1"/>
      <c r="AAS155" s="1"/>
      <c r="AAT155" s="1"/>
      <c r="AAU155" s="1"/>
      <c r="AAV155" s="1"/>
      <c r="AAW155" s="1"/>
      <c r="AAX155" s="1"/>
      <c r="AAY155" s="1"/>
      <c r="AAZ155" s="1"/>
      <c r="ABA155" s="1"/>
      <c r="ABB155" s="1"/>
      <c r="ABC155" s="1"/>
      <c r="ABD155" s="1"/>
      <c r="ABE155" s="1"/>
      <c r="ABF155" s="1"/>
      <c r="ABG155" s="1"/>
      <c r="ABH155" s="1"/>
      <c r="ABI155" s="1"/>
      <c r="ABJ155" s="1"/>
      <c r="ABK155" s="1"/>
      <c r="ABL155" s="1"/>
      <c r="ABM155" s="1"/>
      <c r="ABN155" s="1"/>
      <c r="ABO155" s="1"/>
      <c r="ABP155" s="1"/>
      <c r="ABQ155" s="1"/>
      <c r="ABR155" s="1"/>
      <c r="ABS155" s="1"/>
      <c r="ABT155" s="1"/>
      <c r="ABU155" s="1"/>
      <c r="ABV155" s="1"/>
      <c r="ABW155" s="1"/>
      <c r="ABX155" s="1"/>
      <c r="ABY155" s="1"/>
      <c r="ABZ155" s="1"/>
      <c r="ACA155" s="1"/>
      <c r="ACB155" s="1"/>
      <c r="ACC155" s="1"/>
      <c r="ACD155" s="1"/>
      <c r="ACE155" s="1"/>
      <c r="ACF155" s="1"/>
      <c r="ACG155" s="1"/>
      <c r="ACH155" s="1"/>
      <c r="ACI155" s="1"/>
      <c r="ACJ155" s="1"/>
      <c r="ACK155" s="1"/>
      <c r="ACL155" s="1"/>
      <c r="ACM155" s="1"/>
      <c r="ACN155" s="1"/>
      <c r="ACO155" s="1"/>
      <c r="ACP155" s="1"/>
      <c r="ACQ155" s="1"/>
      <c r="ACR155" s="1"/>
      <c r="ACS155" s="1"/>
      <c r="ACT155" s="1"/>
      <c r="ACU155" s="1"/>
      <c r="ACV155" s="1"/>
      <c r="ACW155" s="1"/>
      <c r="ACX155" s="1"/>
      <c r="ACY155" s="1"/>
      <c r="ACZ155" s="1"/>
      <c r="ADA155" s="1"/>
      <c r="ADB155" s="1"/>
      <c r="ADC155" s="1"/>
      <c r="ADD155" s="1"/>
      <c r="ADE155" s="1"/>
      <c r="ADF155" s="1"/>
      <c r="ADG155" s="1"/>
      <c r="ADH155" s="1"/>
      <c r="ADI155" s="1"/>
      <c r="ADJ155" s="1"/>
      <c r="ADK155" s="1"/>
      <c r="ADL155" s="1"/>
      <c r="ADM155" s="1"/>
      <c r="ADN155" s="1"/>
      <c r="ADO155" s="1"/>
      <c r="ADP155" s="1"/>
      <c r="ADQ155" s="1"/>
      <c r="ADR155" s="1"/>
      <c r="ADS155" s="1"/>
      <c r="ADT155" s="1"/>
      <c r="ADU155" s="1"/>
      <c r="ADV155" s="1"/>
      <c r="ADW155" s="1"/>
      <c r="ADX155" s="1"/>
      <c r="ADY155" s="1"/>
      <c r="ADZ155" s="1"/>
      <c r="AEA155" s="1"/>
      <c r="AEB155" s="1"/>
      <c r="AEC155" s="1"/>
      <c r="AED155" s="1"/>
      <c r="AEE155" s="1"/>
      <c r="AEF155" s="1"/>
      <c r="AEG155" s="1"/>
      <c r="AEH155" s="1"/>
      <c r="AEI155" s="1"/>
      <c r="AEJ155" s="1"/>
      <c r="AEK155" s="1"/>
      <c r="AEL155" s="1"/>
      <c r="AEM155" s="1"/>
      <c r="AEN155" s="1"/>
      <c r="AEO155" s="1"/>
      <c r="AEP155" s="1"/>
      <c r="AEQ155" s="1"/>
      <c r="AER155" s="1"/>
      <c r="AES155" s="1"/>
      <c r="AET155" s="1"/>
      <c r="AEU155" s="1"/>
      <c r="AEV155" s="1"/>
      <c r="AEW155" s="1"/>
      <c r="AEX155" s="1"/>
      <c r="AEY155" s="1"/>
      <c r="AEZ155" s="1"/>
      <c r="AFA155" s="1"/>
      <c r="AFB155" s="1"/>
      <c r="AFC155" s="1"/>
      <c r="AFD155" s="1"/>
      <c r="AFE155" s="1"/>
      <c r="AFF155" s="1"/>
      <c r="AFG155" s="1"/>
      <c r="AFH155" s="1"/>
      <c r="AFI155" s="1"/>
      <c r="AFJ155" s="1"/>
      <c r="AFK155" s="1"/>
      <c r="AFL155" s="1"/>
      <c r="AFM155" s="1"/>
      <c r="AFN155" s="1"/>
      <c r="AFO155" s="1"/>
      <c r="AFP155" s="1"/>
      <c r="AFQ155" s="1"/>
      <c r="AFR155" s="1"/>
      <c r="AFS155" s="1"/>
      <c r="AFT155" s="1"/>
      <c r="AFU155" s="1"/>
      <c r="AFV155" s="1"/>
      <c r="AFW155" s="1"/>
      <c r="AFX155" s="1"/>
      <c r="AFY155" s="1"/>
      <c r="AFZ155" s="1"/>
      <c r="AGA155" s="1"/>
      <c r="AGB155" s="1"/>
      <c r="AGC155" s="1"/>
      <c r="AGD155" s="1"/>
      <c r="AGE155" s="1"/>
      <c r="AGF155" s="1"/>
      <c r="AGG155" s="1"/>
      <c r="AGH155" s="1"/>
      <c r="AGI155" s="1"/>
      <c r="AGJ155" s="1"/>
      <c r="AGK155" s="1"/>
      <c r="AGL155" s="1"/>
      <c r="AGM155" s="1"/>
      <c r="AGN155" s="1"/>
      <c r="AGO155" s="1"/>
      <c r="AGP155" s="1"/>
      <c r="AGQ155" s="1"/>
      <c r="AGR155" s="1"/>
      <c r="AGS155" s="1"/>
      <c r="AGT155" s="1"/>
      <c r="AGU155" s="1"/>
      <c r="AGV155" s="1"/>
      <c r="AGW155" s="1"/>
      <c r="AGX155" s="1"/>
      <c r="AGY155" s="1"/>
      <c r="AGZ155" s="1"/>
      <c r="AHA155" s="1"/>
      <c r="AHB155" s="1"/>
      <c r="AHC155" s="1"/>
      <c r="AHD155" s="1"/>
      <c r="AHE155" s="1"/>
      <c r="AHF155" s="1"/>
      <c r="AHG155" s="1"/>
      <c r="AHH155" s="1"/>
      <c r="AHI155" s="1"/>
      <c r="AHJ155" s="1"/>
      <c r="AHK155" s="1"/>
      <c r="AHL155" s="1"/>
      <c r="AHM155" s="1"/>
      <c r="AHN155" s="1"/>
      <c r="AHO155" s="1"/>
      <c r="AHP155" s="1"/>
      <c r="AHQ155" s="1"/>
      <c r="AHR155" s="1"/>
      <c r="AHS155" s="1"/>
      <c r="AHT155" s="1"/>
      <c r="AHU155" s="1"/>
      <c r="AHV155" s="1"/>
      <c r="AHW155" s="1"/>
      <c r="AHX155" s="1"/>
      <c r="AHY155" s="1"/>
      <c r="AHZ155" s="1"/>
      <c r="AIA155" s="1"/>
      <c r="AIB155" s="1"/>
      <c r="AIC155" s="1"/>
      <c r="AID155" s="1"/>
      <c r="AIE155" s="1"/>
      <c r="AIF155" s="1"/>
      <c r="AIG155" s="1"/>
      <c r="AIH155" s="1"/>
      <c r="AII155" s="1"/>
      <c r="AIJ155" s="1"/>
      <c r="AIK155" s="1"/>
      <c r="AIL155" s="1"/>
      <c r="AIM155" s="1"/>
      <c r="AIN155" s="1"/>
      <c r="AIO155" s="1"/>
      <c r="AIP155" s="1"/>
      <c r="AIQ155" s="1"/>
      <c r="AIR155" s="1"/>
      <c r="AIS155" s="1"/>
      <c r="AIT155" s="1"/>
      <c r="AIU155" s="1"/>
      <c r="AIV155" s="1"/>
      <c r="AIW155" s="1"/>
      <c r="AIX155" s="1"/>
      <c r="AIY155" s="1"/>
      <c r="AIZ155" s="1"/>
      <c r="AJA155" s="1"/>
      <c r="AJB155" s="1"/>
      <c r="AJC155" s="1"/>
      <c r="AJD155" s="1"/>
      <c r="AJE155" s="1"/>
      <c r="AJF155" s="1"/>
      <c r="AJG155" s="1"/>
      <c r="AJH155" s="1"/>
      <c r="AJI155" s="1"/>
      <c r="AJJ155" s="1"/>
      <c r="AJK155" s="1"/>
      <c r="AJL155" s="1"/>
      <c r="AJM155" s="1"/>
      <c r="AJN155" s="1"/>
      <c r="AJO155" s="1"/>
      <c r="AJP155" s="1"/>
      <c r="AJQ155" s="1"/>
      <c r="AJR155" s="1"/>
      <c r="AJS155" s="1"/>
      <c r="AJT155" s="1"/>
      <c r="AJU155" s="1"/>
      <c r="AJV155" s="1"/>
      <c r="AJW155" s="1"/>
      <c r="AJX155" s="1"/>
      <c r="AJY155" s="1"/>
      <c r="AJZ155" s="1"/>
      <c r="AKA155" s="1"/>
      <c r="AKB155" s="1"/>
      <c r="AKC155" s="1"/>
      <c r="AKD155" s="1"/>
      <c r="AKE155" s="1"/>
      <c r="AKF155" s="1"/>
      <c r="AKG155" s="1"/>
      <c r="AKH155" s="1"/>
      <c r="AKI155" s="1"/>
      <c r="AKJ155" s="1"/>
      <c r="AKK155" s="1"/>
      <c r="AKL155" s="1"/>
      <c r="AKM155" s="1"/>
      <c r="AKN155" s="1"/>
      <c r="AKO155" s="1"/>
      <c r="AKP155" s="1"/>
      <c r="AKQ155" s="1"/>
      <c r="AKR155" s="1"/>
      <c r="AKS155" s="1"/>
      <c r="AKT155" s="1"/>
      <c r="AKU155" s="1"/>
      <c r="AKV155" s="1"/>
      <c r="AKW155" s="1"/>
      <c r="AKX155" s="1"/>
      <c r="AKY155" s="1"/>
      <c r="AKZ155" s="1"/>
      <c r="ALA155" s="1"/>
      <c r="ALB155" s="1"/>
      <c r="ALC155" s="1"/>
      <c r="ALD155" s="1"/>
      <c r="ALE155" s="1"/>
      <c r="ALF155" s="1"/>
      <c r="ALG155" s="1"/>
      <c r="ALH155" s="1"/>
      <c r="ALI155" s="1"/>
      <c r="ALJ155" s="1"/>
      <c r="ALK155" s="1"/>
      <c r="ALL155" s="1"/>
      <c r="ALM155" s="1"/>
      <c r="ALN155" s="1"/>
      <c r="ALO155" s="1"/>
      <c r="ALP155" s="1"/>
      <c r="ALQ155" s="1"/>
      <c r="ALR155" s="1"/>
      <c r="ALS155" s="1"/>
      <c r="ALT155" s="1"/>
      <c r="ALU155" s="1"/>
      <c r="ALV155" s="1"/>
      <c r="ALW155" s="1"/>
      <c r="ALX155" s="1"/>
      <c r="ALY155" s="1"/>
      <c r="ALZ155" s="1"/>
      <c r="AMA155" s="1"/>
      <c r="AMB155" s="1"/>
      <c r="AMC155" s="1"/>
      <c r="AMD155" s="1"/>
      <c r="AME155" s="1"/>
      <c r="AMF155" s="1"/>
      <c r="AMG155" s="1"/>
      <c r="AMH155" s="1"/>
      <c r="AMI155" s="1"/>
      <c r="AMJ155" s="1"/>
    </row>
    <row r="156" customFormat="false" ht="10.5" hidden="false" customHeight="true" outlineLevel="0" collapsed="false">
      <c r="A156" s="164"/>
      <c r="B156" s="164"/>
      <c r="C156" s="164"/>
      <c r="D156" s="164"/>
      <c r="E156" s="164"/>
      <c r="F156" s="164"/>
      <c r="G156" s="164"/>
      <c r="H156" s="164"/>
      <c r="I156" s="164"/>
      <c r="J156" s="164"/>
      <c r="K156" s="164"/>
      <c r="L156" s="164"/>
      <c r="M156" s="164"/>
      <c r="N156" s="23"/>
      <c r="O156" s="23"/>
      <c r="P156" s="23"/>
      <c r="Q156" s="23"/>
      <c r="R156" s="23"/>
      <c r="S156" s="187"/>
      <c r="T156" s="187"/>
      <c r="U156" s="187"/>
      <c r="V156" s="187"/>
      <c r="W156" s="187"/>
      <c r="X156" s="217"/>
      <c r="Y156" s="217"/>
      <c r="Z156" s="217"/>
      <c r="AA156" s="217"/>
      <c r="AB156" s="217"/>
      <c r="AC156" s="23"/>
      <c r="AD156" s="23"/>
      <c r="AE156" s="23"/>
      <c r="AF156" s="23"/>
      <c r="AG156" s="23"/>
      <c r="AH156" s="142" t="n">
        <f aca="false">S156*X156*AC156</f>
        <v>0</v>
      </c>
      <c r="AI156" s="142"/>
      <c r="AJ156" s="142"/>
      <c r="AK156" s="142"/>
      <c r="AL156" s="142"/>
      <c r="AM156" s="142"/>
      <c r="AN156" s="142"/>
      <c r="AO156" s="142"/>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c r="IY156" s="1"/>
      <c r="IZ156" s="1"/>
      <c r="JA156" s="1"/>
      <c r="JB156" s="1"/>
      <c r="JC156" s="1"/>
      <c r="JD156" s="1"/>
      <c r="JE156" s="1"/>
      <c r="JF156" s="1"/>
      <c r="JG156" s="1"/>
      <c r="JH156" s="1"/>
      <c r="JI156" s="1"/>
      <c r="JJ156" s="1"/>
      <c r="JK156" s="1"/>
      <c r="JL156" s="1"/>
      <c r="JM156" s="1"/>
      <c r="JN156" s="1"/>
      <c r="JO156" s="1"/>
      <c r="JP156" s="1"/>
      <c r="JQ156" s="1"/>
      <c r="JR156" s="1"/>
      <c r="JS156" s="1"/>
      <c r="JT156" s="1"/>
      <c r="JU156" s="1"/>
      <c r="JV156" s="1"/>
      <c r="JW156" s="1"/>
      <c r="JX156" s="1"/>
      <c r="JY156" s="1"/>
      <c r="JZ156" s="1"/>
      <c r="KA156" s="1"/>
      <c r="KB156" s="1"/>
      <c r="KC156" s="1"/>
      <c r="KD156" s="1"/>
      <c r="KE156" s="1"/>
      <c r="KF156" s="1"/>
      <c r="KG156" s="1"/>
      <c r="KH156" s="1"/>
      <c r="KI156" s="1"/>
      <c r="KJ156" s="1"/>
      <c r="KK156" s="1"/>
      <c r="KL156" s="1"/>
      <c r="KM156" s="1"/>
      <c r="KN156" s="1"/>
      <c r="KO156" s="1"/>
      <c r="KP156" s="1"/>
      <c r="KQ156" s="1"/>
      <c r="KR156" s="1"/>
      <c r="KS156" s="1"/>
      <c r="KT156" s="1"/>
      <c r="KU156" s="1"/>
      <c r="KV156" s="1"/>
      <c r="KW156" s="1"/>
      <c r="KX156" s="1"/>
      <c r="KY156" s="1"/>
      <c r="KZ156" s="1"/>
      <c r="LA156" s="1"/>
      <c r="LB156" s="1"/>
      <c r="LC156" s="1"/>
      <c r="LD156" s="1"/>
      <c r="LE156" s="1"/>
      <c r="LF156" s="1"/>
      <c r="LG156" s="1"/>
      <c r="LH156" s="1"/>
      <c r="LI156" s="1"/>
      <c r="LJ156" s="1"/>
      <c r="LK156" s="1"/>
      <c r="LL156" s="1"/>
      <c r="LM156" s="1"/>
      <c r="LN156" s="1"/>
      <c r="LO156" s="1"/>
      <c r="LP156" s="1"/>
      <c r="LQ156" s="1"/>
      <c r="LR156" s="1"/>
      <c r="LS156" s="1"/>
      <c r="LT156" s="1"/>
      <c r="LU156" s="1"/>
      <c r="LV156" s="1"/>
      <c r="LW156" s="1"/>
      <c r="LX156" s="1"/>
      <c r="LY156" s="1"/>
      <c r="LZ156" s="1"/>
      <c r="MA156" s="1"/>
      <c r="MB156" s="1"/>
      <c r="MC156" s="1"/>
      <c r="MD156" s="1"/>
      <c r="ME156" s="1"/>
      <c r="MF156" s="1"/>
      <c r="MG156" s="1"/>
      <c r="MH156" s="1"/>
      <c r="MI156" s="1"/>
      <c r="MJ156" s="1"/>
      <c r="MK156" s="1"/>
      <c r="ML156" s="1"/>
      <c r="MM156" s="1"/>
      <c r="MN156" s="1"/>
      <c r="MO156" s="1"/>
      <c r="MP156" s="1"/>
      <c r="MQ156" s="1"/>
      <c r="MR156" s="1"/>
      <c r="MS156" s="1"/>
      <c r="MT156" s="1"/>
      <c r="MU156" s="1"/>
      <c r="MV156" s="1"/>
      <c r="MW156" s="1"/>
      <c r="MX156" s="1"/>
      <c r="MY156" s="1"/>
      <c r="MZ156" s="1"/>
      <c r="NA156" s="1"/>
      <c r="NB156" s="1"/>
      <c r="NC156" s="1"/>
      <c r="ND156" s="1"/>
      <c r="NE156" s="1"/>
      <c r="NF156" s="1"/>
      <c r="NG156" s="1"/>
      <c r="NH156" s="1"/>
      <c r="NI156" s="1"/>
      <c r="NJ156" s="1"/>
      <c r="NK156" s="1"/>
      <c r="NL156" s="1"/>
      <c r="NM156" s="1"/>
      <c r="NN156" s="1"/>
      <c r="NO156" s="1"/>
      <c r="NP156" s="1"/>
      <c r="NQ156" s="1"/>
      <c r="NR156" s="1"/>
      <c r="NS156" s="1"/>
      <c r="NT156" s="1"/>
      <c r="NU156" s="1"/>
      <c r="NV156" s="1"/>
      <c r="NW156" s="1"/>
      <c r="NX156" s="1"/>
      <c r="NY156" s="1"/>
      <c r="NZ156" s="1"/>
      <c r="OA156" s="1"/>
      <c r="OB156" s="1"/>
      <c r="OC156" s="1"/>
      <c r="OD156" s="1"/>
      <c r="OE156" s="1"/>
      <c r="OF156" s="1"/>
      <c r="OG156" s="1"/>
      <c r="OH156" s="1"/>
      <c r="OI156" s="1"/>
      <c r="OJ156" s="1"/>
      <c r="OK156" s="1"/>
      <c r="OL156" s="1"/>
      <c r="OM156" s="1"/>
      <c r="ON156" s="1"/>
      <c r="OO156" s="1"/>
      <c r="OP156" s="1"/>
      <c r="OQ156" s="1"/>
      <c r="OR156" s="1"/>
      <c r="OS156" s="1"/>
      <c r="OT156" s="1"/>
      <c r="OU156" s="1"/>
      <c r="OV156" s="1"/>
      <c r="OW156" s="1"/>
      <c r="OX156" s="1"/>
      <c r="OY156" s="1"/>
      <c r="OZ156" s="1"/>
      <c r="PA156" s="1"/>
      <c r="PB156" s="1"/>
      <c r="PC156" s="1"/>
      <c r="PD156" s="1"/>
      <c r="PE156" s="1"/>
      <c r="PF156" s="1"/>
      <c r="PG156" s="1"/>
      <c r="PH156" s="1"/>
      <c r="PI156" s="1"/>
      <c r="PJ156" s="1"/>
      <c r="PK156" s="1"/>
      <c r="PL156" s="1"/>
      <c r="PM156" s="1"/>
      <c r="PN156" s="1"/>
      <c r="PO156" s="1"/>
      <c r="PP156" s="1"/>
      <c r="PQ156" s="1"/>
      <c r="PR156" s="1"/>
      <c r="PS156" s="1"/>
      <c r="PT156" s="1"/>
      <c r="PU156" s="1"/>
      <c r="PV156" s="1"/>
      <c r="PW156" s="1"/>
      <c r="PX156" s="1"/>
      <c r="PY156" s="1"/>
      <c r="PZ156" s="1"/>
      <c r="QA156" s="1"/>
      <c r="QB156" s="1"/>
      <c r="QC156" s="1"/>
      <c r="QD156" s="1"/>
      <c r="QE156" s="1"/>
      <c r="QF156" s="1"/>
      <c r="QG156" s="1"/>
      <c r="QH156" s="1"/>
      <c r="QI156" s="1"/>
      <c r="QJ156" s="1"/>
      <c r="QK156" s="1"/>
      <c r="QL156" s="1"/>
      <c r="QM156" s="1"/>
      <c r="QN156" s="1"/>
      <c r="QO156" s="1"/>
      <c r="QP156" s="1"/>
      <c r="QQ156" s="1"/>
      <c r="QR156" s="1"/>
      <c r="QS156" s="1"/>
      <c r="QT156" s="1"/>
      <c r="QU156" s="1"/>
      <c r="QV156" s="1"/>
      <c r="QW156" s="1"/>
      <c r="QX156" s="1"/>
      <c r="QY156" s="1"/>
      <c r="QZ156" s="1"/>
      <c r="RA156" s="1"/>
      <c r="RB156" s="1"/>
      <c r="RC156" s="1"/>
      <c r="RD156" s="1"/>
      <c r="RE156" s="1"/>
      <c r="RF156" s="1"/>
      <c r="RG156" s="1"/>
      <c r="RH156" s="1"/>
      <c r="RI156" s="1"/>
      <c r="RJ156" s="1"/>
      <c r="RK156" s="1"/>
      <c r="RL156" s="1"/>
      <c r="RM156" s="1"/>
      <c r="RN156" s="1"/>
      <c r="RO156" s="1"/>
      <c r="RP156" s="1"/>
      <c r="RQ156" s="1"/>
      <c r="RR156" s="1"/>
      <c r="RS156" s="1"/>
      <c r="RT156" s="1"/>
      <c r="RU156" s="1"/>
      <c r="RV156" s="1"/>
      <c r="RW156" s="1"/>
      <c r="RX156" s="1"/>
      <c r="RY156" s="1"/>
      <c r="RZ156" s="1"/>
      <c r="SA156" s="1"/>
      <c r="SB156" s="1"/>
      <c r="SC156" s="1"/>
      <c r="SD156" s="1"/>
      <c r="SE156" s="1"/>
      <c r="SF156" s="1"/>
      <c r="SG156" s="1"/>
      <c r="SH156" s="1"/>
      <c r="SI156" s="1"/>
      <c r="SJ156" s="1"/>
      <c r="SK156" s="1"/>
      <c r="SL156" s="1"/>
      <c r="SM156" s="1"/>
      <c r="SN156" s="1"/>
      <c r="SO156" s="1"/>
      <c r="SP156" s="1"/>
      <c r="SQ156" s="1"/>
      <c r="SR156" s="1"/>
      <c r="SS156" s="1"/>
      <c r="ST156" s="1"/>
      <c r="SU156" s="1"/>
      <c r="SV156" s="1"/>
      <c r="SW156" s="1"/>
      <c r="SX156" s="1"/>
      <c r="SY156" s="1"/>
      <c r="SZ156" s="1"/>
      <c r="TA156" s="1"/>
      <c r="TB156" s="1"/>
      <c r="TC156" s="1"/>
      <c r="TD156" s="1"/>
      <c r="TE156" s="1"/>
      <c r="TF156" s="1"/>
      <c r="TG156" s="1"/>
      <c r="TH156" s="1"/>
      <c r="TI156" s="1"/>
      <c r="TJ156" s="1"/>
      <c r="TK156" s="1"/>
      <c r="TL156" s="1"/>
      <c r="TM156" s="1"/>
      <c r="TN156" s="1"/>
      <c r="TO156" s="1"/>
      <c r="TP156" s="1"/>
      <c r="TQ156" s="1"/>
      <c r="TR156" s="1"/>
      <c r="TS156" s="1"/>
      <c r="TT156" s="1"/>
      <c r="TU156" s="1"/>
      <c r="TV156" s="1"/>
      <c r="TW156" s="1"/>
      <c r="TX156" s="1"/>
      <c r="TY156" s="1"/>
      <c r="TZ156" s="1"/>
      <c r="UA156" s="1"/>
      <c r="UB156" s="1"/>
      <c r="UC156" s="1"/>
      <c r="UD156" s="1"/>
      <c r="UE156" s="1"/>
      <c r="UF156" s="1"/>
      <c r="UG156" s="1"/>
      <c r="UH156" s="1"/>
      <c r="UI156" s="1"/>
      <c r="UJ156" s="1"/>
      <c r="UK156" s="1"/>
      <c r="UL156" s="1"/>
      <c r="UM156" s="1"/>
      <c r="UN156" s="1"/>
      <c r="UO156" s="1"/>
      <c r="UP156" s="1"/>
      <c r="UQ156" s="1"/>
      <c r="UR156" s="1"/>
      <c r="US156" s="1"/>
      <c r="UT156" s="1"/>
      <c r="UU156" s="1"/>
      <c r="UV156" s="1"/>
      <c r="UW156" s="1"/>
      <c r="UX156" s="1"/>
      <c r="UY156" s="1"/>
      <c r="UZ156" s="1"/>
      <c r="VA156" s="1"/>
      <c r="VB156" s="1"/>
      <c r="VC156" s="1"/>
      <c r="VD156" s="1"/>
      <c r="VE156" s="1"/>
      <c r="VF156" s="1"/>
      <c r="VG156" s="1"/>
      <c r="VH156" s="1"/>
      <c r="VI156" s="1"/>
      <c r="VJ156" s="1"/>
      <c r="VK156" s="1"/>
      <c r="VL156" s="1"/>
      <c r="VM156" s="1"/>
      <c r="VN156" s="1"/>
      <c r="VO156" s="1"/>
      <c r="VP156" s="1"/>
      <c r="VQ156" s="1"/>
      <c r="VR156" s="1"/>
      <c r="VS156" s="1"/>
      <c r="VT156" s="1"/>
      <c r="VU156" s="1"/>
      <c r="VV156" s="1"/>
      <c r="VW156" s="1"/>
      <c r="VX156" s="1"/>
      <c r="VY156" s="1"/>
      <c r="VZ156" s="1"/>
      <c r="WA156" s="1"/>
      <c r="WB156" s="1"/>
      <c r="WC156" s="1"/>
      <c r="WD156" s="1"/>
      <c r="WE156" s="1"/>
      <c r="WF156" s="1"/>
      <c r="WG156" s="1"/>
      <c r="WH156" s="1"/>
      <c r="WI156" s="1"/>
      <c r="WJ156" s="1"/>
      <c r="WK156" s="1"/>
      <c r="WL156" s="1"/>
      <c r="WM156" s="1"/>
      <c r="WN156" s="1"/>
      <c r="WO156" s="1"/>
      <c r="WP156" s="1"/>
      <c r="WQ156" s="1"/>
      <c r="WR156" s="1"/>
      <c r="WS156" s="1"/>
      <c r="WT156" s="1"/>
      <c r="WU156" s="1"/>
      <c r="WV156" s="1"/>
      <c r="WW156" s="1"/>
      <c r="WX156" s="1"/>
      <c r="WY156" s="1"/>
      <c r="WZ156" s="1"/>
      <c r="XA156" s="1"/>
      <c r="XB156" s="1"/>
      <c r="XC156" s="1"/>
      <c r="XD156" s="1"/>
      <c r="XE156" s="1"/>
      <c r="XF156" s="1"/>
      <c r="XG156" s="1"/>
      <c r="XH156" s="1"/>
      <c r="XI156" s="1"/>
      <c r="XJ156" s="1"/>
      <c r="XK156" s="1"/>
      <c r="XL156" s="1"/>
      <c r="XM156" s="1"/>
      <c r="XN156" s="1"/>
      <c r="XO156" s="1"/>
      <c r="XP156" s="1"/>
      <c r="XQ156" s="1"/>
      <c r="XR156" s="1"/>
      <c r="XS156" s="1"/>
      <c r="XT156" s="1"/>
      <c r="XU156" s="1"/>
      <c r="XV156" s="1"/>
      <c r="XW156" s="1"/>
      <c r="XX156" s="1"/>
      <c r="XY156" s="1"/>
      <c r="XZ156" s="1"/>
      <c r="YA156" s="1"/>
      <c r="YB156" s="1"/>
      <c r="YC156" s="1"/>
      <c r="YD156" s="1"/>
      <c r="YE156" s="1"/>
      <c r="YF156" s="1"/>
      <c r="YG156" s="1"/>
      <c r="YH156" s="1"/>
      <c r="YI156" s="1"/>
      <c r="YJ156" s="1"/>
      <c r="YK156" s="1"/>
      <c r="YL156" s="1"/>
      <c r="YM156" s="1"/>
      <c r="YN156" s="1"/>
      <c r="YO156" s="1"/>
      <c r="YP156" s="1"/>
      <c r="YQ156" s="1"/>
      <c r="YR156" s="1"/>
      <c r="YS156" s="1"/>
      <c r="YT156" s="1"/>
      <c r="YU156" s="1"/>
      <c r="YV156" s="1"/>
      <c r="YW156" s="1"/>
      <c r="YX156" s="1"/>
      <c r="YY156" s="1"/>
      <c r="YZ156" s="1"/>
      <c r="ZA156" s="1"/>
      <c r="ZB156" s="1"/>
      <c r="ZC156" s="1"/>
      <c r="ZD156" s="1"/>
      <c r="ZE156" s="1"/>
      <c r="ZF156" s="1"/>
      <c r="ZG156" s="1"/>
      <c r="ZH156" s="1"/>
      <c r="ZI156" s="1"/>
      <c r="ZJ156" s="1"/>
      <c r="ZK156" s="1"/>
      <c r="ZL156" s="1"/>
      <c r="ZM156" s="1"/>
      <c r="ZN156" s="1"/>
      <c r="ZO156" s="1"/>
      <c r="ZP156" s="1"/>
      <c r="ZQ156" s="1"/>
      <c r="ZR156" s="1"/>
      <c r="ZS156" s="1"/>
      <c r="ZT156" s="1"/>
      <c r="ZU156" s="1"/>
      <c r="ZV156" s="1"/>
      <c r="ZW156" s="1"/>
      <c r="ZX156" s="1"/>
      <c r="ZY156" s="1"/>
      <c r="ZZ156" s="1"/>
      <c r="AAA156" s="1"/>
      <c r="AAB156" s="1"/>
      <c r="AAC156" s="1"/>
      <c r="AAD156" s="1"/>
      <c r="AAE156" s="1"/>
      <c r="AAF156" s="1"/>
      <c r="AAG156" s="1"/>
      <c r="AAH156" s="1"/>
      <c r="AAI156" s="1"/>
      <c r="AAJ156" s="1"/>
      <c r="AAK156" s="1"/>
      <c r="AAL156" s="1"/>
      <c r="AAM156" s="1"/>
      <c r="AAN156" s="1"/>
      <c r="AAO156" s="1"/>
      <c r="AAP156" s="1"/>
      <c r="AAQ156" s="1"/>
      <c r="AAR156" s="1"/>
      <c r="AAS156" s="1"/>
      <c r="AAT156" s="1"/>
      <c r="AAU156" s="1"/>
      <c r="AAV156" s="1"/>
      <c r="AAW156" s="1"/>
      <c r="AAX156" s="1"/>
      <c r="AAY156" s="1"/>
      <c r="AAZ156" s="1"/>
      <c r="ABA156" s="1"/>
      <c r="ABB156" s="1"/>
      <c r="ABC156" s="1"/>
      <c r="ABD156" s="1"/>
      <c r="ABE156" s="1"/>
      <c r="ABF156" s="1"/>
      <c r="ABG156" s="1"/>
      <c r="ABH156" s="1"/>
      <c r="ABI156" s="1"/>
      <c r="ABJ156" s="1"/>
      <c r="ABK156" s="1"/>
      <c r="ABL156" s="1"/>
      <c r="ABM156" s="1"/>
      <c r="ABN156" s="1"/>
      <c r="ABO156" s="1"/>
      <c r="ABP156" s="1"/>
      <c r="ABQ156" s="1"/>
      <c r="ABR156" s="1"/>
      <c r="ABS156" s="1"/>
      <c r="ABT156" s="1"/>
      <c r="ABU156" s="1"/>
      <c r="ABV156" s="1"/>
      <c r="ABW156" s="1"/>
      <c r="ABX156" s="1"/>
      <c r="ABY156" s="1"/>
      <c r="ABZ156" s="1"/>
      <c r="ACA156" s="1"/>
      <c r="ACB156" s="1"/>
      <c r="ACC156" s="1"/>
      <c r="ACD156" s="1"/>
      <c r="ACE156" s="1"/>
      <c r="ACF156" s="1"/>
      <c r="ACG156" s="1"/>
      <c r="ACH156" s="1"/>
      <c r="ACI156" s="1"/>
      <c r="ACJ156" s="1"/>
      <c r="ACK156" s="1"/>
      <c r="ACL156" s="1"/>
      <c r="ACM156" s="1"/>
      <c r="ACN156" s="1"/>
      <c r="ACO156" s="1"/>
      <c r="ACP156" s="1"/>
      <c r="ACQ156" s="1"/>
      <c r="ACR156" s="1"/>
      <c r="ACS156" s="1"/>
      <c r="ACT156" s="1"/>
      <c r="ACU156" s="1"/>
      <c r="ACV156" s="1"/>
      <c r="ACW156" s="1"/>
      <c r="ACX156" s="1"/>
      <c r="ACY156" s="1"/>
      <c r="ACZ156" s="1"/>
      <c r="ADA156" s="1"/>
      <c r="ADB156" s="1"/>
      <c r="ADC156" s="1"/>
      <c r="ADD156" s="1"/>
      <c r="ADE156" s="1"/>
      <c r="ADF156" s="1"/>
      <c r="ADG156" s="1"/>
      <c r="ADH156" s="1"/>
      <c r="ADI156" s="1"/>
      <c r="ADJ156" s="1"/>
      <c r="ADK156" s="1"/>
      <c r="ADL156" s="1"/>
      <c r="ADM156" s="1"/>
      <c r="ADN156" s="1"/>
      <c r="ADO156" s="1"/>
      <c r="ADP156" s="1"/>
      <c r="ADQ156" s="1"/>
      <c r="ADR156" s="1"/>
      <c r="ADS156" s="1"/>
      <c r="ADT156" s="1"/>
      <c r="ADU156" s="1"/>
      <c r="ADV156" s="1"/>
      <c r="ADW156" s="1"/>
      <c r="ADX156" s="1"/>
      <c r="ADY156" s="1"/>
      <c r="ADZ156" s="1"/>
      <c r="AEA156" s="1"/>
      <c r="AEB156" s="1"/>
      <c r="AEC156" s="1"/>
      <c r="AED156" s="1"/>
      <c r="AEE156" s="1"/>
      <c r="AEF156" s="1"/>
      <c r="AEG156" s="1"/>
      <c r="AEH156" s="1"/>
      <c r="AEI156" s="1"/>
      <c r="AEJ156" s="1"/>
      <c r="AEK156" s="1"/>
      <c r="AEL156" s="1"/>
      <c r="AEM156" s="1"/>
      <c r="AEN156" s="1"/>
      <c r="AEO156" s="1"/>
      <c r="AEP156" s="1"/>
      <c r="AEQ156" s="1"/>
      <c r="AER156" s="1"/>
      <c r="AES156" s="1"/>
      <c r="AET156" s="1"/>
      <c r="AEU156" s="1"/>
      <c r="AEV156" s="1"/>
      <c r="AEW156" s="1"/>
      <c r="AEX156" s="1"/>
      <c r="AEY156" s="1"/>
      <c r="AEZ156" s="1"/>
      <c r="AFA156" s="1"/>
      <c r="AFB156" s="1"/>
      <c r="AFC156" s="1"/>
      <c r="AFD156" s="1"/>
      <c r="AFE156" s="1"/>
      <c r="AFF156" s="1"/>
      <c r="AFG156" s="1"/>
      <c r="AFH156" s="1"/>
      <c r="AFI156" s="1"/>
      <c r="AFJ156" s="1"/>
      <c r="AFK156" s="1"/>
      <c r="AFL156" s="1"/>
      <c r="AFM156" s="1"/>
      <c r="AFN156" s="1"/>
      <c r="AFO156" s="1"/>
      <c r="AFP156" s="1"/>
      <c r="AFQ156" s="1"/>
      <c r="AFR156" s="1"/>
      <c r="AFS156" s="1"/>
      <c r="AFT156" s="1"/>
      <c r="AFU156" s="1"/>
      <c r="AFV156" s="1"/>
      <c r="AFW156" s="1"/>
      <c r="AFX156" s="1"/>
      <c r="AFY156" s="1"/>
      <c r="AFZ156" s="1"/>
      <c r="AGA156" s="1"/>
      <c r="AGB156" s="1"/>
      <c r="AGC156" s="1"/>
      <c r="AGD156" s="1"/>
      <c r="AGE156" s="1"/>
      <c r="AGF156" s="1"/>
      <c r="AGG156" s="1"/>
      <c r="AGH156" s="1"/>
      <c r="AGI156" s="1"/>
      <c r="AGJ156" s="1"/>
      <c r="AGK156" s="1"/>
      <c r="AGL156" s="1"/>
      <c r="AGM156" s="1"/>
      <c r="AGN156" s="1"/>
      <c r="AGO156" s="1"/>
      <c r="AGP156" s="1"/>
      <c r="AGQ156" s="1"/>
      <c r="AGR156" s="1"/>
      <c r="AGS156" s="1"/>
      <c r="AGT156" s="1"/>
      <c r="AGU156" s="1"/>
      <c r="AGV156" s="1"/>
      <c r="AGW156" s="1"/>
      <c r="AGX156" s="1"/>
      <c r="AGY156" s="1"/>
      <c r="AGZ156" s="1"/>
      <c r="AHA156" s="1"/>
      <c r="AHB156" s="1"/>
      <c r="AHC156" s="1"/>
      <c r="AHD156" s="1"/>
      <c r="AHE156" s="1"/>
      <c r="AHF156" s="1"/>
      <c r="AHG156" s="1"/>
      <c r="AHH156" s="1"/>
      <c r="AHI156" s="1"/>
      <c r="AHJ156" s="1"/>
      <c r="AHK156" s="1"/>
      <c r="AHL156" s="1"/>
      <c r="AHM156" s="1"/>
      <c r="AHN156" s="1"/>
      <c r="AHO156" s="1"/>
      <c r="AHP156" s="1"/>
      <c r="AHQ156" s="1"/>
      <c r="AHR156" s="1"/>
      <c r="AHS156" s="1"/>
      <c r="AHT156" s="1"/>
      <c r="AHU156" s="1"/>
      <c r="AHV156" s="1"/>
      <c r="AHW156" s="1"/>
      <c r="AHX156" s="1"/>
      <c r="AHY156" s="1"/>
      <c r="AHZ156" s="1"/>
      <c r="AIA156" s="1"/>
      <c r="AIB156" s="1"/>
      <c r="AIC156" s="1"/>
      <c r="AID156" s="1"/>
      <c r="AIE156" s="1"/>
      <c r="AIF156" s="1"/>
      <c r="AIG156" s="1"/>
      <c r="AIH156" s="1"/>
      <c r="AII156" s="1"/>
      <c r="AIJ156" s="1"/>
      <c r="AIK156" s="1"/>
      <c r="AIL156" s="1"/>
      <c r="AIM156" s="1"/>
      <c r="AIN156" s="1"/>
      <c r="AIO156" s="1"/>
      <c r="AIP156" s="1"/>
      <c r="AIQ156" s="1"/>
      <c r="AIR156" s="1"/>
      <c r="AIS156" s="1"/>
      <c r="AIT156" s="1"/>
      <c r="AIU156" s="1"/>
      <c r="AIV156" s="1"/>
      <c r="AIW156" s="1"/>
      <c r="AIX156" s="1"/>
      <c r="AIY156" s="1"/>
      <c r="AIZ156" s="1"/>
      <c r="AJA156" s="1"/>
      <c r="AJB156" s="1"/>
      <c r="AJC156" s="1"/>
      <c r="AJD156" s="1"/>
      <c r="AJE156" s="1"/>
      <c r="AJF156" s="1"/>
      <c r="AJG156" s="1"/>
      <c r="AJH156" s="1"/>
      <c r="AJI156" s="1"/>
      <c r="AJJ156" s="1"/>
      <c r="AJK156" s="1"/>
      <c r="AJL156" s="1"/>
      <c r="AJM156" s="1"/>
      <c r="AJN156" s="1"/>
      <c r="AJO156" s="1"/>
      <c r="AJP156" s="1"/>
      <c r="AJQ156" s="1"/>
      <c r="AJR156" s="1"/>
      <c r="AJS156" s="1"/>
      <c r="AJT156" s="1"/>
      <c r="AJU156" s="1"/>
      <c r="AJV156" s="1"/>
      <c r="AJW156" s="1"/>
      <c r="AJX156" s="1"/>
      <c r="AJY156" s="1"/>
      <c r="AJZ156" s="1"/>
      <c r="AKA156" s="1"/>
      <c r="AKB156" s="1"/>
      <c r="AKC156" s="1"/>
      <c r="AKD156" s="1"/>
      <c r="AKE156" s="1"/>
      <c r="AKF156" s="1"/>
      <c r="AKG156" s="1"/>
      <c r="AKH156" s="1"/>
      <c r="AKI156" s="1"/>
      <c r="AKJ156" s="1"/>
      <c r="AKK156" s="1"/>
      <c r="AKL156" s="1"/>
      <c r="AKM156" s="1"/>
      <c r="AKN156" s="1"/>
      <c r="AKO156" s="1"/>
      <c r="AKP156" s="1"/>
      <c r="AKQ156" s="1"/>
      <c r="AKR156" s="1"/>
      <c r="AKS156" s="1"/>
      <c r="AKT156" s="1"/>
      <c r="AKU156" s="1"/>
      <c r="AKV156" s="1"/>
      <c r="AKW156" s="1"/>
      <c r="AKX156" s="1"/>
      <c r="AKY156" s="1"/>
      <c r="AKZ156" s="1"/>
      <c r="ALA156" s="1"/>
      <c r="ALB156" s="1"/>
      <c r="ALC156" s="1"/>
      <c r="ALD156" s="1"/>
      <c r="ALE156" s="1"/>
      <c r="ALF156" s="1"/>
      <c r="ALG156" s="1"/>
      <c r="ALH156" s="1"/>
      <c r="ALI156" s="1"/>
      <c r="ALJ156" s="1"/>
      <c r="ALK156" s="1"/>
      <c r="ALL156" s="1"/>
      <c r="ALM156" s="1"/>
      <c r="ALN156" s="1"/>
      <c r="ALO156" s="1"/>
      <c r="ALP156" s="1"/>
      <c r="ALQ156" s="1"/>
      <c r="ALR156" s="1"/>
      <c r="ALS156" s="1"/>
      <c r="ALT156" s="1"/>
      <c r="ALU156" s="1"/>
      <c r="ALV156" s="1"/>
      <c r="ALW156" s="1"/>
      <c r="ALX156" s="1"/>
      <c r="ALY156" s="1"/>
      <c r="ALZ156" s="1"/>
      <c r="AMA156" s="1"/>
      <c r="AMB156" s="1"/>
      <c r="AMC156" s="1"/>
      <c r="AMD156" s="1"/>
      <c r="AME156" s="1"/>
      <c r="AMF156" s="1"/>
      <c r="AMG156" s="1"/>
      <c r="AMH156" s="1"/>
      <c r="AMI156" s="1"/>
      <c r="AMJ156" s="1"/>
    </row>
    <row r="157" customFormat="false" ht="10.5" hidden="false" customHeight="true" outlineLevel="0" collapsed="false">
      <c r="A157" s="164"/>
      <c r="B157" s="164"/>
      <c r="C157" s="164"/>
      <c r="D157" s="164"/>
      <c r="E157" s="164"/>
      <c r="F157" s="164"/>
      <c r="G157" s="164"/>
      <c r="H157" s="164"/>
      <c r="I157" s="164"/>
      <c r="J157" s="164"/>
      <c r="K157" s="164"/>
      <c r="L157" s="164"/>
      <c r="M157" s="164"/>
      <c r="N157" s="23"/>
      <c r="O157" s="23"/>
      <c r="P157" s="23"/>
      <c r="Q157" s="23"/>
      <c r="R157" s="23"/>
      <c r="S157" s="187"/>
      <c r="T157" s="187"/>
      <c r="U157" s="187"/>
      <c r="V157" s="187"/>
      <c r="W157" s="187"/>
      <c r="X157" s="217"/>
      <c r="Y157" s="217"/>
      <c r="Z157" s="217"/>
      <c r="AA157" s="217"/>
      <c r="AB157" s="217"/>
      <c r="AC157" s="23"/>
      <c r="AD157" s="23"/>
      <c r="AE157" s="23"/>
      <c r="AF157" s="23"/>
      <c r="AG157" s="23"/>
      <c r="AH157" s="142" t="n">
        <f aca="false">S157*X157*AC157</f>
        <v>0</v>
      </c>
      <c r="AI157" s="142"/>
      <c r="AJ157" s="142"/>
      <c r="AK157" s="142"/>
      <c r="AL157" s="142"/>
      <c r="AM157" s="142"/>
      <c r="AN157" s="142"/>
      <c r="AO157" s="142"/>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c r="IY157" s="1"/>
      <c r="IZ157" s="1"/>
      <c r="JA157" s="1"/>
      <c r="JB157" s="1"/>
      <c r="JC157" s="1"/>
      <c r="JD157" s="1"/>
      <c r="JE157" s="1"/>
      <c r="JF157" s="1"/>
      <c r="JG157" s="1"/>
      <c r="JH157" s="1"/>
      <c r="JI157" s="1"/>
      <c r="JJ157" s="1"/>
      <c r="JK157" s="1"/>
      <c r="JL157" s="1"/>
      <c r="JM157" s="1"/>
      <c r="JN157" s="1"/>
      <c r="JO157" s="1"/>
      <c r="JP157" s="1"/>
      <c r="JQ157" s="1"/>
      <c r="JR157" s="1"/>
      <c r="JS157" s="1"/>
      <c r="JT157" s="1"/>
      <c r="JU157" s="1"/>
      <c r="JV157" s="1"/>
      <c r="JW157" s="1"/>
      <c r="JX157" s="1"/>
      <c r="JY157" s="1"/>
      <c r="JZ157" s="1"/>
      <c r="KA157" s="1"/>
      <c r="KB157" s="1"/>
      <c r="KC157" s="1"/>
      <c r="KD157" s="1"/>
      <c r="KE157" s="1"/>
      <c r="KF157" s="1"/>
      <c r="KG157" s="1"/>
      <c r="KH157" s="1"/>
      <c r="KI157" s="1"/>
      <c r="KJ157" s="1"/>
      <c r="KK157" s="1"/>
      <c r="KL157" s="1"/>
      <c r="KM157" s="1"/>
      <c r="KN157" s="1"/>
      <c r="KO157" s="1"/>
      <c r="KP157" s="1"/>
      <c r="KQ157" s="1"/>
      <c r="KR157" s="1"/>
      <c r="KS157" s="1"/>
      <c r="KT157" s="1"/>
      <c r="KU157" s="1"/>
      <c r="KV157" s="1"/>
      <c r="KW157" s="1"/>
      <c r="KX157" s="1"/>
      <c r="KY157" s="1"/>
      <c r="KZ157" s="1"/>
      <c r="LA157" s="1"/>
      <c r="LB157" s="1"/>
      <c r="LC157" s="1"/>
      <c r="LD157" s="1"/>
      <c r="LE157" s="1"/>
      <c r="LF157" s="1"/>
      <c r="LG157" s="1"/>
      <c r="LH157" s="1"/>
      <c r="LI157" s="1"/>
      <c r="LJ157" s="1"/>
      <c r="LK157" s="1"/>
      <c r="LL157" s="1"/>
      <c r="LM157" s="1"/>
      <c r="LN157" s="1"/>
      <c r="LO157" s="1"/>
      <c r="LP157" s="1"/>
      <c r="LQ157" s="1"/>
      <c r="LR157" s="1"/>
      <c r="LS157" s="1"/>
      <c r="LT157" s="1"/>
      <c r="LU157" s="1"/>
      <c r="LV157" s="1"/>
      <c r="LW157" s="1"/>
      <c r="LX157" s="1"/>
      <c r="LY157" s="1"/>
      <c r="LZ157" s="1"/>
      <c r="MA157" s="1"/>
      <c r="MB157" s="1"/>
      <c r="MC157" s="1"/>
      <c r="MD157" s="1"/>
      <c r="ME157" s="1"/>
      <c r="MF157" s="1"/>
      <c r="MG157" s="1"/>
      <c r="MH157" s="1"/>
      <c r="MI157" s="1"/>
      <c r="MJ157" s="1"/>
      <c r="MK157" s="1"/>
      <c r="ML157" s="1"/>
      <c r="MM157" s="1"/>
      <c r="MN157" s="1"/>
      <c r="MO157" s="1"/>
      <c r="MP157" s="1"/>
      <c r="MQ157" s="1"/>
      <c r="MR157" s="1"/>
      <c r="MS157" s="1"/>
      <c r="MT157" s="1"/>
      <c r="MU157" s="1"/>
      <c r="MV157" s="1"/>
      <c r="MW157" s="1"/>
      <c r="MX157" s="1"/>
      <c r="MY157" s="1"/>
      <c r="MZ157" s="1"/>
      <c r="NA157" s="1"/>
      <c r="NB157" s="1"/>
      <c r="NC157" s="1"/>
      <c r="ND157" s="1"/>
      <c r="NE157" s="1"/>
      <c r="NF157" s="1"/>
      <c r="NG157" s="1"/>
      <c r="NH157" s="1"/>
      <c r="NI157" s="1"/>
      <c r="NJ157" s="1"/>
      <c r="NK157" s="1"/>
      <c r="NL157" s="1"/>
      <c r="NM157" s="1"/>
      <c r="NN157" s="1"/>
      <c r="NO157" s="1"/>
      <c r="NP157" s="1"/>
      <c r="NQ157" s="1"/>
      <c r="NR157" s="1"/>
      <c r="NS157" s="1"/>
      <c r="NT157" s="1"/>
      <c r="NU157" s="1"/>
      <c r="NV157" s="1"/>
      <c r="NW157" s="1"/>
      <c r="NX157" s="1"/>
      <c r="NY157" s="1"/>
      <c r="NZ157" s="1"/>
      <c r="OA157" s="1"/>
      <c r="OB157" s="1"/>
      <c r="OC157" s="1"/>
      <c r="OD157" s="1"/>
      <c r="OE157" s="1"/>
      <c r="OF157" s="1"/>
      <c r="OG157" s="1"/>
      <c r="OH157" s="1"/>
      <c r="OI157" s="1"/>
      <c r="OJ157" s="1"/>
      <c r="OK157" s="1"/>
      <c r="OL157" s="1"/>
      <c r="OM157" s="1"/>
      <c r="ON157" s="1"/>
      <c r="OO157" s="1"/>
      <c r="OP157" s="1"/>
      <c r="OQ157" s="1"/>
      <c r="OR157" s="1"/>
      <c r="OS157" s="1"/>
      <c r="OT157" s="1"/>
      <c r="OU157" s="1"/>
      <c r="OV157" s="1"/>
      <c r="OW157" s="1"/>
      <c r="OX157" s="1"/>
      <c r="OY157" s="1"/>
      <c r="OZ157" s="1"/>
      <c r="PA157" s="1"/>
      <c r="PB157" s="1"/>
      <c r="PC157" s="1"/>
      <c r="PD157" s="1"/>
      <c r="PE157" s="1"/>
      <c r="PF157" s="1"/>
      <c r="PG157" s="1"/>
      <c r="PH157" s="1"/>
      <c r="PI157" s="1"/>
      <c r="PJ157" s="1"/>
      <c r="PK157" s="1"/>
      <c r="PL157" s="1"/>
      <c r="PM157" s="1"/>
      <c r="PN157" s="1"/>
      <c r="PO157" s="1"/>
      <c r="PP157" s="1"/>
      <c r="PQ157" s="1"/>
      <c r="PR157" s="1"/>
      <c r="PS157" s="1"/>
      <c r="PT157" s="1"/>
      <c r="PU157" s="1"/>
      <c r="PV157" s="1"/>
      <c r="PW157" s="1"/>
      <c r="PX157" s="1"/>
      <c r="PY157" s="1"/>
      <c r="PZ157" s="1"/>
      <c r="QA157" s="1"/>
      <c r="QB157" s="1"/>
      <c r="QC157" s="1"/>
      <c r="QD157" s="1"/>
      <c r="QE157" s="1"/>
      <c r="QF157" s="1"/>
      <c r="QG157" s="1"/>
      <c r="QH157" s="1"/>
      <c r="QI157" s="1"/>
      <c r="QJ157" s="1"/>
      <c r="QK157" s="1"/>
      <c r="QL157" s="1"/>
      <c r="QM157" s="1"/>
      <c r="QN157" s="1"/>
      <c r="QO157" s="1"/>
      <c r="QP157" s="1"/>
      <c r="QQ157" s="1"/>
      <c r="QR157" s="1"/>
      <c r="QS157" s="1"/>
      <c r="QT157" s="1"/>
      <c r="QU157" s="1"/>
      <c r="QV157" s="1"/>
      <c r="QW157" s="1"/>
      <c r="QX157" s="1"/>
      <c r="QY157" s="1"/>
      <c r="QZ157" s="1"/>
      <c r="RA157" s="1"/>
      <c r="RB157" s="1"/>
      <c r="RC157" s="1"/>
      <c r="RD157" s="1"/>
      <c r="RE157" s="1"/>
      <c r="RF157" s="1"/>
      <c r="RG157" s="1"/>
      <c r="RH157" s="1"/>
      <c r="RI157" s="1"/>
      <c r="RJ157" s="1"/>
      <c r="RK157" s="1"/>
      <c r="RL157" s="1"/>
      <c r="RM157" s="1"/>
      <c r="RN157" s="1"/>
      <c r="RO157" s="1"/>
      <c r="RP157" s="1"/>
      <c r="RQ157" s="1"/>
      <c r="RR157" s="1"/>
      <c r="RS157" s="1"/>
      <c r="RT157" s="1"/>
      <c r="RU157" s="1"/>
      <c r="RV157" s="1"/>
      <c r="RW157" s="1"/>
      <c r="RX157" s="1"/>
      <c r="RY157" s="1"/>
      <c r="RZ157" s="1"/>
      <c r="SA157" s="1"/>
      <c r="SB157" s="1"/>
      <c r="SC157" s="1"/>
      <c r="SD157" s="1"/>
      <c r="SE157" s="1"/>
      <c r="SF157" s="1"/>
      <c r="SG157" s="1"/>
      <c r="SH157" s="1"/>
      <c r="SI157" s="1"/>
      <c r="SJ157" s="1"/>
      <c r="SK157" s="1"/>
      <c r="SL157" s="1"/>
      <c r="SM157" s="1"/>
      <c r="SN157" s="1"/>
      <c r="SO157" s="1"/>
      <c r="SP157" s="1"/>
      <c r="SQ157" s="1"/>
      <c r="SR157" s="1"/>
      <c r="SS157" s="1"/>
      <c r="ST157" s="1"/>
      <c r="SU157" s="1"/>
      <c r="SV157" s="1"/>
      <c r="SW157" s="1"/>
      <c r="SX157" s="1"/>
      <c r="SY157" s="1"/>
      <c r="SZ157" s="1"/>
      <c r="TA157" s="1"/>
      <c r="TB157" s="1"/>
      <c r="TC157" s="1"/>
      <c r="TD157" s="1"/>
      <c r="TE157" s="1"/>
      <c r="TF157" s="1"/>
      <c r="TG157" s="1"/>
      <c r="TH157" s="1"/>
      <c r="TI157" s="1"/>
      <c r="TJ157" s="1"/>
      <c r="TK157" s="1"/>
      <c r="TL157" s="1"/>
      <c r="TM157" s="1"/>
      <c r="TN157" s="1"/>
      <c r="TO157" s="1"/>
      <c r="TP157" s="1"/>
      <c r="TQ157" s="1"/>
      <c r="TR157" s="1"/>
      <c r="TS157" s="1"/>
      <c r="TT157" s="1"/>
      <c r="TU157" s="1"/>
      <c r="TV157" s="1"/>
      <c r="TW157" s="1"/>
      <c r="TX157" s="1"/>
      <c r="TY157" s="1"/>
      <c r="TZ157" s="1"/>
      <c r="UA157" s="1"/>
      <c r="UB157" s="1"/>
      <c r="UC157" s="1"/>
      <c r="UD157" s="1"/>
      <c r="UE157" s="1"/>
      <c r="UF157" s="1"/>
      <c r="UG157" s="1"/>
      <c r="UH157" s="1"/>
      <c r="UI157" s="1"/>
      <c r="UJ157" s="1"/>
      <c r="UK157" s="1"/>
      <c r="UL157" s="1"/>
      <c r="UM157" s="1"/>
      <c r="UN157" s="1"/>
      <c r="UO157" s="1"/>
      <c r="UP157" s="1"/>
      <c r="UQ157" s="1"/>
      <c r="UR157" s="1"/>
      <c r="US157" s="1"/>
      <c r="UT157" s="1"/>
      <c r="UU157" s="1"/>
      <c r="UV157" s="1"/>
      <c r="UW157" s="1"/>
      <c r="UX157" s="1"/>
      <c r="UY157" s="1"/>
      <c r="UZ157" s="1"/>
      <c r="VA157" s="1"/>
      <c r="VB157" s="1"/>
      <c r="VC157" s="1"/>
      <c r="VD157" s="1"/>
      <c r="VE157" s="1"/>
      <c r="VF157" s="1"/>
      <c r="VG157" s="1"/>
      <c r="VH157" s="1"/>
      <c r="VI157" s="1"/>
      <c r="VJ157" s="1"/>
      <c r="VK157" s="1"/>
      <c r="VL157" s="1"/>
      <c r="VM157" s="1"/>
      <c r="VN157" s="1"/>
      <c r="VO157" s="1"/>
      <c r="VP157" s="1"/>
      <c r="VQ157" s="1"/>
      <c r="VR157" s="1"/>
      <c r="VS157" s="1"/>
      <c r="VT157" s="1"/>
      <c r="VU157" s="1"/>
      <c r="VV157" s="1"/>
      <c r="VW157" s="1"/>
      <c r="VX157" s="1"/>
      <c r="VY157" s="1"/>
      <c r="VZ157" s="1"/>
      <c r="WA157" s="1"/>
      <c r="WB157" s="1"/>
      <c r="WC157" s="1"/>
      <c r="WD157" s="1"/>
      <c r="WE157" s="1"/>
      <c r="WF157" s="1"/>
      <c r="WG157" s="1"/>
      <c r="WH157" s="1"/>
      <c r="WI157" s="1"/>
      <c r="WJ157" s="1"/>
      <c r="WK157" s="1"/>
      <c r="WL157" s="1"/>
      <c r="WM157" s="1"/>
      <c r="WN157" s="1"/>
      <c r="WO157" s="1"/>
      <c r="WP157" s="1"/>
      <c r="WQ157" s="1"/>
      <c r="WR157" s="1"/>
      <c r="WS157" s="1"/>
      <c r="WT157" s="1"/>
      <c r="WU157" s="1"/>
      <c r="WV157" s="1"/>
      <c r="WW157" s="1"/>
      <c r="WX157" s="1"/>
      <c r="WY157" s="1"/>
      <c r="WZ157" s="1"/>
      <c r="XA157" s="1"/>
      <c r="XB157" s="1"/>
      <c r="XC157" s="1"/>
      <c r="XD157" s="1"/>
      <c r="XE157" s="1"/>
      <c r="XF157" s="1"/>
      <c r="XG157" s="1"/>
      <c r="XH157" s="1"/>
      <c r="XI157" s="1"/>
      <c r="XJ157" s="1"/>
      <c r="XK157" s="1"/>
      <c r="XL157" s="1"/>
      <c r="XM157" s="1"/>
      <c r="XN157" s="1"/>
      <c r="XO157" s="1"/>
      <c r="XP157" s="1"/>
      <c r="XQ157" s="1"/>
      <c r="XR157" s="1"/>
      <c r="XS157" s="1"/>
      <c r="XT157" s="1"/>
      <c r="XU157" s="1"/>
      <c r="XV157" s="1"/>
      <c r="XW157" s="1"/>
      <c r="XX157" s="1"/>
      <c r="XY157" s="1"/>
      <c r="XZ157" s="1"/>
      <c r="YA157" s="1"/>
      <c r="YB157" s="1"/>
      <c r="YC157" s="1"/>
      <c r="YD157" s="1"/>
      <c r="YE157" s="1"/>
      <c r="YF157" s="1"/>
      <c r="YG157" s="1"/>
      <c r="YH157" s="1"/>
      <c r="YI157" s="1"/>
      <c r="YJ157" s="1"/>
      <c r="YK157" s="1"/>
      <c r="YL157" s="1"/>
      <c r="YM157" s="1"/>
      <c r="YN157" s="1"/>
      <c r="YO157" s="1"/>
      <c r="YP157" s="1"/>
      <c r="YQ157" s="1"/>
      <c r="YR157" s="1"/>
      <c r="YS157" s="1"/>
      <c r="YT157" s="1"/>
      <c r="YU157" s="1"/>
      <c r="YV157" s="1"/>
      <c r="YW157" s="1"/>
      <c r="YX157" s="1"/>
      <c r="YY157" s="1"/>
      <c r="YZ157" s="1"/>
      <c r="ZA157" s="1"/>
      <c r="ZB157" s="1"/>
      <c r="ZC157" s="1"/>
      <c r="ZD157" s="1"/>
      <c r="ZE157" s="1"/>
      <c r="ZF157" s="1"/>
      <c r="ZG157" s="1"/>
      <c r="ZH157" s="1"/>
      <c r="ZI157" s="1"/>
      <c r="ZJ157" s="1"/>
      <c r="ZK157" s="1"/>
      <c r="ZL157" s="1"/>
      <c r="ZM157" s="1"/>
      <c r="ZN157" s="1"/>
      <c r="ZO157" s="1"/>
      <c r="ZP157" s="1"/>
      <c r="ZQ157" s="1"/>
      <c r="ZR157" s="1"/>
      <c r="ZS157" s="1"/>
      <c r="ZT157" s="1"/>
      <c r="ZU157" s="1"/>
      <c r="ZV157" s="1"/>
      <c r="ZW157" s="1"/>
      <c r="ZX157" s="1"/>
      <c r="ZY157" s="1"/>
      <c r="ZZ157" s="1"/>
      <c r="AAA157" s="1"/>
      <c r="AAB157" s="1"/>
      <c r="AAC157" s="1"/>
      <c r="AAD157" s="1"/>
      <c r="AAE157" s="1"/>
      <c r="AAF157" s="1"/>
      <c r="AAG157" s="1"/>
      <c r="AAH157" s="1"/>
      <c r="AAI157" s="1"/>
      <c r="AAJ157" s="1"/>
      <c r="AAK157" s="1"/>
      <c r="AAL157" s="1"/>
      <c r="AAM157" s="1"/>
      <c r="AAN157" s="1"/>
      <c r="AAO157" s="1"/>
      <c r="AAP157" s="1"/>
      <c r="AAQ157" s="1"/>
      <c r="AAR157" s="1"/>
      <c r="AAS157" s="1"/>
      <c r="AAT157" s="1"/>
      <c r="AAU157" s="1"/>
      <c r="AAV157" s="1"/>
      <c r="AAW157" s="1"/>
      <c r="AAX157" s="1"/>
      <c r="AAY157" s="1"/>
      <c r="AAZ157" s="1"/>
      <c r="ABA157" s="1"/>
      <c r="ABB157" s="1"/>
      <c r="ABC157" s="1"/>
      <c r="ABD157" s="1"/>
      <c r="ABE157" s="1"/>
      <c r="ABF157" s="1"/>
      <c r="ABG157" s="1"/>
      <c r="ABH157" s="1"/>
      <c r="ABI157" s="1"/>
      <c r="ABJ157" s="1"/>
      <c r="ABK157" s="1"/>
      <c r="ABL157" s="1"/>
      <c r="ABM157" s="1"/>
      <c r="ABN157" s="1"/>
      <c r="ABO157" s="1"/>
      <c r="ABP157" s="1"/>
      <c r="ABQ157" s="1"/>
      <c r="ABR157" s="1"/>
      <c r="ABS157" s="1"/>
      <c r="ABT157" s="1"/>
      <c r="ABU157" s="1"/>
      <c r="ABV157" s="1"/>
      <c r="ABW157" s="1"/>
      <c r="ABX157" s="1"/>
      <c r="ABY157" s="1"/>
      <c r="ABZ157" s="1"/>
      <c r="ACA157" s="1"/>
      <c r="ACB157" s="1"/>
      <c r="ACC157" s="1"/>
      <c r="ACD157" s="1"/>
      <c r="ACE157" s="1"/>
      <c r="ACF157" s="1"/>
      <c r="ACG157" s="1"/>
      <c r="ACH157" s="1"/>
      <c r="ACI157" s="1"/>
      <c r="ACJ157" s="1"/>
      <c r="ACK157" s="1"/>
      <c r="ACL157" s="1"/>
      <c r="ACM157" s="1"/>
      <c r="ACN157" s="1"/>
      <c r="ACO157" s="1"/>
      <c r="ACP157" s="1"/>
      <c r="ACQ157" s="1"/>
      <c r="ACR157" s="1"/>
      <c r="ACS157" s="1"/>
      <c r="ACT157" s="1"/>
      <c r="ACU157" s="1"/>
      <c r="ACV157" s="1"/>
      <c r="ACW157" s="1"/>
      <c r="ACX157" s="1"/>
      <c r="ACY157" s="1"/>
      <c r="ACZ157" s="1"/>
      <c r="ADA157" s="1"/>
      <c r="ADB157" s="1"/>
      <c r="ADC157" s="1"/>
      <c r="ADD157" s="1"/>
      <c r="ADE157" s="1"/>
      <c r="ADF157" s="1"/>
      <c r="ADG157" s="1"/>
      <c r="ADH157" s="1"/>
      <c r="ADI157" s="1"/>
      <c r="ADJ157" s="1"/>
      <c r="ADK157" s="1"/>
      <c r="ADL157" s="1"/>
      <c r="ADM157" s="1"/>
      <c r="ADN157" s="1"/>
      <c r="ADO157" s="1"/>
      <c r="ADP157" s="1"/>
      <c r="ADQ157" s="1"/>
      <c r="ADR157" s="1"/>
      <c r="ADS157" s="1"/>
      <c r="ADT157" s="1"/>
      <c r="ADU157" s="1"/>
      <c r="ADV157" s="1"/>
      <c r="ADW157" s="1"/>
      <c r="ADX157" s="1"/>
      <c r="ADY157" s="1"/>
      <c r="ADZ157" s="1"/>
      <c r="AEA157" s="1"/>
      <c r="AEB157" s="1"/>
      <c r="AEC157" s="1"/>
      <c r="AED157" s="1"/>
      <c r="AEE157" s="1"/>
      <c r="AEF157" s="1"/>
      <c r="AEG157" s="1"/>
      <c r="AEH157" s="1"/>
      <c r="AEI157" s="1"/>
      <c r="AEJ157" s="1"/>
      <c r="AEK157" s="1"/>
      <c r="AEL157" s="1"/>
      <c r="AEM157" s="1"/>
      <c r="AEN157" s="1"/>
      <c r="AEO157" s="1"/>
      <c r="AEP157" s="1"/>
      <c r="AEQ157" s="1"/>
      <c r="AER157" s="1"/>
      <c r="AES157" s="1"/>
      <c r="AET157" s="1"/>
      <c r="AEU157" s="1"/>
      <c r="AEV157" s="1"/>
      <c r="AEW157" s="1"/>
      <c r="AEX157" s="1"/>
      <c r="AEY157" s="1"/>
      <c r="AEZ157" s="1"/>
      <c r="AFA157" s="1"/>
      <c r="AFB157" s="1"/>
      <c r="AFC157" s="1"/>
      <c r="AFD157" s="1"/>
      <c r="AFE157" s="1"/>
      <c r="AFF157" s="1"/>
      <c r="AFG157" s="1"/>
      <c r="AFH157" s="1"/>
      <c r="AFI157" s="1"/>
      <c r="AFJ157" s="1"/>
      <c r="AFK157" s="1"/>
      <c r="AFL157" s="1"/>
      <c r="AFM157" s="1"/>
      <c r="AFN157" s="1"/>
      <c r="AFO157" s="1"/>
      <c r="AFP157" s="1"/>
      <c r="AFQ157" s="1"/>
      <c r="AFR157" s="1"/>
      <c r="AFS157" s="1"/>
      <c r="AFT157" s="1"/>
      <c r="AFU157" s="1"/>
      <c r="AFV157" s="1"/>
      <c r="AFW157" s="1"/>
      <c r="AFX157" s="1"/>
      <c r="AFY157" s="1"/>
      <c r="AFZ157" s="1"/>
      <c r="AGA157" s="1"/>
      <c r="AGB157" s="1"/>
      <c r="AGC157" s="1"/>
      <c r="AGD157" s="1"/>
      <c r="AGE157" s="1"/>
      <c r="AGF157" s="1"/>
      <c r="AGG157" s="1"/>
      <c r="AGH157" s="1"/>
      <c r="AGI157" s="1"/>
      <c r="AGJ157" s="1"/>
      <c r="AGK157" s="1"/>
      <c r="AGL157" s="1"/>
      <c r="AGM157" s="1"/>
      <c r="AGN157" s="1"/>
      <c r="AGO157" s="1"/>
      <c r="AGP157" s="1"/>
      <c r="AGQ157" s="1"/>
      <c r="AGR157" s="1"/>
      <c r="AGS157" s="1"/>
      <c r="AGT157" s="1"/>
      <c r="AGU157" s="1"/>
      <c r="AGV157" s="1"/>
      <c r="AGW157" s="1"/>
      <c r="AGX157" s="1"/>
      <c r="AGY157" s="1"/>
      <c r="AGZ157" s="1"/>
      <c r="AHA157" s="1"/>
      <c r="AHB157" s="1"/>
      <c r="AHC157" s="1"/>
      <c r="AHD157" s="1"/>
      <c r="AHE157" s="1"/>
      <c r="AHF157" s="1"/>
      <c r="AHG157" s="1"/>
      <c r="AHH157" s="1"/>
      <c r="AHI157" s="1"/>
      <c r="AHJ157" s="1"/>
      <c r="AHK157" s="1"/>
      <c r="AHL157" s="1"/>
      <c r="AHM157" s="1"/>
      <c r="AHN157" s="1"/>
      <c r="AHO157" s="1"/>
      <c r="AHP157" s="1"/>
      <c r="AHQ157" s="1"/>
      <c r="AHR157" s="1"/>
      <c r="AHS157" s="1"/>
      <c r="AHT157" s="1"/>
      <c r="AHU157" s="1"/>
      <c r="AHV157" s="1"/>
      <c r="AHW157" s="1"/>
      <c r="AHX157" s="1"/>
      <c r="AHY157" s="1"/>
      <c r="AHZ157" s="1"/>
      <c r="AIA157" s="1"/>
      <c r="AIB157" s="1"/>
      <c r="AIC157" s="1"/>
      <c r="AID157" s="1"/>
      <c r="AIE157" s="1"/>
      <c r="AIF157" s="1"/>
      <c r="AIG157" s="1"/>
      <c r="AIH157" s="1"/>
      <c r="AII157" s="1"/>
      <c r="AIJ157" s="1"/>
      <c r="AIK157" s="1"/>
      <c r="AIL157" s="1"/>
      <c r="AIM157" s="1"/>
      <c r="AIN157" s="1"/>
      <c r="AIO157" s="1"/>
      <c r="AIP157" s="1"/>
      <c r="AIQ157" s="1"/>
      <c r="AIR157" s="1"/>
      <c r="AIS157" s="1"/>
      <c r="AIT157" s="1"/>
      <c r="AIU157" s="1"/>
      <c r="AIV157" s="1"/>
      <c r="AIW157" s="1"/>
      <c r="AIX157" s="1"/>
      <c r="AIY157" s="1"/>
      <c r="AIZ157" s="1"/>
      <c r="AJA157" s="1"/>
      <c r="AJB157" s="1"/>
      <c r="AJC157" s="1"/>
      <c r="AJD157" s="1"/>
      <c r="AJE157" s="1"/>
      <c r="AJF157" s="1"/>
      <c r="AJG157" s="1"/>
      <c r="AJH157" s="1"/>
      <c r="AJI157" s="1"/>
      <c r="AJJ157" s="1"/>
      <c r="AJK157" s="1"/>
      <c r="AJL157" s="1"/>
      <c r="AJM157" s="1"/>
      <c r="AJN157" s="1"/>
      <c r="AJO157" s="1"/>
      <c r="AJP157" s="1"/>
      <c r="AJQ157" s="1"/>
      <c r="AJR157" s="1"/>
      <c r="AJS157" s="1"/>
      <c r="AJT157" s="1"/>
      <c r="AJU157" s="1"/>
      <c r="AJV157" s="1"/>
      <c r="AJW157" s="1"/>
      <c r="AJX157" s="1"/>
      <c r="AJY157" s="1"/>
      <c r="AJZ157" s="1"/>
      <c r="AKA157" s="1"/>
      <c r="AKB157" s="1"/>
      <c r="AKC157" s="1"/>
      <c r="AKD157" s="1"/>
      <c r="AKE157" s="1"/>
      <c r="AKF157" s="1"/>
      <c r="AKG157" s="1"/>
      <c r="AKH157" s="1"/>
      <c r="AKI157" s="1"/>
      <c r="AKJ157" s="1"/>
      <c r="AKK157" s="1"/>
      <c r="AKL157" s="1"/>
      <c r="AKM157" s="1"/>
      <c r="AKN157" s="1"/>
      <c r="AKO157" s="1"/>
      <c r="AKP157" s="1"/>
      <c r="AKQ157" s="1"/>
      <c r="AKR157" s="1"/>
      <c r="AKS157" s="1"/>
      <c r="AKT157" s="1"/>
      <c r="AKU157" s="1"/>
      <c r="AKV157" s="1"/>
      <c r="AKW157" s="1"/>
      <c r="AKX157" s="1"/>
      <c r="AKY157" s="1"/>
      <c r="AKZ157" s="1"/>
      <c r="ALA157" s="1"/>
      <c r="ALB157" s="1"/>
      <c r="ALC157" s="1"/>
      <c r="ALD157" s="1"/>
      <c r="ALE157" s="1"/>
      <c r="ALF157" s="1"/>
      <c r="ALG157" s="1"/>
      <c r="ALH157" s="1"/>
      <c r="ALI157" s="1"/>
      <c r="ALJ157" s="1"/>
      <c r="ALK157" s="1"/>
      <c r="ALL157" s="1"/>
      <c r="ALM157" s="1"/>
      <c r="ALN157" s="1"/>
      <c r="ALO157" s="1"/>
      <c r="ALP157" s="1"/>
      <c r="ALQ157" s="1"/>
      <c r="ALR157" s="1"/>
      <c r="ALS157" s="1"/>
      <c r="ALT157" s="1"/>
      <c r="ALU157" s="1"/>
      <c r="ALV157" s="1"/>
      <c r="ALW157" s="1"/>
      <c r="ALX157" s="1"/>
      <c r="ALY157" s="1"/>
      <c r="ALZ157" s="1"/>
      <c r="AMA157" s="1"/>
      <c r="AMB157" s="1"/>
      <c r="AMC157" s="1"/>
      <c r="AMD157" s="1"/>
      <c r="AME157" s="1"/>
      <c r="AMF157" s="1"/>
      <c r="AMG157" s="1"/>
      <c r="AMH157" s="1"/>
      <c r="AMI157" s="1"/>
      <c r="AMJ157" s="1"/>
    </row>
    <row r="158" customFormat="false" ht="10.5" hidden="false" customHeight="true" outlineLevel="0" collapsed="false">
      <c r="A158" s="171"/>
      <c r="B158" s="171"/>
      <c r="C158" s="171"/>
      <c r="D158" s="171"/>
      <c r="E158" s="171"/>
      <c r="F158" s="171"/>
      <c r="G158" s="171"/>
      <c r="H158" s="171"/>
      <c r="I158" s="171"/>
      <c r="J158" s="171"/>
      <c r="K158" s="171"/>
      <c r="L158" s="171"/>
      <c r="M158" s="171"/>
      <c r="N158" s="67"/>
      <c r="O158" s="67"/>
      <c r="P158" s="67"/>
      <c r="Q158" s="67"/>
      <c r="R158" s="67"/>
      <c r="S158" s="187"/>
      <c r="T158" s="187"/>
      <c r="U158" s="187"/>
      <c r="V158" s="187"/>
      <c r="W158" s="187"/>
      <c r="X158" s="218"/>
      <c r="Y158" s="218"/>
      <c r="Z158" s="218"/>
      <c r="AA158" s="218"/>
      <c r="AB158" s="218"/>
      <c r="AC158" s="67"/>
      <c r="AD158" s="67"/>
      <c r="AE158" s="67"/>
      <c r="AF158" s="67"/>
      <c r="AG158" s="67"/>
      <c r="AH158" s="142" t="n">
        <f aca="false">S158*X158*AC158</f>
        <v>0</v>
      </c>
      <c r="AI158" s="142"/>
      <c r="AJ158" s="142"/>
      <c r="AK158" s="142"/>
      <c r="AL158" s="142"/>
      <c r="AM158" s="142"/>
      <c r="AN158" s="142"/>
      <c r="AO158" s="142"/>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c r="IY158" s="1"/>
      <c r="IZ158" s="1"/>
      <c r="JA158" s="1"/>
      <c r="JB158" s="1"/>
      <c r="JC158" s="1"/>
      <c r="JD158" s="1"/>
      <c r="JE158" s="1"/>
      <c r="JF158" s="1"/>
      <c r="JG158" s="1"/>
      <c r="JH158" s="1"/>
      <c r="JI158" s="1"/>
      <c r="JJ158" s="1"/>
      <c r="JK158" s="1"/>
      <c r="JL158" s="1"/>
      <c r="JM158" s="1"/>
      <c r="JN158" s="1"/>
      <c r="JO158" s="1"/>
      <c r="JP158" s="1"/>
      <c r="JQ158" s="1"/>
      <c r="JR158" s="1"/>
      <c r="JS158" s="1"/>
      <c r="JT158" s="1"/>
      <c r="JU158" s="1"/>
      <c r="JV158" s="1"/>
      <c r="JW158" s="1"/>
      <c r="JX158" s="1"/>
      <c r="JY158" s="1"/>
      <c r="JZ158" s="1"/>
      <c r="KA158" s="1"/>
      <c r="KB158" s="1"/>
      <c r="KC158" s="1"/>
      <c r="KD158" s="1"/>
      <c r="KE158" s="1"/>
      <c r="KF158" s="1"/>
      <c r="KG158" s="1"/>
      <c r="KH158" s="1"/>
      <c r="KI158" s="1"/>
      <c r="KJ158" s="1"/>
      <c r="KK158" s="1"/>
      <c r="KL158" s="1"/>
      <c r="KM158" s="1"/>
      <c r="KN158" s="1"/>
      <c r="KO158" s="1"/>
      <c r="KP158" s="1"/>
      <c r="KQ158" s="1"/>
      <c r="KR158" s="1"/>
      <c r="KS158" s="1"/>
      <c r="KT158" s="1"/>
      <c r="KU158" s="1"/>
      <c r="KV158" s="1"/>
      <c r="KW158" s="1"/>
      <c r="KX158" s="1"/>
      <c r="KY158" s="1"/>
      <c r="KZ158" s="1"/>
      <c r="LA158" s="1"/>
      <c r="LB158" s="1"/>
      <c r="LC158" s="1"/>
      <c r="LD158" s="1"/>
      <c r="LE158" s="1"/>
      <c r="LF158" s="1"/>
      <c r="LG158" s="1"/>
      <c r="LH158" s="1"/>
      <c r="LI158" s="1"/>
      <c r="LJ158" s="1"/>
      <c r="LK158" s="1"/>
      <c r="LL158" s="1"/>
      <c r="LM158" s="1"/>
      <c r="LN158" s="1"/>
      <c r="LO158" s="1"/>
      <c r="LP158" s="1"/>
      <c r="LQ158" s="1"/>
      <c r="LR158" s="1"/>
      <c r="LS158" s="1"/>
      <c r="LT158" s="1"/>
      <c r="LU158" s="1"/>
      <c r="LV158" s="1"/>
      <c r="LW158" s="1"/>
      <c r="LX158" s="1"/>
      <c r="LY158" s="1"/>
      <c r="LZ158" s="1"/>
      <c r="MA158" s="1"/>
      <c r="MB158" s="1"/>
      <c r="MC158" s="1"/>
      <c r="MD158" s="1"/>
      <c r="ME158" s="1"/>
      <c r="MF158" s="1"/>
      <c r="MG158" s="1"/>
      <c r="MH158" s="1"/>
      <c r="MI158" s="1"/>
      <c r="MJ158" s="1"/>
      <c r="MK158" s="1"/>
      <c r="ML158" s="1"/>
      <c r="MM158" s="1"/>
      <c r="MN158" s="1"/>
      <c r="MO158" s="1"/>
      <c r="MP158" s="1"/>
      <c r="MQ158" s="1"/>
      <c r="MR158" s="1"/>
      <c r="MS158" s="1"/>
      <c r="MT158" s="1"/>
      <c r="MU158" s="1"/>
      <c r="MV158" s="1"/>
      <c r="MW158" s="1"/>
      <c r="MX158" s="1"/>
      <c r="MY158" s="1"/>
      <c r="MZ158" s="1"/>
      <c r="NA158" s="1"/>
      <c r="NB158" s="1"/>
      <c r="NC158" s="1"/>
      <c r="ND158" s="1"/>
      <c r="NE158" s="1"/>
      <c r="NF158" s="1"/>
      <c r="NG158" s="1"/>
      <c r="NH158" s="1"/>
      <c r="NI158" s="1"/>
      <c r="NJ158" s="1"/>
      <c r="NK158" s="1"/>
      <c r="NL158" s="1"/>
      <c r="NM158" s="1"/>
      <c r="NN158" s="1"/>
      <c r="NO158" s="1"/>
      <c r="NP158" s="1"/>
      <c r="NQ158" s="1"/>
      <c r="NR158" s="1"/>
      <c r="NS158" s="1"/>
      <c r="NT158" s="1"/>
      <c r="NU158" s="1"/>
      <c r="NV158" s="1"/>
      <c r="NW158" s="1"/>
      <c r="NX158" s="1"/>
      <c r="NY158" s="1"/>
      <c r="NZ158" s="1"/>
      <c r="OA158" s="1"/>
      <c r="OB158" s="1"/>
      <c r="OC158" s="1"/>
      <c r="OD158" s="1"/>
      <c r="OE158" s="1"/>
      <c r="OF158" s="1"/>
      <c r="OG158" s="1"/>
      <c r="OH158" s="1"/>
      <c r="OI158" s="1"/>
      <c r="OJ158" s="1"/>
      <c r="OK158" s="1"/>
      <c r="OL158" s="1"/>
      <c r="OM158" s="1"/>
      <c r="ON158" s="1"/>
      <c r="OO158" s="1"/>
      <c r="OP158" s="1"/>
      <c r="OQ158" s="1"/>
      <c r="OR158" s="1"/>
      <c r="OS158" s="1"/>
      <c r="OT158" s="1"/>
      <c r="OU158" s="1"/>
      <c r="OV158" s="1"/>
      <c r="OW158" s="1"/>
      <c r="OX158" s="1"/>
      <c r="OY158" s="1"/>
      <c r="OZ158" s="1"/>
      <c r="PA158" s="1"/>
      <c r="PB158" s="1"/>
      <c r="PC158" s="1"/>
      <c r="PD158" s="1"/>
      <c r="PE158" s="1"/>
      <c r="PF158" s="1"/>
      <c r="PG158" s="1"/>
      <c r="PH158" s="1"/>
      <c r="PI158" s="1"/>
      <c r="PJ158" s="1"/>
      <c r="PK158" s="1"/>
      <c r="PL158" s="1"/>
      <c r="PM158" s="1"/>
      <c r="PN158" s="1"/>
      <c r="PO158" s="1"/>
      <c r="PP158" s="1"/>
      <c r="PQ158" s="1"/>
      <c r="PR158" s="1"/>
      <c r="PS158" s="1"/>
      <c r="PT158" s="1"/>
      <c r="PU158" s="1"/>
      <c r="PV158" s="1"/>
      <c r="PW158" s="1"/>
      <c r="PX158" s="1"/>
      <c r="PY158" s="1"/>
      <c r="PZ158" s="1"/>
      <c r="QA158" s="1"/>
      <c r="QB158" s="1"/>
      <c r="QC158" s="1"/>
      <c r="QD158" s="1"/>
      <c r="QE158" s="1"/>
      <c r="QF158" s="1"/>
      <c r="QG158" s="1"/>
      <c r="QH158" s="1"/>
      <c r="QI158" s="1"/>
      <c r="QJ158" s="1"/>
      <c r="QK158" s="1"/>
      <c r="QL158" s="1"/>
      <c r="QM158" s="1"/>
      <c r="QN158" s="1"/>
      <c r="QO158" s="1"/>
      <c r="QP158" s="1"/>
      <c r="QQ158" s="1"/>
      <c r="QR158" s="1"/>
      <c r="QS158" s="1"/>
      <c r="QT158" s="1"/>
      <c r="QU158" s="1"/>
      <c r="QV158" s="1"/>
      <c r="QW158" s="1"/>
      <c r="QX158" s="1"/>
      <c r="QY158" s="1"/>
      <c r="QZ158" s="1"/>
      <c r="RA158" s="1"/>
      <c r="RB158" s="1"/>
      <c r="RC158" s="1"/>
      <c r="RD158" s="1"/>
      <c r="RE158" s="1"/>
      <c r="RF158" s="1"/>
      <c r="RG158" s="1"/>
      <c r="RH158" s="1"/>
      <c r="RI158" s="1"/>
      <c r="RJ158" s="1"/>
      <c r="RK158" s="1"/>
      <c r="RL158" s="1"/>
      <c r="RM158" s="1"/>
      <c r="RN158" s="1"/>
      <c r="RO158" s="1"/>
      <c r="RP158" s="1"/>
      <c r="RQ158" s="1"/>
      <c r="RR158" s="1"/>
      <c r="RS158" s="1"/>
      <c r="RT158" s="1"/>
      <c r="RU158" s="1"/>
      <c r="RV158" s="1"/>
      <c r="RW158" s="1"/>
      <c r="RX158" s="1"/>
      <c r="RY158" s="1"/>
      <c r="RZ158" s="1"/>
      <c r="SA158" s="1"/>
      <c r="SB158" s="1"/>
      <c r="SC158" s="1"/>
      <c r="SD158" s="1"/>
      <c r="SE158" s="1"/>
      <c r="SF158" s="1"/>
      <c r="SG158" s="1"/>
      <c r="SH158" s="1"/>
      <c r="SI158" s="1"/>
      <c r="SJ158" s="1"/>
      <c r="SK158" s="1"/>
      <c r="SL158" s="1"/>
      <c r="SM158" s="1"/>
      <c r="SN158" s="1"/>
      <c r="SO158" s="1"/>
      <c r="SP158" s="1"/>
      <c r="SQ158" s="1"/>
      <c r="SR158" s="1"/>
      <c r="SS158" s="1"/>
      <c r="ST158" s="1"/>
      <c r="SU158" s="1"/>
      <c r="SV158" s="1"/>
      <c r="SW158" s="1"/>
      <c r="SX158" s="1"/>
      <c r="SY158" s="1"/>
      <c r="SZ158" s="1"/>
      <c r="TA158" s="1"/>
      <c r="TB158" s="1"/>
      <c r="TC158" s="1"/>
      <c r="TD158" s="1"/>
      <c r="TE158" s="1"/>
      <c r="TF158" s="1"/>
      <c r="TG158" s="1"/>
      <c r="TH158" s="1"/>
      <c r="TI158" s="1"/>
      <c r="TJ158" s="1"/>
      <c r="TK158" s="1"/>
      <c r="TL158" s="1"/>
      <c r="TM158" s="1"/>
      <c r="TN158" s="1"/>
      <c r="TO158" s="1"/>
      <c r="TP158" s="1"/>
      <c r="TQ158" s="1"/>
      <c r="TR158" s="1"/>
      <c r="TS158" s="1"/>
      <c r="TT158" s="1"/>
      <c r="TU158" s="1"/>
      <c r="TV158" s="1"/>
      <c r="TW158" s="1"/>
      <c r="TX158" s="1"/>
      <c r="TY158" s="1"/>
      <c r="TZ158" s="1"/>
      <c r="UA158" s="1"/>
      <c r="UB158" s="1"/>
      <c r="UC158" s="1"/>
      <c r="UD158" s="1"/>
      <c r="UE158" s="1"/>
      <c r="UF158" s="1"/>
      <c r="UG158" s="1"/>
      <c r="UH158" s="1"/>
      <c r="UI158" s="1"/>
      <c r="UJ158" s="1"/>
      <c r="UK158" s="1"/>
      <c r="UL158" s="1"/>
      <c r="UM158" s="1"/>
      <c r="UN158" s="1"/>
      <c r="UO158" s="1"/>
      <c r="UP158" s="1"/>
      <c r="UQ158" s="1"/>
      <c r="UR158" s="1"/>
      <c r="US158" s="1"/>
      <c r="UT158" s="1"/>
      <c r="UU158" s="1"/>
      <c r="UV158" s="1"/>
      <c r="UW158" s="1"/>
      <c r="UX158" s="1"/>
      <c r="UY158" s="1"/>
      <c r="UZ158" s="1"/>
      <c r="VA158" s="1"/>
      <c r="VB158" s="1"/>
      <c r="VC158" s="1"/>
      <c r="VD158" s="1"/>
      <c r="VE158" s="1"/>
      <c r="VF158" s="1"/>
      <c r="VG158" s="1"/>
      <c r="VH158" s="1"/>
      <c r="VI158" s="1"/>
      <c r="VJ158" s="1"/>
      <c r="VK158" s="1"/>
      <c r="VL158" s="1"/>
      <c r="VM158" s="1"/>
      <c r="VN158" s="1"/>
      <c r="VO158" s="1"/>
      <c r="VP158" s="1"/>
      <c r="VQ158" s="1"/>
      <c r="VR158" s="1"/>
      <c r="VS158" s="1"/>
      <c r="VT158" s="1"/>
      <c r="VU158" s="1"/>
      <c r="VV158" s="1"/>
      <c r="VW158" s="1"/>
      <c r="VX158" s="1"/>
      <c r="VY158" s="1"/>
      <c r="VZ158" s="1"/>
      <c r="WA158" s="1"/>
      <c r="WB158" s="1"/>
      <c r="WC158" s="1"/>
      <c r="WD158" s="1"/>
      <c r="WE158" s="1"/>
      <c r="WF158" s="1"/>
      <c r="WG158" s="1"/>
      <c r="WH158" s="1"/>
      <c r="WI158" s="1"/>
      <c r="WJ158" s="1"/>
      <c r="WK158" s="1"/>
      <c r="WL158" s="1"/>
      <c r="WM158" s="1"/>
      <c r="WN158" s="1"/>
      <c r="WO158" s="1"/>
      <c r="WP158" s="1"/>
      <c r="WQ158" s="1"/>
      <c r="WR158" s="1"/>
      <c r="WS158" s="1"/>
      <c r="WT158" s="1"/>
      <c r="WU158" s="1"/>
      <c r="WV158" s="1"/>
      <c r="WW158" s="1"/>
      <c r="WX158" s="1"/>
      <c r="WY158" s="1"/>
      <c r="WZ158" s="1"/>
      <c r="XA158" s="1"/>
      <c r="XB158" s="1"/>
      <c r="XC158" s="1"/>
      <c r="XD158" s="1"/>
      <c r="XE158" s="1"/>
      <c r="XF158" s="1"/>
      <c r="XG158" s="1"/>
      <c r="XH158" s="1"/>
      <c r="XI158" s="1"/>
      <c r="XJ158" s="1"/>
      <c r="XK158" s="1"/>
      <c r="XL158" s="1"/>
      <c r="XM158" s="1"/>
      <c r="XN158" s="1"/>
      <c r="XO158" s="1"/>
      <c r="XP158" s="1"/>
      <c r="XQ158" s="1"/>
      <c r="XR158" s="1"/>
      <c r="XS158" s="1"/>
      <c r="XT158" s="1"/>
      <c r="XU158" s="1"/>
      <c r="XV158" s="1"/>
      <c r="XW158" s="1"/>
      <c r="XX158" s="1"/>
      <c r="XY158" s="1"/>
      <c r="XZ158" s="1"/>
      <c r="YA158" s="1"/>
      <c r="YB158" s="1"/>
      <c r="YC158" s="1"/>
      <c r="YD158" s="1"/>
      <c r="YE158" s="1"/>
      <c r="YF158" s="1"/>
      <c r="YG158" s="1"/>
      <c r="YH158" s="1"/>
      <c r="YI158" s="1"/>
      <c r="YJ158" s="1"/>
      <c r="YK158" s="1"/>
      <c r="YL158" s="1"/>
      <c r="YM158" s="1"/>
      <c r="YN158" s="1"/>
      <c r="YO158" s="1"/>
      <c r="YP158" s="1"/>
      <c r="YQ158" s="1"/>
      <c r="YR158" s="1"/>
      <c r="YS158" s="1"/>
      <c r="YT158" s="1"/>
      <c r="YU158" s="1"/>
      <c r="YV158" s="1"/>
      <c r="YW158" s="1"/>
      <c r="YX158" s="1"/>
      <c r="YY158" s="1"/>
      <c r="YZ158" s="1"/>
      <c r="ZA158" s="1"/>
      <c r="ZB158" s="1"/>
      <c r="ZC158" s="1"/>
      <c r="ZD158" s="1"/>
      <c r="ZE158" s="1"/>
      <c r="ZF158" s="1"/>
      <c r="ZG158" s="1"/>
      <c r="ZH158" s="1"/>
      <c r="ZI158" s="1"/>
      <c r="ZJ158" s="1"/>
      <c r="ZK158" s="1"/>
      <c r="ZL158" s="1"/>
      <c r="ZM158" s="1"/>
      <c r="ZN158" s="1"/>
      <c r="ZO158" s="1"/>
      <c r="ZP158" s="1"/>
      <c r="ZQ158" s="1"/>
      <c r="ZR158" s="1"/>
      <c r="ZS158" s="1"/>
      <c r="ZT158" s="1"/>
      <c r="ZU158" s="1"/>
      <c r="ZV158" s="1"/>
      <c r="ZW158" s="1"/>
      <c r="ZX158" s="1"/>
      <c r="ZY158" s="1"/>
      <c r="ZZ158" s="1"/>
      <c r="AAA158" s="1"/>
      <c r="AAB158" s="1"/>
      <c r="AAC158" s="1"/>
      <c r="AAD158" s="1"/>
      <c r="AAE158" s="1"/>
      <c r="AAF158" s="1"/>
      <c r="AAG158" s="1"/>
      <c r="AAH158" s="1"/>
      <c r="AAI158" s="1"/>
      <c r="AAJ158" s="1"/>
      <c r="AAK158" s="1"/>
      <c r="AAL158" s="1"/>
      <c r="AAM158" s="1"/>
      <c r="AAN158" s="1"/>
      <c r="AAO158" s="1"/>
      <c r="AAP158" s="1"/>
      <c r="AAQ158" s="1"/>
      <c r="AAR158" s="1"/>
      <c r="AAS158" s="1"/>
      <c r="AAT158" s="1"/>
      <c r="AAU158" s="1"/>
      <c r="AAV158" s="1"/>
      <c r="AAW158" s="1"/>
      <c r="AAX158" s="1"/>
      <c r="AAY158" s="1"/>
      <c r="AAZ158" s="1"/>
      <c r="ABA158" s="1"/>
      <c r="ABB158" s="1"/>
      <c r="ABC158" s="1"/>
      <c r="ABD158" s="1"/>
      <c r="ABE158" s="1"/>
      <c r="ABF158" s="1"/>
      <c r="ABG158" s="1"/>
      <c r="ABH158" s="1"/>
      <c r="ABI158" s="1"/>
      <c r="ABJ158" s="1"/>
      <c r="ABK158" s="1"/>
      <c r="ABL158" s="1"/>
      <c r="ABM158" s="1"/>
      <c r="ABN158" s="1"/>
      <c r="ABO158" s="1"/>
      <c r="ABP158" s="1"/>
      <c r="ABQ158" s="1"/>
      <c r="ABR158" s="1"/>
      <c r="ABS158" s="1"/>
      <c r="ABT158" s="1"/>
      <c r="ABU158" s="1"/>
      <c r="ABV158" s="1"/>
      <c r="ABW158" s="1"/>
      <c r="ABX158" s="1"/>
      <c r="ABY158" s="1"/>
      <c r="ABZ158" s="1"/>
      <c r="ACA158" s="1"/>
      <c r="ACB158" s="1"/>
      <c r="ACC158" s="1"/>
      <c r="ACD158" s="1"/>
      <c r="ACE158" s="1"/>
      <c r="ACF158" s="1"/>
      <c r="ACG158" s="1"/>
      <c r="ACH158" s="1"/>
      <c r="ACI158" s="1"/>
      <c r="ACJ158" s="1"/>
      <c r="ACK158" s="1"/>
      <c r="ACL158" s="1"/>
      <c r="ACM158" s="1"/>
      <c r="ACN158" s="1"/>
      <c r="ACO158" s="1"/>
      <c r="ACP158" s="1"/>
      <c r="ACQ158" s="1"/>
      <c r="ACR158" s="1"/>
      <c r="ACS158" s="1"/>
      <c r="ACT158" s="1"/>
      <c r="ACU158" s="1"/>
      <c r="ACV158" s="1"/>
      <c r="ACW158" s="1"/>
      <c r="ACX158" s="1"/>
      <c r="ACY158" s="1"/>
      <c r="ACZ158" s="1"/>
      <c r="ADA158" s="1"/>
      <c r="ADB158" s="1"/>
      <c r="ADC158" s="1"/>
      <c r="ADD158" s="1"/>
      <c r="ADE158" s="1"/>
      <c r="ADF158" s="1"/>
      <c r="ADG158" s="1"/>
      <c r="ADH158" s="1"/>
      <c r="ADI158" s="1"/>
      <c r="ADJ158" s="1"/>
      <c r="ADK158" s="1"/>
      <c r="ADL158" s="1"/>
      <c r="ADM158" s="1"/>
      <c r="ADN158" s="1"/>
      <c r="ADO158" s="1"/>
      <c r="ADP158" s="1"/>
      <c r="ADQ158" s="1"/>
      <c r="ADR158" s="1"/>
      <c r="ADS158" s="1"/>
      <c r="ADT158" s="1"/>
      <c r="ADU158" s="1"/>
      <c r="ADV158" s="1"/>
      <c r="ADW158" s="1"/>
      <c r="ADX158" s="1"/>
      <c r="ADY158" s="1"/>
      <c r="ADZ158" s="1"/>
      <c r="AEA158" s="1"/>
      <c r="AEB158" s="1"/>
      <c r="AEC158" s="1"/>
      <c r="AED158" s="1"/>
      <c r="AEE158" s="1"/>
      <c r="AEF158" s="1"/>
      <c r="AEG158" s="1"/>
      <c r="AEH158" s="1"/>
      <c r="AEI158" s="1"/>
      <c r="AEJ158" s="1"/>
      <c r="AEK158" s="1"/>
      <c r="AEL158" s="1"/>
      <c r="AEM158" s="1"/>
      <c r="AEN158" s="1"/>
      <c r="AEO158" s="1"/>
      <c r="AEP158" s="1"/>
      <c r="AEQ158" s="1"/>
      <c r="AER158" s="1"/>
      <c r="AES158" s="1"/>
      <c r="AET158" s="1"/>
      <c r="AEU158" s="1"/>
      <c r="AEV158" s="1"/>
      <c r="AEW158" s="1"/>
      <c r="AEX158" s="1"/>
      <c r="AEY158" s="1"/>
      <c r="AEZ158" s="1"/>
      <c r="AFA158" s="1"/>
      <c r="AFB158" s="1"/>
      <c r="AFC158" s="1"/>
      <c r="AFD158" s="1"/>
      <c r="AFE158" s="1"/>
      <c r="AFF158" s="1"/>
      <c r="AFG158" s="1"/>
      <c r="AFH158" s="1"/>
      <c r="AFI158" s="1"/>
      <c r="AFJ158" s="1"/>
      <c r="AFK158" s="1"/>
      <c r="AFL158" s="1"/>
      <c r="AFM158" s="1"/>
      <c r="AFN158" s="1"/>
      <c r="AFO158" s="1"/>
      <c r="AFP158" s="1"/>
      <c r="AFQ158" s="1"/>
      <c r="AFR158" s="1"/>
      <c r="AFS158" s="1"/>
      <c r="AFT158" s="1"/>
      <c r="AFU158" s="1"/>
      <c r="AFV158" s="1"/>
      <c r="AFW158" s="1"/>
      <c r="AFX158" s="1"/>
      <c r="AFY158" s="1"/>
      <c r="AFZ158" s="1"/>
      <c r="AGA158" s="1"/>
      <c r="AGB158" s="1"/>
      <c r="AGC158" s="1"/>
      <c r="AGD158" s="1"/>
      <c r="AGE158" s="1"/>
      <c r="AGF158" s="1"/>
      <c r="AGG158" s="1"/>
      <c r="AGH158" s="1"/>
      <c r="AGI158" s="1"/>
      <c r="AGJ158" s="1"/>
      <c r="AGK158" s="1"/>
      <c r="AGL158" s="1"/>
      <c r="AGM158" s="1"/>
      <c r="AGN158" s="1"/>
      <c r="AGO158" s="1"/>
      <c r="AGP158" s="1"/>
      <c r="AGQ158" s="1"/>
      <c r="AGR158" s="1"/>
      <c r="AGS158" s="1"/>
      <c r="AGT158" s="1"/>
      <c r="AGU158" s="1"/>
      <c r="AGV158" s="1"/>
      <c r="AGW158" s="1"/>
      <c r="AGX158" s="1"/>
      <c r="AGY158" s="1"/>
      <c r="AGZ158" s="1"/>
      <c r="AHA158" s="1"/>
      <c r="AHB158" s="1"/>
      <c r="AHC158" s="1"/>
      <c r="AHD158" s="1"/>
      <c r="AHE158" s="1"/>
      <c r="AHF158" s="1"/>
      <c r="AHG158" s="1"/>
      <c r="AHH158" s="1"/>
      <c r="AHI158" s="1"/>
      <c r="AHJ158" s="1"/>
      <c r="AHK158" s="1"/>
      <c r="AHL158" s="1"/>
      <c r="AHM158" s="1"/>
      <c r="AHN158" s="1"/>
      <c r="AHO158" s="1"/>
      <c r="AHP158" s="1"/>
      <c r="AHQ158" s="1"/>
      <c r="AHR158" s="1"/>
      <c r="AHS158" s="1"/>
      <c r="AHT158" s="1"/>
      <c r="AHU158" s="1"/>
      <c r="AHV158" s="1"/>
      <c r="AHW158" s="1"/>
      <c r="AHX158" s="1"/>
      <c r="AHY158" s="1"/>
      <c r="AHZ158" s="1"/>
      <c r="AIA158" s="1"/>
      <c r="AIB158" s="1"/>
      <c r="AIC158" s="1"/>
      <c r="AID158" s="1"/>
      <c r="AIE158" s="1"/>
      <c r="AIF158" s="1"/>
      <c r="AIG158" s="1"/>
      <c r="AIH158" s="1"/>
      <c r="AII158" s="1"/>
      <c r="AIJ158" s="1"/>
      <c r="AIK158" s="1"/>
      <c r="AIL158" s="1"/>
      <c r="AIM158" s="1"/>
      <c r="AIN158" s="1"/>
      <c r="AIO158" s="1"/>
      <c r="AIP158" s="1"/>
      <c r="AIQ158" s="1"/>
      <c r="AIR158" s="1"/>
      <c r="AIS158" s="1"/>
      <c r="AIT158" s="1"/>
      <c r="AIU158" s="1"/>
      <c r="AIV158" s="1"/>
      <c r="AIW158" s="1"/>
      <c r="AIX158" s="1"/>
      <c r="AIY158" s="1"/>
      <c r="AIZ158" s="1"/>
      <c r="AJA158" s="1"/>
      <c r="AJB158" s="1"/>
      <c r="AJC158" s="1"/>
      <c r="AJD158" s="1"/>
      <c r="AJE158" s="1"/>
      <c r="AJF158" s="1"/>
      <c r="AJG158" s="1"/>
      <c r="AJH158" s="1"/>
      <c r="AJI158" s="1"/>
      <c r="AJJ158" s="1"/>
      <c r="AJK158" s="1"/>
      <c r="AJL158" s="1"/>
      <c r="AJM158" s="1"/>
      <c r="AJN158" s="1"/>
      <c r="AJO158" s="1"/>
      <c r="AJP158" s="1"/>
      <c r="AJQ158" s="1"/>
      <c r="AJR158" s="1"/>
      <c r="AJS158" s="1"/>
      <c r="AJT158" s="1"/>
      <c r="AJU158" s="1"/>
      <c r="AJV158" s="1"/>
      <c r="AJW158" s="1"/>
      <c r="AJX158" s="1"/>
      <c r="AJY158" s="1"/>
      <c r="AJZ158" s="1"/>
      <c r="AKA158" s="1"/>
      <c r="AKB158" s="1"/>
      <c r="AKC158" s="1"/>
      <c r="AKD158" s="1"/>
      <c r="AKE158" s="1"/>
      <c r="AKF158" s="1"/>
      <c r="AKG158" s="1"/>
      <c r="AKH158" s="1"/>
      <c r="AKI158" s="1"/>
      <c r="AKJ158" s="1"/>
      <c r="AKK158" s="1"/>
      <c r="AKL158" s="1"/>
      <c r="AKM158" s="1"/>
      <c r="AKN158" s="1"/>
      <c r="AKO158" s="1"/>
      <c r="AKP158" s="1"/>
      <c r="AKQ158" s="1"/>
      <c r="AKR158" s="1"/>
      <c r="AKS158" s="1"/>
      <c r="AKT158" s="1"/>
      <c r="AKU158" s="1"/>
      <c r="AKV158" s="1"/>
      <c r="AKW158" s="1"/>
      <c r="AKX158" s="1"/>
      <c r="AKY158" s="1"/>
      <c r="AKZ158" s="1"/>
      <c r="ALA158" s="1"/>
      <c r="ALB158" s="1"/>
      <c r="ALC158" s="1"/>
      <c r="ALD158" s="1"/>
      <c r="ALE158" s="1"/>
      <c r="ALF158" s="1"/>
      <c r="ALG158" s="1"/>
      <c r="ALH158" s="1"/>
      <c r="ALI158" s="1"/>
      <c r="ALJ158" s="1"/>
      <c r="ALK158" s="1"/>
      <c r="ALL158" s="1"/>
      <c r="ALM158" s="1"/>
      <c r="ALN158" s="1"/>
      <c r="ALO158" s="1"/>
      <c r="ALP158" s="1"/>
      <c r="ALQ158" s="1"/>
      <c r="ALR158" s="1"/>
      <c r="ALS158" s="1"/>
      <c r="ALT158" s="1"/>
      <c r="ALU158" s="1"/>
      <c r="ALV158" s="1"/>
      <c r="ALW158" s="1"/>
      <c r="ALX158" s="1"/>
      <c r="ALY158" s="1"/>
      <c r="ALZ158" s="1"/>
      <c r="AMA158" s="1"/>
      <c r="AMB158" s="1"/>
      <c r="AMC158" s="1"/>
      <c r="AMD158" s="1"/>
      <c r="AME158" s="1"/>
      <c r="AMF158" s="1"/>
      <c r="AMG158" s="1"/>
      <c r="AMH158" s="1"/>
      <c r="AMI158" s="1"/>
      <c r="AMJ158" s="1"/>
    </row>
    <row r="159" customFormat="false" ht="2.25" hidden="false" customHeight="true" outlineLevel="0" collapsed="false">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c r="IY159" s="1"/>
      <c r="IZ159" s="1"/>
      <c r="JA159" s="1"/>
      <c r="JB159" s="1"/>
      <c r="JC159" s="1"/>
      <c r="JD159" s="1"/>
      <c r="JE159" s="1"/>
      <c r="JF159" s="1"/>
      <c r="JG159" s="1"/>
      <c r="JH159" s="1"/>
      <c r="JI159" s="1"/>
      <c r="JJ159" s="1"/>
      <c r="JK159" s="1"/>
      <c r="JL159" s="1"/>
      <c r="JM159" s="1"/>
      <c r="JN159" s="1"/>
      <c r="JO159" s="1"/>
      <c r="JP159" s="1"/>
      <c r="JQ159" s="1"/>
      <c r="JR159" s="1"/>
      <c r="JS159" s="1"/>
      <c r="JT159" s="1"/>
      <c r="JU159" s="1"/>
      <c r="JV159" s="1"/>
      <c r="JW159" s="1"/>
      <c r="JX159" s="1"/>
      <c r="JY159" s="1"/>
      <c r="JZ159" s="1"/>
      <c r="KA159" s="1"/>
      <c r="KB159" s="1"/>
      <c r="KC159" s="1"/>
      <c r="KD159" s="1"/>
      <c r="KE159" s="1"/>
      <c r="KF159" s="1"/>
      <c r="KG159" s="1"/>
      <c r="KH159" s="1"/>
      <c r="KI159" s="1"/>
      <c r="KJ159" s="1"/>
      <c r="KK159" s="1"/>
      <c r="KL159" s="1"/>
      <c r="KM159" s="1"/>
      <c r="KN159" s="1"/>
      <c r="KO159" s="1"/>
      <c r="KP159" s="1"/>
      <c r="KQ159" s="1"/>
      <c r="KR159" s="1"/>
      <c r="KS159" s="1"/>
      <c r="KT159" s="1"/>
      <c r="KU159" s="1"/>
      <c r="KV159" s="1"/>
      <c r="KW159" s="1"/>
      <c r="KX159" s="1"/>
      <c r="KY159" s="1"/>
      <c r="KZ159" s="1"/>
      <c r="LA159" s="1"/>
      <c r="LB159" s="1"/>
      <c r="LC159" s="1"/>
      <c r="LD159" s="1"/>
      <c r="LE159" s="1"/>
      <c r="LF159" s="1"/>
      <c r="LG159" s="1"/>
      <c r="LH159" s="1"/>
      <c r="LI159" s="1"/>
      <c r="LJ159" s="1"/>
      <c r="LK159" s="1"/>
      <c r="LL159" s="1"/>
      <c r="LM159" s="1"/>
      <c r="LN159" s="1"/>
      <c r="LO159" s="1"/>
      <c r="LP159" s="1"/>
      <c r="LQ159" s="1"/>
      <c r="LR159" s="1"/>
      <c r="LS159" s="1"/>
      <c r="LT159" s="1"/>
      <c r="LU159" s="1"/>
      <c r="LV159" s="1"/>
      <c r="LW159" s="1"/>
      <c r="LX159" s="1"/>
      <c r="LY159" s="1"/>
      <c r="LZ159" s="1"/>
      <c r="MA159" s="1"/>
      <c r="MB159" s="1"/>
      <c r="MC159" s="1"/>
      <c r="MD159" s="1"/>
      <c r="ME159" s="1"/>
      <c r="MF159" s="1"/>
      <c r="MG159" s="1"/>
      <c r="MH159" s="1"/>
      <c r="MI159" s="1"/>
      <c r="MJ159" s="1"/>
      <c r="MK159" s="1"/>
      <c r="ML159" s="1"/>
      <c r="MM159" s="1"/>
      <c r="MN159" s="1"/>
      <c r="MO159" s="1"/>
      <c r="MP159" s="1"/>
      <c r="MQ159" s="1"/>
      <c r="MR159" s="1"/>
      <c r="MS159" s="1"/>
      <c r="MT159" s="1"/>
      <c r="MU159" s="1"/>
      <c r="MV159" s="1"/>
      <c r="MW159" s="1"/>
      <c r="MX159" s="1"/>
      <c r="MY159" s="1"/>
      <c r="MZ159" s="1"/>
      <c r="NA159" s="1"/>
      <c r="NB159" s="1"/>
      <c r="NC159" s="1"/>
      <c r="ND159" s="1"/>
      <c r="NE159" s="1"/>
      <c r="NF159" s="1"/>
      <c r="NG159" s="1"/>
      <c r="NH159" s="1"/>
      <c r="NI159" s="1"/>
      <c r="NJ159" s="1"/>
      <c r="NK159" s="1"/>
      <c r="NL159" s="1"/>
      <c r="NM159" s="1"/>
      <c r="NN159" s="1"/>
      <c r="NO159" s="1"/>
      <c r="NP159" s="1"/>
      <c r="NQ159" s="1"/>
      <c r="NR159" s="1"/>
      <c r="NS159" s="1"/>
      <c r="NT159" s="1"/>
      <c r="NU159" s="1"/>
      <c r="NV159" s="1"/>
      <c r="NW159" s="1"/>
      <c r="NX159" s="1"/>
      <c r="NY159" s="1"/>
      <c r="NZ159" s="1"/>
      <c r="OA159" s="1"/>
      <c r="OB159" s="1"/>
      <c r="OC159" s="1"/>
      <c r="OD159" s="1"/>
      <c r="OE159" s="1"/>
      <c r="OF159" s="1"/>
      <c r="OG159" s="1"/>
      <c r="OH159" s="1"/>
      <c r="OI159" s="1"/>
      <c r="OJ159" s="1"/>
      <c r="OK159" s="1"/>
      <c r="OL159" s="1"/>
      <c r="OM159" s="1"/>
      <c r="ON159" s="1"/>
      <c r="OO159" s="1"/>
      <c r="OP159" s="1"/>
      <c r="OQ159" s="1"/>
      <c r="OR159" s="1"/>
      <c r="OS159" s="1"/>
      <c r="OT159" s="1"/>
      <c r="OU159" s="1"/>
      <c r="OV159" s="1"/>
      <c r="OW159" s="1"/>
      <c r="OX159" s="1"/>
      <c r="OY159" s="1"/>
      <c r="OZ159" s="1"/>
      <c r="PA159" s="1"/>
      <c r="PB159" s="1"/>
      <c r="PC159" s="1"/>
      <c r="PD159" s="1"/>
      <c r="PE159" s="1"/>
      <c r="PF159" s="1"/>
      <c r="PG159" s="1"/>
      <c r="PH159" s="1"/>
      <c r="PI159" s="1"/>
      <c r="PJ159" s="1"/>
      <c r="PK159" s="1"/>
      <c r="PL159" s="1"/>
      <c r="PM159" s="1"/>
      <c r="PN159" s="1"/>
      <c r="PO159" s="1"/>
      <c r="PP159" s="1"/>
      <c r="PQ159" s="1"/>
      <c r="PR159" s="1"/>
      <c r="PS159" s="1"/>
      <c r="PT159" s="1"/>
      <c r="PU159" s="1"/>
      <c r="PV159" s="1"/>
      <c r="PW159" s="1"/>
      <c r="PX159" s="1"/>
      <c r="PY159" s="1"/>
      <c r="PZ159" s="1"/>
      <c r="QA159" s="1"/>
      <c r="QB159" s="1"/>
      <c r="QC159" s="1"/>
      <c r="QD159" s="1"/>
      <c r="QE159" s="1"/>
      <c r="QF159" s="1"/>
      <c r="QG159" s="1"/>
      <c r="QH159" s="1"/>
      <c r="QI159" s="1"/>
      <c r="QJ159" s="1"/>
      <c r="QK159" s="1"/>
      <c r="QL159" s="1"/>
      <c r="QM159" s="1"/>
      <c r="QN159" s="1"/>
      <c r="QO159" s="1"/>
      <c r="QP159" s="1"/>
      <c r="QQ159" s="1"/>
      <c r="QR159" s="1"/>
      <c r="QS159" s="1"/>
      <c r="QT159" s="1"/>
      <c r="QU159" s="1"/>
      <c r="QV159" s="1"/>
      <c r="QW159" s="1"/>
      <c r="QX159" s="1"/>
      <c r="QY159" s="1"/>
      <c r="QZ159" s="1"/>
      <c r="RA159" s="1"/>
      <c r="RB159" s="1"/>
      <c r="RC159" s="1"/>
      <c r="RD159" s="1"/>
      <c r="RE159" s="1"/>
      <c r="RF159" s="1"/>
      <c r="RG159" s="1"/>
      <c r="RH159" s="1"/>
      <c r="RI159" s="1"/>
      <c r="RJ159" s="1"/>
      <c r="RK159" s="1"/>
      <c r="RL159" s="1"/>
      <c r="RM159" s="1"/>
      <c r="RN159" s="1"/>
      <c r="RO159" s="1"/>
      <c r="RP159" s="1"/>
      <c r="RQ159" s="1"/>
      <c r="RR159" s="1"/>
      <c r="RS159" s="1"/>
      <c r="RT159" s="1"/>
      <c r="RU159" s="1"/>
      <c r="RV159" s="1"/>
      <c r="RW159" s="1"/>
      <c r="RX159" s="1"/>
      <c r="RY159" s="1"/>
      <c r="RZ159" s="1"/>
      <c r="SA159" s="1"/>
      <c r="SB159" s="1"/>
      <c r="SC159" s="1"/>
      <c r="SD159" s="1"/>
      <c r="SE159" s="1"/>
      <c r="SF159" s="1"/>
      <c r="SG159" s="1"/>
      <c r="SH159" s="1"/>
      <c r="SI159" s="1"/>
      <c r="SJ159" s="1"/>
      <c r="SK159" s="1"/>
      <c r="SL159" s="1"/>
      <c r="SM159" s="1"/>
      <c r="SN159" s="1"/>
      <c r="SO159" s="1"/>
      <c r="SP159" s="1"/>
      <c r="SQ159" s="1"/>
      <c r="SR159" s="1"/>
      <c r="SS159" s="1"/>
      <c r="ST159" s="1"/>
      <c r="SU159" s="1"/>
      <c r="SV159" s="1"/>
      <c r="SW159" s="1"/>
      <c r="SX159" s="1"/>
      <c r="SY159" s="1"/>
      <c r="SZ159" s="1"/>
      <c r="TA159" s="1"/>
      <c r="TB159" s="1"/>
      <c r="TC159" s="1"/>
      <c r="TD159" s="1"/>
      <c r="TE159" s="1"/>
      <c r="TF159" s="1"/>
      <c r="TG159" s="1"/>
      <c r="TH159" s="1"/>
      <c r="TI159" s="1"/>
      <c r="TJ159" s="1"/>
      <c r="TK159" s="1"/>
      <c r="TL159" s="1"/>
      <c r="TM159" s="1"/>
      <c r="TN159" s="1"/>
      <c r="TO159" s="1"/>
      <c r="TP159" s="1"/>
      <c r="TQ159" s="1"/>
      <c r="TR159" s="1"/>
      <c r="TS159" s="1"/>
      <c r="TT159" s="1"/>
      <c r="TU159" s="1"/>
      <c r="TV159" s="1"/>
      <c r="TW159" s="1"/>
      <c r="TX159" s="1"/>
      <c r="TY159" s="1"/>
      <c r="TZ159" s="1"/>
      <c r="UA159" s="1"/>
      <c r="UB159" s="1"/>
      <c r="UC159" s="1"/>
      <c r="UD159" s="1"/>
      <c r="UE159" s="1"/>
      <c r="UF159" s="1"/>
      <c r="UG159" s="1"/>
      <c r="UH159" s="1"/>
      <c r="UI159" s="1"/>
      <c r="UJ159" s="1"/>
      <c r="UK159" s="1"/>
      <c r="UL159" s="1"/>
      <c r="UM159" s="1"/>
      <c r="UN159" s="1"/>
      <c r="UO159" s="1"/>
      <c r="UP159" s="1"/>
      <c r="UQ159" s="1"/>
      <c r="UR159" s="1"/>
      <c r="US159" s="1"/>
      <c r="UT159" s="1"/>
      <c r="UU159" s="1"/>
      <c r="UV159" s="1"/>
      <c r="UW159" s="1"/>
      <c r="UX159" s="1"/>
      <c r="UY159" s="1"/>
      <c r="UZ159" s="1"/>
      <c r="VA159" s="1"/>
      <c r="VB159" s="1"/>
      <c r="VC159" s="1"/>
      <c r="VD159" s="1"/>
      <c r="VE159" s="1"/>
      <c r="VF159" s="1"/>
      <c r="VG159" s="1"/>
      <c r="VH159" s="1"/>
      <c r="VI159" s="1"/>
      <c r="VJ159" s="1"/>
      <c r="VK159" s="1"/>
      <c r="VL159" s="1"/>
      <c r="VM159" s="1"/>
      <c r="VN159" s="1"/>
      <c r="VO159" s="1"/>
      <c r="VP159" s="1"/>
      <c r="VQ159" s="1"/>
      <c r="VR159" s="1"/>
      <c r="VS159" s="1"/>
      <c r="VT159" s="1"/>
      <c r="VU159" s="1"/>
      <c r="VV159" s="1"/>
      <c r="VW159" s="1"/>
      <c r="VX159" s="1"/>
      <c r="VY159" s="1"/>
      <c r="VZ159" s="1"/>
      <c r="WA159" s="1"/>
      <c r="WB159" s="1"/>
      <c r="WC159" s="1"/>
      <c r="WD159" s="1"/>
      <c r="WE159" s="1"/>
      <c r="WF159" s="1"/>
      <c r="WG159" s="1"/>
      <c r="WH159" s="1"/>
      <c r="WI159" s="1"/>
      <c r="WJ159" s="1"/>
      <c r="WK159" s="1"/>
      <c r="WL159" s="1"/>
      <c r="WM159" s="1"/>
      <c r="WN159" s="1"/>
      <c r="WO159" s="1"/>
      <c r="WP159" s="1"/>
      <c r="WQ159" s="1"/>
      <c r="WR159" s="1"/>
      <c r="WS159" s="1"/>
      <c r="WT159" s="1"/>
      <c r="WU159" s="1"/>
      <c r="WV159" s="1"/>
      <c r="WW159" s="1"/>
      <c r="WX159" s="1"/>
      <c r="WY159" s="1"/>
      <c r="WZ159" s="1"/>
      <c r="XA159" s="1"/>
      <c r="XB159" s="1"/>
      <c r="XC159" s="1"/>
      <c r="XD159" s="1"/>
      <c r="XE159" s="1"/>
      <c r="XF159" s="1"/>
      <c r="XG159" s="1"/>
      <c r="XH159" s="1"/>
      <c r="XI159" s="1"/>
      <c r="XJ159" s="1"/>
      <c r="XK159" s="1"/>
      <c r="XL159" s="1"/>
      <c r="XM159" s="1"/>
      <c r="XN159" s="1"/>
      <c r="XO159" s="1"/>
      <c r="XP159" s="1"/>
      <c r="XQ159" s="1"/>
      <c r="XR159" s="1"/>
      <c r="XS159" s="1"/>
      <c r="XT159" s="1"/>
      <c r="XU159" s="1"/>
      <c r="XV159" s="1"/>
      <c r="XW159" s="1"/>
      <c r="XX159" s="1"/>
      <c r="XY159" s="1"/>
      <c r="XZ159" s="1"/>
      <c r="YA159" s="1"/>
      <c r="YB159" s="1"/>
      <c r="YC159" s="1"/>
      <c r="YD159" s="1"/>
      <c r="YE159" s="1"/>
      <c r="YF159" s="1"/>
      <c r="YG159" s="1"/>
      <c r="YH159" s="1"/>
      <c r="YI159" s="1"/>
      <c r="YJ159" s="1"/>
      <c r="YK159" s="1"/>
      <c r="YL159" s="1"/>
      <c r="YM159" s="1"/>
      <c r="YN159" s="1"/>
      <c r="YO159" s="1"/>
      <c r="YP159" s="1"/>
      <c r="YQ159" s="1"/>
      <c r="YR159" s="1"/>
      <c r="YS159" s="1"/>
      <c r="YT159" s="1"/>
      <c r="YU159" s="1"/>
      <c r="YV159" s="1"/>
      <c r="YW159" s="1"/>
      <c r="YX159" s="1"/>
      <c r="YY159" s="1"/>
      <c r="YZ159" s="1"/>
      <c r="ZA159" s="1"/>
      <c r="ZB159" s="1"/>
      <c r="ZC159" s="1"/>
      <c r="ZD159" s="1"/>
      <c r="ZE159" s="1"/>
      <c r="ZF159" s="1"/>
      <c r="ZG159" s="1"/>
      <c r="ZH159" s="1"/>
      <c r="ZI159" s="1"/>
      <c r="ZJ159" s="1"/>
      <c r="ZK159" s="1"/>
      <c r="ZL159" s="1"/>
      <c r="ZM159" s="1"/>
      <c r="ZN159" s="1"/>
      <c r="ZO159" s="1"/>
      <c r="ZP159" s="1"/>
      <c r="ZQ159" s="1"/>
      <c r="ZR159" s="1"/>
      <c r="ZS159" s="1"/>
      <c r="ZT159" s="1"/>
      <c r="ZU159" s="1"/>
      <c r="ZV159" s="1"/>
      <c r="ZW159" s="1"/>
      <c r="ZX159" s="1"/>
      <c r="ZY159" s="1"/>
      <c r="ZZ159" s="1"/>
      <c r="AAA159" s="1"/>
      <c r="AAB159" s="1"/>
      <c r="AAC159" s="1"/>
      <c r="AAD159" s="1"/>
      <c r="AAE159" s="1"/>
      <c r="AAF159" s="1"/>
      <c r="AAG159" s="1"/>
      <c r="AAH159" s="1"/>
      <c r="AAI159" s="1"/>
      <c r="AAJ159" s="1"/>
      <c r="AAK159" s="1"/>
      <c r="AAL159" s="1"/>
      <c r="AAM159" s="1"/>
      <c r="AAN159" s="1"/>
      <c r="AAO159" s="1"/>
      <c r="AAP159" s="1"/>
      <c r="AAQ159" s="1"/>
      <c r="AAR159" s="1"/>
      <c r="AAS159" s="1"/>
      <c r="AAT159" s="1"/>
      <c r="AAU159" s="1"/>
      <c r="AAV159" s="1"/>
      <c r="AAW159" s="1"/>
      <c r="AAX159" s="1"/>
      <c r="AAY159" s="1"/>
      <c r="AAZ159" s="1"/>
      <c r="ABA159" s="1"/>
      <c r="ABB159" s="1"/>
      <c r="ABC159" s="1"/>
      <c r="ABD159" s="1"/>
      <c r="ABE159" s="1"/>
      <c r="ABF159" s="1"/>
      <c r="ABG159" s="1"/>
      <c r="ABH159" s="1"/>
      <c r="ABI159" s="1"/>
      <c r="ABJ159" s="1"/>
      <c r="ABK159" s="1"/>
      <c r="ABL159" s="1"/>
      <c r="ABM159" s="1"/>
      <c r="ABN159" s="1"/>
      <c r="ABO159" s="1"/>
      <c r="ABP159" s="1"/>
      <c r="ABQ159" s="1"/>
      <c r="ABR159" s="1"/>
      <c r="ABS159" s="1"/>
      <c r="ABT159" s="1"/>
      <c r="ABU159" s="1"/>
      <c r="ABV159" s="1"/>
      <c r="ABW159" s="1"/>
      <c r="ABX159" s="1"/>
      <c r="ABY159" s="1"/>
      <c r="ABZ159" s="1"/>
      <c r="ACA159" s="1"/>
      <c r="ACB159" s="1"/>
      <c r="ACC159" s="1"/>
      <c r="ACD159" s="1"/>
      <c r="ACE159" s="1"/>
      <c r="ACF159" s="1"/>
      <c r="ACG159" s="1"/>
      <c r="ACH159" s="1"/>
      <c r="ACI159" s="1"/>
      <c r="ACJ159" s="1"/>
      <c r="ACK159" s="1"/>
      <c r="ACL159" s="1"/>
      <c r="ACM159" s="1"/>
      <c r="ACN159" s="1"/>
      <c r="ACO159" s="1"/>
      <c r="ACP159" s="1"/>
      <c r="ACQ159" s="1"/>
      <c r="ACR159" s="1"/>
      <c r="ACS159" s="1"/>
      <c r="ACT159" s="1"/>
      <c r="ACU159" s="1"/>
      <c r="ACV159" s="1"/>
      <c r="ACW159" s="1"/>
      <c r="ACX159" s="1"/>
      <c r="ACY159" s="1"/>
      <c r="ACZ159" s="1"/>
      <c r="ADA159" s="1"/>
      <c r="ADB159" s="1"/>
      <c r="ADC159" s="1"/>
      <c r="ADD159" s="1"/>
      <c r="ADE159" s="1"/>
      <c r="ADF159" s="1"/>
      <c r="ADG159" s="1"/>
      <c r="ADH159" s="1"/>
      <c r="ADI159" s="1"/>
      <c r="ADJ159" s="1"/>
      <c r="ADK159" s="1"/>
      <c r="ADL159" s="1"/>
      <c r="ADM159" s="1"/>
      <c r="ADN159" s="1"/>
      <c r="ADO159" s="1"/>
      <c r="ADP159" s="1"/>
      <c r="ADQ159" s="1"/>
      <c r="ADR159" s="1"/>
      <c r="ADS159" s="1"/>
      <c r="ADT159" s="1"/>
      <c r="ADU159" s="1"/>
      <c r="ADV159" s="1"/>
      <c r="ADW159" s="1"/>
      <c r="ADX159" s="1"/>
      <c r="ADY159" s="1"/>
      <c r="ADZ159" s="1"/>
      <c r="AEA159" s="1"/>
      <c r="AEB159" s="1"/>
      <c r="AEC159" s="1"/>
      <c r="AED159" s="1"/>
      <c r="AEE159" s="1"/>
      <c r="AEF159" s="1"/>
      <c r="AEG159" s="1"/>
      <c r="AEH159" s="1"/>
      <c r="AEI159" s="1"/>
      <c r="AEJ159" s="1"/>
      <c r="AEK159" s="1"/>
      <c r="AEL159" s="1"/>
      <c r="AEM159" s="1"/>
      <c r="AEN159" s="1"/>
      <c r="AEO159" s="1"/>
      <c r="AEP159" s="1"/>
      <c r="AEQ159" s="1"/>
      <c r="AER159" s="1"/>
      <c r="AES159" s="1"/>
      <c r="AET159" s="1"/>
      <c r="AEU159" s="1"/>
      <c r="AEV159" s="1"/>
      <c r="AEW159" s="1"/>
      <c r="AEX159" s="1"/>
      <c r="AEY159" s="1"/>
      <c r="AEZ159" s="1"/>
      <c r="AFA159" s="1"/>
      <c r="AFB159" s="1"/>
      <c r="AFC159" s="1"/>
      <c r="AFD159" s="1"/>
      <c r="AFE159" s="1"/>
      <c r="AFF159" s="1"/>
      <c r="AFG159" s="1"/>
      <c r="AFH159" s="1"/>
      <c r="AFI159" s="1"/>
      <c r="AFJ159" s="1"/>
      <c r="AFK159" s="1"/>
      <c r="AFL159" s="1"/>
      <c r="AFM159" s="1"/>
      <c r="AFN159" s="1"/>
      <c r="AFO159" s="1"/>
      <c r="AFP159" s="1"/>
      <c r="AFQ159" s="1"/>
      <c r="AFR159" s="1"/>
      <c r="AFS159" s="1"/>
      <c r="AFT159" s="1"/>
      <c r="AFU159" s="1"/>
      <c r="AFV159" s="1"/>
      <c r="AFW159" s="1"/>
      <c r="AFX159" s="1"/>
      <c r="AFY159" s="1"/>
      <c r="AFZ159" s="1"/>
      <c r="AGA159" s="1"/>
      <c r="AGB159" s="1"/>
      <c r="AGC159" s="1"/>
      <c r="AGD159" s="1"/>
      <c r="AGE159" s="1"/>
      <c r="AGF159" s="1"/>
      <c r="AGG159" s="1"/>
      <c r="AGH159" s="1"/>
      <c r="AGI159" s="1"/>
      <c r="AGJ159" s="1"/>
      <c r="AGK159" s="1"/>
      <c r="AGL159" s="1"/>
      <c r="AGM159" s="1"/>
      <c r="AGN159" s="1"/>
      <c r="AGO159" s="1"/>
      <c r="AGP159" s="1"/>
      <c r="AGQ159" s="1"/>
      <c r="AGR159" s="1"/>
      <c r="AGS159" s="1"/>
      <c r="AGT159" s="1"/>
      <c r="AGU159" s="1"/>
      <c r="AGV159" s="1"/>
      <c r="AGW159" s="1"/>
      <c r="AGX159" s="1"/>
      <c r="AGY159" s="1"/>
      <c r="AGZ159" s="1"/>
      <c r="AHA159" s="1"/>
      <c r="AHB159" s="1"/>
      <c r="AHC159" s="1"/>
      <c r="AHD159" s="1"/>
      <c r="AHE159" s="1"/>
      <c r="AHF159" s="1"/>
      <c r="AHG159" s="1"/>
      <c r="AHH159" s="1"/>
      <c r="AHI159" s="1"/>
      <c r="AHJ159" s="1"/>
      <c r="AHK159" s="1"/>
      <c r="AHL159" s="1"/>
      <c r="AHM159" s="1"/>
      <c r="AHN159" s="1"/>
      <c r="AHO159" s="1"/>
      <c r="AHP159" s="1"/>
      <c r="AHQ159" s="1"/>
      <c r="AHR159" s="1"/>
      <c r="AHS159" s="1"/>
      <c r="AHT159" s="1"/>
      <c r="AHU159" s="1"/>
      <c r="AHV159" s="1"/>
      <c r="AHW159" s="1"/>
      <c r="AHX159" s="1"/>
      <c r="AHY159" s="1"/>
      <c r="AHZ159" s="1"/>
      <c r="AIA159" s="1"/>
      <c r="AIB159" s="1"/>
      <c r="AIC159" s="1"/>
      <c r="AID159" s="1"/>
      <c r="AIE159" s="1"/>
      <c r="AIF159" s="1"/>
      <c r="AIG159" s="1"/>
      <c r="AIH159" s="1"/>
      <c r="AII159" s="1"/>
      <c r="AIJ159" s="1"/>
      <c r="AIK159" s="1"/>
      <c r="AIL159" s="1"/>
      <c r="AIM159" s="1"/>
      <c r="AIN159" s="1"/>
      <c r="AIO159" s="1"/>
      <c r="AIP159" s="1"/>
      <c r="AIQ159" s="1"/>
      <c r="AIR159" s="1"/>
      <c r="AIS159" s="1"/>
      <c r="AIT159" s="1"/>
      <c r="AIU159" s="1"/>
      <c r="AIV159" s="1"/>
      <c r="AIW159" s="1"/>
      <c r="AIX159" s="1"/>
      <c r="AIY159" s="1"/>
      <c r="AIZ159" s="1"/>
      <c r="AJA159" s="1"/>
      <c r="AJB159" s="1"/>
      <c r="AJC159" s="1"/>
      <c r="AJD159" s="1"/>
      <c r="AJE159" s="1"/>
      <c r="AJF159" s="1"/>
      <c r="AJG159" s="1"/>
      <c r="AJH159" s="1"/>
      <c r="AJI159" s="1"/>
      <c r="AJJ159" s="1"/>
      <c r="AJK159" s="1"/>
      <c r="AJL159" s="1"/>
      <c r="AJM159" s="1"/>
      <c r="AJN159" s="1"/>
      <c r="AJO159" s="1"/>
      <c r="AJP159" s="1"/>
      <c r="AJQ159" s="1"/>
      <c r="AJR159" s="1"/>
      <c r="AJS159" s="1"/>
      <c r="AJT159" s="1"/>
      <c r="AJU159" s="1"/>
      <c r="AJV159" s="1"/>
      <c r="AJW159" s="1"/>
      <c r="AJX159" s="1"/>
      <c r="AJY159" s="1"/>
      <c r="AJZ159" s="1"/>
      <c r="AKA159" s="1"/>
      <c r="AKB159" s="1"/>
      <c r="AKC159" s="1"/>
      <c r="AKD159" s="1"/>
      <c r="AKE159" s="1"/>
      <c r="AKF159" s="1"/>
      <c r="AKG159" s="1"/>
      <c r="AKH159" s="1"/>
      <c r="AKI159" s="1"/>
      <c r="AKJ159" s="1"/>
      <c r="AKK159" s="1"/>
      <c r="AKL159" s="1"/>
      <c r="AKM159" s="1"/>
      <c r="AKN159" s="1"/>
      <c r="AKO159" s="1"/>
      <c r="AKP159" s="1"/>
      <c r="AKQ159" s="1"/>
      <c r="AKR159" s="1"/>
      <c r="AKS159" s="1"/>
      <c r="AKT159" s="1"/>
      <c r="AKU159" s="1"/>
      <c r="AKV159" s="1"/>
      <c r="AKW159" s="1"/>
      <c r="AKX159" s="1"/>
      <c r="AKY159" s="1"/>
      <c r="AKZ159" s="1"/>
      <c r="ALA159" s="1"/>
      <c r="ALB159" s="1"/>
      <c r="ALC159" s="1"/>
      <c r="ALD159" s="1"/>
      <c r="ALE159" s="1"/>
      <c r="ALF159" s="1"/>
      <c r="ALG159" s="1"/>
      <c r="ALH159" s="1"/>
      <c r="ALI159" s="1"/>
      <c r="ALJ159" s="1"/>
      <c r="ALK159" s="1"/>
      <c r="ALL159" s="1"/>
      <c r="ALM159" s="1"/>
      <c r="ALN159" s="1"/>
      <c r="ALO159" s="1"/>
      <c r="ALP159" s="1"/>
      <c r="ALQ159" s="1"/>
      <c r="ALR159" s="1"/>
      <c r="ALS159" s="1"/>
      <c r="ALT159" s="1"/>
      <c r="ALU159" s="1"/>
      <c r="ALV159" s="1"/>
      <c r="ALW159" s="1"/>
      <c r="ALX159" s="1"/>
      <c r="ALY159" s="1"/>
      <c r="ALZ159" s="1"/>
      <c r="AMA159" s="1"/>
      <c r="AMB159" s="1"/>
      <c r="AMC159" s="1"/>
      <c r="AMD159" s="1"/>
      <c r="AME159" s="1"/>
      <c r="AMF159" s="1"/>
      <c r="AMG159" s="1"/>
      <c r="AMH159" s="1"/>
      <c r="AMI159" s="1"/>
      <c r="AMJ159" s="1"/>
    </row>
    <row r="160" customFormat="false" ht="10.5" hidden="false" customHeight="true" outlineLevel="0" collapsed="false">
      <c r="A160" s="136" t="s">
        <v>302</v>
      </c>
      <c r="B160" s="136"/>
      <c r="C160" s="136"/>
      <c r="D160" s="136"/>
      <c r="E160" s="136"/>
      <c r="F160" s="136"/>
      <c r="G160" s="219" t="s">
        <v>303</v>
      </c>
      <c r="H160" s="219"/>
      <c r="I160" s="219"/>
      <c r="J160" s="219"/>
      <c r="K160" s="219" t="s">
        <v>304</v>
      </c>
      <c r="L160" s="219"/>
      <c r="M160" s="219"/>
      <c r="N160" s="219"/>
      <c r="O160" s="219" t="s">
        <v>305</v>
      </c>
      <c r="P160" s="219"/>
      <c r="Q160" s="219"/>
      <c r="R160" s="219"/>
      <c r="S160" s="219" t="s">
        <v>306</v>
      </c>
      <c r="T160" s="219"/>
      <c r="U160" s="219"/>
      <c r="V160" s="219"/>
      <c r="W160" s="219" t="s">
        <v>307</v>
      </c>
      <c r="X160" s="219"/>
      <c r="Y160" s="219"/>
      <c r="Z160" s="219"/>
      <c r="AA160" s="219" t="s">
        <v>308</v>
      </c>
      <c r="AB160" s="219"/>
      <c r="AC160" s="219"/>
      <c r="AD160" s="219"/>
      <c r="AE160" s="219" t="s">
        <v>309</v>
      </c>
      <c r="AF160" s="219"/>
      <c r="AG160" s="219"/>
      <c r="AH160" s="219"/>
      <c r="AI160" s="220" t="s">
        <v>310</v>
      </c>
      <c r="AJ160" s="220"/>
      <c r="AK160" s="220"/>
      <c r="AL160" s="220"/>
      <c r="AM160" s="220"/>
      <c r="AN160" s="220"/>
      <c r="AO160" s="220"/>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c r="IY160" s="1"/>
      <c r="IZ160" s="1"/>
      <c r="JA160" s="1"/>
      <c r="JB160" s="1"/>
      <c r="JC160" s="1"/>
      <c r="JD160" s="1"/>
      <c r="JE160" s="1"/>
      <c r="JF160" s="1"/>
      <c r="JG160" s="1"/>
      <c r="JH160" s="1"/>
      <c r="JI160" s="1"/>
      <c r="JJ160" s="1"/>
      <c r="JK160" s="1"/>
      <c r="JL160" s="1"/>
      <c r="JM160" s="1"/>
      <c r="JN160" s="1"/>
      <c r="JO160" s="1"/>
      <c r="JP160" s="1"/>
      <c r="JQ160" s="1"/>
      <c r="JR160" s="1"/>
      <c r="JS160" s="1"/>
      <c r="JT160" s="1"/>
      <c r="JU160" s="1"/>
      <c r="JV160" s="1"/>
      <c r="JW160" s="1"/>
      <c r="JX160" s="1"/>
      <c r="JY160" s="1"/>
      <c r="JZ160" s="1"/>
      <c r="KA160" s="1"/>
      <c r="KB160" s="1"/>
      <c r="KC160" s="1"/>
      <c r="KD160" s="1"/>
      <c r="KE160" s="1"/>
      <c r="KF160" s="1"/>
      <c r="KG160" s="1"/>
      <c r="KH160" s="1"/>
      <c r="KI160" s="1"/>
      <c r="KJ160" s="1"/>
      <c r="KK160" s="1"/>
      <c r="KL160" s="1"/>
      <c r="KM160" s="1"/>
      <c r="KN160" s="1"/>
      <c r="KO160" s="1"/>
      <c r="KP160" s="1"/>
      <c r="KQ160" s="1"/>
      <c r="KR160" s="1"/>
      <c r="KS160" s="1"/>
      <c r="KT160" s="1"/>
      <c r="KU160" s="1"/>
      <c r="KV160" s="1"/>
      <c r="KW160" s="1"/>
      <c r="KX160" s="1"/>
      <c r="KY160" s="1"/>
      <c r="KZ160" s="1"/>
      <c r="LA160" s="1"/>
      <c r="LB160" s="1"/>
      <c r="LC160" s="1"/>
      <c r="LD160" s="1"/>
      <c r="LE160" s="1"/>
      <c r="LF160" s="1"/>
      <c r="LG160" s="1"/>
      <c r="LH160" s="1"/>
      <c r="LI160" s="1"/>
      <c r="LJ160" s="1"/>
      <c r="LK160" s="1"/>
      <c r="LL160" s="1"/>
      <c r="LM160" s="1"/>
      <c r="LN160" s="1"/>
      <c r="LO160" s="1"/>
      <c r="LP160" s="1"/>
      <c r="LQ160" s="1"/>
      <c r="LR160" s="1"/>
      <c r="LS160" s="1"/>
      <c r="LT160" s="1"/>
      <c r="LU160" s="1"/>
      <c r="LV160" s="1"/>
      <c r="LW160" s="1"/>
      <c r="LX160" s="1"/>
      <c r="LY160" s="1"/>
      <c r="LZ160" s="1"/>
      <c r="MA160" s="1"/>
      <c r="MB160" s="1"/>
      <c r="MC160" s="1"/>
      <c r="MD160" s="1"/>
      <c r="ME160" s="1"/>
      <c r="MF160" s="1"/>
      <c r="MG160" s="1"/>
      <c r="MH160" s="1"/>
      <c r="MI160" s="1"/>
      <c r="MJ160" s="1"/>
      <c r="MK160" s="1"/>
      <c r="ML160" s="1"/>
      <c r="MM160" s="1"/>
      <c r="MN160" s="1"/>
      <c r="MO160" s="1"/>
      <c r="MP160" s="1"/>
      <c r="MQ160" s="1"/>
      <c r="MR160" s="1"/>
      <c r="MS160" s="1"/>
      <c r="MT160" s="1"/>
      <c r="MU160" s="1"/>
      <c r="MV160" s="1"/>
      <c r="MW160" s="1"/>
      <c r="MX160" s="1"/>
      <c r="MY160" s="1"/>
      <c r="MZ160" s="1"/>
      <c r="NA160" s="1"/>
      <c r="NB160" s="1"/>
      <c r="NC160" s="1"/>
      <c r="ND160" s="1"/>
      <c r="NE160" s="1"/>
      <c r="NF160" s="1"/>
      <c r="NG160" s="1"/>
      <c r="NH160" s="1"/>
      <c r="NI160" s="1"/>
      <c r="NJ160" s="1"/>
      <c r="NK160" s="1"/>
      <c r="NL160" s="1"/>
      <c r="NM160" s="1"/>
      <c r="NN160" s="1"/>
      <c r="NO160" s="1"/>
      <c r="NP160" s="1"/>
      <c r="NQ160" s="1"/>
      <c r="NR160" s="1"/>
      <c r="NS160" s="1"/>
      <c r="NT160" s="1"/>
      <c r="NU160" s="1"/>
      <c r="NV160" s="1"/>
      <c r="NW160" s="1"/>
      <c r="NX160" s="1"/>
      <c r="NY160" s="1"/>
      <c r="NZ160" s="1"/>
      <c r="OA160" s="1"/>
      <c r="OB160" s="1"/>
      <c r="OC160" s="1"/>
      <c r="OD160" s="1"/>
      <c r="OE160" s="1"/>
      <c r="OF160" s="1"/>
      <c r="OG160" s="1"/>
      <c r="OH160" s="1"/>
      <c r="OI160" s="1"/>
      <c r="OJ160" s="1"/>
      <c r="OK160" s="1"/>
      <c r="OL160" s="1"/>
      <c r="OM160" s="1"/>
      <c r="ON160" s="1"/>
      <c r="OO160" s="1"/>
      <c r="OP160" s="1"/>
      <c r="OQ160" s="1"/>
      <c r="OR160" s="1"/>
      <c r="OS160" s="1"/>
      <c r="OT160" s="1"/>
      <c r="OU160" s="1"/>
      <c r="OV160" s="1"/>
      <c r="OW160" s="1"/>
      <c r="OX160" s="1"/>
      <c r="OY160" s="1"/>
      <c r="OZ160" s="1"/>
      <c r="PA160" s="1"/>
      <c r="PB160" s="1"/>
      <c r="PC160" s="1"/>
      <c r="PD160" s="1"/>
      <c r="PE160" s="1"/>
      <c r="PF160" s="1"/>
      <c r="PG160" s="1"/>
      <c r="PH160" s="1"/>
      <c r="PI160" s="1"/>
      <c r="PJ160" s="1"/>
      <c r="PK160" s="1"/>
      <c r="PL160" s="1"/>
      <c r="PM160" s="1"/>
      <c r="PN160" s="1"/>
      <c r="PO160" s="1"/>
      <c r="PP160" s="1"/>
      <c r="PQ160" s="1"/>
      <c r="PR160" s="1"/>
      <c r="PS160" s="1"/>
      <c r="PT160" s="1"/>
      <c r="PU160" s="1"/>
      <c r="PV160" s="1"/>
      <c r="PW160" s="1"/>
      <c r="PX160" s="1"/>
      <c r="PY160" s="1"/>
      <c r="PZ160" s="1"/>
      <c r="QA160" s="1"/>
      <c r="QB160" s="1"/>
      <c r="QC160" s="1"/>
      <c r="QD160" s="1"/>
      <c r="QE160" s="1"/>
      <c r="QF160" s="1"/>
      <c r="QG160" s="1"/>
      <c r="QH160" s="1"/>
      <c r="QI160" s="1"/>
      <c r="QJ160" s="1"/>
      <c r="QK160" s="1"/>
      <c r="QL160" s="1"/>
      <c r="QM160" s="1"/>
      <c r="QN160" s="1"/>
      <c r="QO160" s="1"/>
      <c r="QP160" s="1"/>
      <c r="QQ160" s="1"/>
      <c r="QR160" s="1"/>
      <c r="QS160" s="1"/>
      <c r="QT160" s="1"/>
      <c r="QU160" s="1"/>
      <c r="QV160" s="1"/>
      <c r="QW160" s="1"/>
      <c r="QX160" s="1"/>
      <c r="QY160" s="1"/>
      <c r="QZ160" s="1"/>
      <c r="RA160" s="1"/>
      <c r="RB160" s="1"/>
      <c r="RC160" s="1"/>
      <c r="RD160" s="1"/>
      <c r="RE160" s="1"/>
      <c r="RF160" s="1"/>
      <c r="RG160" s="1"/>
      <c r="RH160" s="1"/>
      <c r="RI160" s="1"/>
      <c r="RJ160" s="1"/>
      <c r="RK160" s="1"/>
      <c r="RL160" s="1"/>
      <c r="RM160" s="1"/>
      <c r="RN160" s="1"/>
      <c r="RO160" s="1"/>
      <c r="RP160" s="1"/>
      <c r="RQ160" s="1"/>
      <c r="RR160" s="1"/>
      <c r="RS160" s="1"/>
      <c r="RT160" s="1"/>
      <c r="RU160" s="1"/>
      <c r="RV160" s="1"/>
      <c r="RW160" s="1"/>
      <c r="RX160" s="1"/>
      <c r="RY160" s="1"/>
      <c r="RZ160" s="1"/>
      <c r="SA160" s="1"/>
      <c r="SB160" s="1"/>
      <c r="SC160" s="1"/>
      <c r="SD160" s="1"/>
      <c r="SE160" s="1"/>
      <c r="SF160" s="1"/>
      <c r="SG160" s="1"/>
      <c r="SH160" s="1"/>
      <c r="SI160" s="1"/>
      <c r="SJ160" s="1"/>
      <c r="SK160" s="1"/>
      <c r="SL160" s="1"/>
      <c r="SM160" s="1"/>
      <c r="SN160" s="1"/>
      <c r="SO160" s="1"/>
      <c r="SP160" s="1"/>
      <c r="SQ160" s="1"/>
      <c r="SR160" s="1"/>
      <c r="SS160" s="1"/>
      <c r="ST160" s="1"/>
      <c r="SU160" s="1"/>
      <c r="SV160" s="1"/>
      <c r="SW160" s="1"/>
      <c r="SX160" s="1"/>
      <c r="SY160" s="1"/>
      <c r="SZ160" s="1"/>
      <c r="TA160" s="1"/>
      <c r="TB160" s="1"/>
      <c r="TC160" s="1"/>
      <c r="TD160" s="1"/>
      <c r="TE160" s="1"/>
      <c r="TF160" s="1"/>
      <c r="TG160" s="1"/>
      <c r="TH160" s="1"/>
      <c r="TI160" s="1"/>
      <c r="TJ160" s="1"/>
      <c r="TK160" s="1"/>
      <c r="TL160" s="1"/>
      <c r="TM160" s="1"/>
      <c r="TN160" s="1"/>
      <c r="TO160" s="1"/>
      <c r="TP160" s="1"/>
      <c r="TQ160" s="1"/>
      <c r="TR160" s="1"/>
      <c r="TS160" s="1"/>
      <c r="TT160" s="1"/>
      <c r="TU160" s="1"/>
      <c r="TV160" s="1"/>
      <c r="TW160" s="1"/>
      <c r="TX160" s="1"/>
      <c r="TY160" s="1"/>
      <c r="TZ160" s="1"/>
      <c r="UA160" s="1"/>
      <c r="UB160" s="1"/>
      <c r="UC160" s="1"/>
      <c r="UD160" s="1"/>
      <c r="UE160" s="1"/>
      <c r="UF160" s="1"/>
      <c r="UG160" s="1"/>
      <c r="UH160" s="1"/>
      <c r="UI160" s="1"/>
      <c r="UJ160" s="1"/>
      <c r="UK160" s="1"/>
      <c r="UL160" s="1"/>
      <c r="UM160" s="1"/>
      <c r="UN160" s="1"/>
      <c r="UO160" s="1"/>
      <c r="UP160" s="1"/>
      <c r="UQ160" s="1"/>
      <c r="UR160" s="1"/>
      <c r="US160" s="1"/>
      <c r="UT160" s="1"/>
      <c r="UU160" s="1"/>
      <c r="UV160" s="1"/>
      <c r="UW160" s="1"/>
      <c r="UX160" s="1"/>
      <c r="UY160" s="1"/>
      <c r="UZ160" s="1"/>
      <c r="VA160" s="1"/>
      <c r="VB160" s="1"/>
      <c r="VC160" s="1"/>
      <c r="VD160" s="1"/>
      <c r="VE160" s="1"/>
      <c r="VF160" s="1"/>
      <c r="VG160" s="1"/>
      <c r="VH160" s="1"/>
      <c r="VI160" s="1"/>
      <c r="VJ160" s="1"/>
      <c r="VK160" s="1"/>
      <c r="VL160" s="1"/>
      <c r="VM160" s="1"/>
      <c r="VN160" s="1"/>
      <c r="VO160" s="1"/>
      <c r="VP160" s="1"/>
      <c r="VQ160" s="1"/>
      <c r="VR160" s="1"/>
      <c r="VS160" s="1"/>
      <c r="VT160" s="1"/>
      <c r="VU160" s="1"/>
      <c r="VV160" s="1"/>
      <c r="VW160" s="1"/>
      <c r="VX160" s="1"/>
      <c r="VY160" s="1"/>
      <c r="VZ160" s="1"/>
      <c r="WA160" s="1"/>
      <c r="WB160" s="1"/>
      <c r="WC160" s="1"/>
      <c r="WD160" s="1"/>
      <c r="WE160" s="1"/>
      <c r="WF160" s="1"/>
      <c r="WG160" s="1"/>
      <c r="WH160" s="1"/>
      <c r="WI160" s="1"/>
      <c r="WJ160" s="1"/>
      <c r="WK160" s="1"/>
      <c r="WL160" s="1"/>
      <c r="WM160" s="1"/>
      <c r="WN160" s="1"/>
      <c r="WO160" s="1"/>
      <c r="WP160" s="1"/>
      <c r="WQ160" s="1"/>
      <c r="WR160" s="1"/>
      <c r="WS160" s="1"/>
      <c r="WT160" s="1"/>
      <c r="WU160" s="1"/>
      <c r="WV160" s="1"/>
      <c r="WW160" s="1"/>
      <c r="WX160" s="1"/>
      <c r="WY160" s="1"/>
      <c r="WZ160" s="1"/>
      <c r="XA160" s="1"/>
      <c r="XB160" s="1"/>
      <c r="XC160" s="1"/>
      <c r="XD160" s="1"/>
      <c r="XE160" s="1"/>
      <c r="XF160" s="1"/>
      <c r="XG160" s="1"/>
      <c r="XH160" s="1"/>
      <c r="XI160" s="1"/>
      <c r="XJ160" s="1"/>
      <c r="XK160" s="1"/>
      <c r="XL160" s="1"/>
      <c r="XM160" s="1"/>
      <c r="XN160" s="1"/>
      <c r="XO160" s="1"/>
      <c r="XP160" s="1"/>
      <c r="XQ160" s="1"/>
      <c r="XR160" s="1"/>
      <c r="XS160" s="1"/>
      <c r="XT160" s="1"/>
      <c r="XU160" s="1"/>
      <c r="XV160" s="1"/>
      <c r="XW160" s="1"/>
      <c r="XX160" s="1"/>
      <c r="XY160" s="1"/>
      <c r="XZ160" s="1"/>
      <c r="YA160" s="1"/>
      <c r="YB160" s="1"/>
      <c r="YC160" s="1"/>
      <c r="YD160" s="1"/>
      <c r="YE160" s="1"/>
      <c r="YF160" s="1"/>
      <c r="YG160" s="1"/>
      <c r="YH160" s="1"/>
      <c r="YI160" s="1"/>
      <c r="YJ160" s="1"/>
      <c r="YK160" s="1"/>
      <c r="YL160" s="1"/>
      <c r="YM160" s="1"/>
      <c r="YN160" s="1"/>
      <c r="YO160" s="1"/>
      <c r="YP160" s="1"/>
      <c r="YQ160" s="1"/>
      <c r="YR160" s="1"/>
      <c r="YS160" s="1"/>
      <c r="YT160" s="1"/>
      <c r="YU160" s="1"/>
      <c r="YV160" s="1"/>
      <c r="YW160" s="1"/>
      <c r="YX160" s="1"/>
      <c r="YY160" s="1"/>
      <c r="YZ160" s="1"/>
      <c r="ZA160" s="1"/>
      <c r="ZB160" s="1"/>
      <c r="ZC160" s="1"/>
      <c r="ZD160" s="1"/>
      <c r="ZE160" s="1"/>
      <c r="ZF160" s="1"/>
      <c r="ZG160" s="1"/>
      <c r="ZH160" s="1"/>
      <c r="ZI160" s="1"/>
      <c r="ZJ160" s="1"/>
      <c r="ZK160" s="1"/>
      <c r="ZL160" s="1"/>
      <c r="ZM160" s="1"/>
      <c r="ZN160" s="1"/>
      <c r="ZO160" s="1"/>
      <c r="ZP160" s="1"/>
      <c r="ZQ160" s="1"/>
      <c r="ZR160" s="1"/>
      <c r="ZS160" s="1"/>
      <c r="ZT160" s="1"/>
      <c r="ZU160" s="1"/>
      <c r="ZV160" s="1"/>
      <c r="ZW160" s="1"/>
      <c r="ZX160" s="1"/>
      <c r="ZY160" s="1"/>
      <c r="ZZ160" s="1"/>
      <c r="AAA160" s="1"/>
      <c r="AAB160" s="1"/>
      <c r="AAC160" s="1"/>
      <c r="AAD160" s="1"/>
      <c r="AAE160" s="1"/>
      <c r="AAF160" s="1"/>
      <c r="AAG160" s="1"/>
      <c r="AAH160" s="1"/>
      <c r="AAI160" s="1"/>
      <c r="AAJ160" s="1"/>
      <c r="AAK160" s="1"/>
      <c r="AAL160" s="1"/>
      <c r="AAM160" s="1"/>
      <c r="AAN160" s="1"/>
      <c r="AAO160" s="1"/>
      <c r="AAP160" s="1"/>
      <c r="AAQ160" s="1"/>
      <c r="AAR160" s="1"/>
      <c r="AAS160" s="1"/>
      <c r="AAT160" s="1"/>
      <c r="AAU160" s="1"/>
      <c r="AAV160" s="1"/>
      <c r="AAW160" s="1"/>
      <c r="AAX160" s="1"/>
      <c r="AAY160" s="1"/>
      <c r="AAZ160" s="1"/>
      <c r="ABA160" s="1"/>
      <c r="ABB160" s="1"/>
      <c r="ABC160" s="1"/>
      <c r="ABD160" s="1"/>
      <c r="ABE160" s="1"/>
      <c r="ABF160" s="1"/>
      <c r="ABG160" s="1"/>
      <c r="ABH160" s="1"/>
      <c r="ABI160" s="1"/>
      <c r="ABJ160" s="1"/>
      <c r="ABK160" s="1"/>
      <c r="ABL160" s="1"/>
      <c r="ABM160" s="1"/>
      <c r="ABN160" s="1"/>
      <c r="ABO160" s="1"/>
      <c r="ABP160" s="1"/>
      <c r="ABQ160" s="1"/>
      <c r="ABR160" s="1"/>
      <c r="ABS160" s="1"/>
      <c r="ABT160" s="1"/>
      <c r="ABU160" s="1"/>
      <c r="ABV160" s="1"/>
      <c r="ABW160" s="1"/>
      <c r="ABX160" s="1"/>
      <c r="ABY160" s="1"/>
      <c r="ABZ160" s="1"/>
      <c r="ACA160" s="1"/>
      <c r="ACB160" s="1"/>
      <c r="ACC160" s="1"/>
      <c r="ACD160" s="1"/>
      <c r="ACE160" s="1"/>
      <c r="ACF160" s="1"/>
      <c r="ACG160" s="1"/>
      <c r="ACH160" s="1"/>
      <c r="ACI160" s="1"/>
      <c r="ACJ160" s="1"/>
      <c r="ACK160" s="1"/>
      <c r="ACL160" s="1"/>
      <c r="ACM160" s="1"/>
      <c r="ACN160" s="1"/>
      <c r="ACO160" s="1"/>
      <c r="ACP160" s="1"/>
      <c r="ACQ160" s="1"/>
      <c r="ACR160" s="1"/>
      <c r="ACS160" s="1"/>
      <c r="ACT160" s="1"/>
      <c r="ACU160" s="1"/>
      <c r="ACV160" s="1"/>
      <c r="ACW160" s="1"/>
      <c r="ACX160" s="1"/>
      <c r="ACY160" s="1"/>
      <c r="ACZ160" s="1"/>
      <c r="ADA160" s="1"/>
      <c r="ADB160" s="1"/>
      <c r="ADC160" s="1"/>
      <c r="ADD160" s="1"/>
      <c r="ADE160" s="1"/>
      <c r="ADF160" s="1"/>
      <c r="ADG160" s="1"/>
      <c r="ADH160" s="1"/>
      <c r="ADI160" s="1"/>
      <c r="ADJ160" s="1"/>
      <c r="ADK160" s="1"/>
      <c r="ADL160" s="1"/>
      <c r="ADM160" s="1"/>
      <c r="ADN160" s="1"/>
      <c r="ADO160" s="1"/>
      <c r="ADP160" s="1"/>
      <c r="ADQ160" s="1"/>
      <c r="ADR160" s="1"/>
      <c r="ADS160" s="1"/>
      <c r="ADT160" s="1"/>
      <c r="ADU160" s="1"/>
      <c r="ADV160" s="1"/>
      <c r="ADW160" s="1"/>
      <c r="ADX160" s="1"/>
      <c r="ADY160" s="1"/>
      <c r="ADZ160" s="1"/>
      <c r="AEA160" s="1"/>
      <c r="AEB160" s="1"/>
      <c r="AEC160" s="1"/>
      <c r="AED160" s="1"/>
      <c r="AEE160" s="1"/>
      <c r="AEF160" s="1"/>
      <c r="AEG160" s="1"/>
      <c r="AEH160" s="1"/>
      <c r="AEI160" s="1"/>
      <c r="AEJ160" s="1"/>
      <c r="AEK160" s="1"/>
      <c r="AEL160" s="1"/>
      <c r="AEM160" s="1"/>
      <c r="AEN160" s="1"/>
      <c r="AEO160" s="1"/>
      <c r="AEP160" s="1"/>
      <c r="AEQ160" s="1"/>
      <c r="AER160" s="1"/>
      <c r="AES160" s="1"/>
      <c r="AET160" s="1"/>
      <c r="AEU160" s="1"/>
      <c r="AEV160" s="1"/>
      <c r="AEW160" s="1"/>
      <c r="AEX160" s="1"/>
      <c r="AEY160" s="1"/>
      <c r="AEZ160" s="1"/>
      <c r="AFA160" s="1"/>
      <c r="AFB160" s="1"/>
      <c r="AFC160" s="1"/>
      <c r="AFD160" s="1"/>
      <c r="AFE160" s="1"/>
      <c r="AFF160" s="1"/>
      <c r="AFG160" s="1"/>
      <c r="AFH160" s="1"/>
      <c r="AFI160" s="1"/>
      <c r="AFJ160" s="1"/>
      <c r="AFK160" s="1"/>
      <c r="AFL160" s="1"/>
      <c r="AFM160" s="1"/>
      <c r="AFN160" s="1"/>
      <c r="AFO160" s="1"/>
      <c r="AFP160" s="1"/>
      <c r="AFQ160" s="1"/>
      <c r="AFR160" s="1"/>
      <c r="AFS160" s="1"/>
      <c r="AFT160" s="1"/>
      <c r="AFU160" s="1"/>
      <c r="AFV160" s="1"/>
      <c r="AFW160" s="1"/>
      <c r="AFX160" s="1"/>
      <c r="AFY160" s="1"/>
      <c r="AFZ160" s="1"/>
      <c r="AGA160" s="1"/>
      <c r="AGB160" s="1"/>
      <c r="AGC160" s="1"/>
      <c r="AGD160" s="1"/>
      <c r="AGE160" s="1"/>
      <c r="AGF160" s="1"/>
      <c r="AGG160" s="1"/>
      <c r="AGH160" s="1"/>
      <c r="AGI160" s="1"/>
      <c r="AGJ160" s="1"/>
      <c r="AGK160" s="1"/>
      <c r="AGL160" s="1"/>
      <c r="AGM160" s="1"/>
      <c r="AGN160" s="1"/>
      <c r="AGO160" s="1"/>
      <c r="AGP160" s="1"/>
      <c r="AGQ160" s="1"/>
      <c r="AGR160" s="1"/>
      <c r="AGS160" s="1"/>
      <c r="AGT160" s="1"/>
      <c r="AGU160" s="1"/>
      <c r="AGV160" s="1"/>
      <c r="AGW160" s="1"/>
      <c r="AGX160" s="1"/>
      <c r="AGY160" s="1"/>
      <c r="AGZ160" s="1"/>
      <c r="AHA160" s="1"/>
      <c r="AHB160" s="1"/>
      <c r="AHC160" s="1"/>
      <c r="AHD160" s="1"/>
      <c r="AHE160" s="1"/>
      <c r="AHF160" s="1"/>
      <c r="AHG160" s="1"/>
      <c r="AHH160" s="1"/>
      <c r="AHI160" s="1"/>
      <c r="AHJ160" s="1"/>
      <c r="AHK160" s="1"/>
      <c r="AHL160" s="1"/>
      <c r="AHM160" s="1"/>
      <c r="AHN160" s="1"/>
      <c r="AHO160" s="1"/>
      <c r="AHP160" s="1"/>
      <c r="AHQ160" s="1"/>
      <c r="AHR160" s="1"/>
      <c r="AHS160" s="1"/>
      <c r="AHT160" s="1"/>
      <c r="AHU160" s="1"/>
      <c r="AHV160" s="1"/>
      <c r="AHW160" s="1"/>
      <c r="AHX160" s="1"/>
      <c r="AHY160" s="1"/>
      <c r="AHZ160" s="1"/>
      <c r="AIA160" s="1"/>
      <c r="AIB160" s="1"/>
      <c r="AIC160" s="1"/>
      <c r="AID160" s="1"/>
      <c r="AIE160" s="1"/>
      <c r="AIF160" s="1"/>
      <c r="AIG160" s="1"/>
      <c r="AIH160" s="1"/>
      <c r="AII160" s="1"/>
      <c r="AIJ160" s="1"/>
      <c r="AIK160" s="1"/>
      <c r="AIL160" s="1"/>
      <c r="AIM160" s="1"/>
      <c r="AIN160" s="1"/>
      <c r="AIO160" s="1"/>
      <c r="AIP160" s="1"/>
      <c r="AIQ160" s="1"/>
      <c r="AIR160" s="1"/>
      <c r="AIS160" s="1"/>
      <c r="AIT160" s="1"/>
      <c r="AIU160" s="1"/>
      <c r="AIV160" s="1"/>
      <c r="AIW160" s="1"/>
      <c r="AIX160" s="1"/>
      <c r="AIY160" s="1"/>
      <c r="AIZ160" s="1"/>
      <c r="AJA160" s="1"/>
      <c r="AJB160" s="1"/>
      <c r="AJC160" s="1"/>
      <c r="AJD160" s="1"/>
      <c r="AJE160" s="1"/>
      <c r="AJF160" s="1"/>
      <c r="AJG160" s="1"/>
      <c r="AJH160" s="1"/>
      <c r="AJI160" s="1"/>
      <c r="AJJ160" s="1"/>
      <c r="AJK160" s="1"/>
      <c r="AJL160" s="1"/>
      <c r="AJM160" s="1"/>
      <c r="AJN160" s="1"/>
      <c r="AJO160" s="1"/>
      <c r="AJP160" s="1"/>
      <c r="AJQ160" s="1"/>
      <c r="AJR160" s="1"/>
      <c r="AJS160" s="1"/>
      <c r="AJT160" s="1"/>
      <c r="AJU160" s="1"/>
      <c r="AJV160" s="1"/>
      <c r="AJW160" s="1"/>
      <c r="AJX160" s="1"/>
      <c r="AJY160" s="1"/>
      <c r="AJZ160" s="1"/>
      <c r="AKA160" s="1"/>
      <c r="AKB160" s="1"/>
      <c r="AKC160" s="1"/>
      <c r="AKD160" s="1"/>
      <c r="AKE160" s="1"/>
      <c r="AKF160" s="1"/>
      <c r="AKG160" s="1"/>
      <c r="AKH160" s="1"/>
      <c r="AKI160" s="1"/>
      <c r="AKJ160" s="1"/>
      <c r="AKK160" s="1"/>
      <c r="AKL160" s="1"/>
      <c r="AKM160" s="1"/>
      <c r="AKN160" s="1"/>
      <c r="AKO160" s="1"/>
      <c r="AKP160" s="1"/>
      <c r="AKQ160" s="1"/>
      <c r="AKR160" s="1"/>
      <c r="AKS160" s="1"/>
      <c r="AKT160" s="1"/>
      <c r="AKU160" s="1"/>
      <c r="AKV160" s="1"/>
      <c r="AKW160" s="1"/>
      <c r="AKX160" s="1"/>
      <c r="AKY160" s="1"/>
      <c r="AKZ160" s="1"/>
      <c r="ALA160" s="1"/>
      <c r="ALB160" s="1"/>
      <c r="ALC160" s="1"/>
      <c r="ALD160" s="1"/>
      <c r="ALE160" s="1"/>
      <c r="ALF160" s="1"/>
      <c r="ALG160" s="1"/>
      <c r="ALH160" s="1"/>
      <c r="ALI160" s="1"/>
      <c r="ALJ160" s="1"/>
      <c r="ALK160" s="1"/>
      <c r="ALL160" s="1"/>
      <c r="ALM160" s="1"/>
      <c r="ALN160" s="1"/>
      <c r="ALO160" s="1"/>
      <c r="ALP160" s="1"/>
      <c r="ALQ160" s="1"/>
      <c r="ALR160" s="1"/>
      <c r="ALS160" s="1"/>
      <c r="ALT160" s="1"/>
      <c r="ALU160" s="1"/>
      <c r="ALV160" s="1"/>
      <c r="ALW160" s="1"/>
      <c r="ALX160" s="1"/>
      <c r="ALY160" s="1"/>
      <c r="ALZ160" s="1"/>
      <c r="AMA160" s="1"/>
      <c r="AMB160" s="1"/>
      <c r="AMC160" s="1"/>
      <c r="AMD160" s="1"/>
      <c r="AME160" s="1"/>
      <c r="AMF160" s="1"/>
      <c r="AMG160" s="1"/>
      <c r="AMH160" s="1"/>
      <c r="AMI160" s="1"/>
      <c r="AMJ160" s="1"/>
    </row>
    <row r="161" customFormat="false" ht="10.5" hidden="false" customHeight="true" outlineLevel="0" collapsed="false">
      <c r="A161" s="221"/>
      <c r="B161" s="221"/>
      <c r="C161" s="221"/>
      <c r="D161" s="221"/>
      <c r="E161" s="221"/>
      <c r="F161" s="221"/>
      <c r="G161" s="222"/>
      <c r="H161" s="222"/>
      <c r="I161" s="222"/>
      <c r="J161" s="222"/>
      <c r="K161" s="222"/>
      <c r="L161" s="222"/>
      <c r="M161" s="222"/>
      <c r="N161" s="222"/>
      <c r="O161" s="222"/>
      <c r="P161" s="222"/>
      <c r="Q161" s="222"/>
      <c r="R161" s="222"/>
      <c r="S161" s="222"/>
      <c r="T161" s="222"/>
      <c r="U161" s="222"/>
      <c r="V161" s="222"/>
      <c r="W161" s="222"/>
      <c r="X161" s="222"/>
      <c r="Y161" s="222"/>
      <c r="Z161" s="222"/>
      <c r="AA161" s="222"/>
      <c r="AB161" s="222"/>
      <c r="AC161" s="222"/>
      <c r="AD161" s="222"/>
      <c r="AE161" s="222"/>
      <c r="AF161" s="222"/>
      <c r="AG161" s="222"/>
      <c r="AH161" s="222"/>
      <c r="AI161" s="142" t="n">
        <f aca="false">SUM(A161:AH161)</f>
        <v>0</v>
      </c>
      <c r="AJ161" s="142"/>
      <c r="AK161" s="142"/>
      <c r="AL161" s="142"/>
      <c r="AM161" s="142"/>
      <c r="AN161" s="142"/>
      <c r="AO161" s="142"/>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c r="IY161" s="1"/>
      <c r="IZ161" s="1"/>
      <c r="JA161" s="1"/>
      <c r="JB161" s="1"/>
      <c r="JC161" s="1"/>
      <c r="JD161" s="1"/>
      <c r="JE161" s="1"/>
      <c r="JF161" s="1"/>
      <c r="JG161" s="1"/>
      <c r="JH161" s="1"/>
      <c r="JI161" s="1"/>
      <c r="JJ161" s="1"/>
      <c r="JK161" s="1"/>
      <c r="JL161" s="1"/>
      <c r="JM161" s="1"/>
      <c r="JN161" s="1"/>
      <c r="JO161" s="1"/>
      <c r="JP161" s="1"/>
      <c r="JQ161" s="1"/>
      <c r="JR161" s="1"/>
      <c r="JS161" s="1"/>
      <c r="JT161" s="1"/>
      <c r="JU161" s="1"/>
      <c r="JV161" s="1"/>
      <c r="JW161" s="1"/>
      <c r="JX161" s="1"/>
      <c r="JY161" s="1"/>
      <c r="JZ161" s="1"/>
      <c r="KA161" s="1"/>
      <c r="KB161" s="1"/>
      <c r="KC161" s="1"/>
      <c r="KD161" s="1"/>
      <c r="KE161" s="1"/>
      <c r="KF161" s="1"/>
      <c r="KG161" s="1"/>
      <c r="KH161" s="1"/>
      <c r="KI161" s="1"/>
      <c r="KJ161" s="1"/>
      <c r="KK161" s="1"/>
      <c r="KL161" s="1"/>
      <c r="KM161" s="1"/>
      <c r="KN161" s="1"/>
      <c r="KO161" s="1"/>
      <c r="KP161" s="1"/>
      <c r="KQ161" s="1"/>
      <c r="KR161" s="1"/>
      <c r="KS161" s="1"/>
      <c r="KT161" s="1"/>
      <c r="KU161" s="1"/>
      <c r="KV161" s="1"/>
      <c r="KW161" s="1"/>
      <c r="KX161" s="1"/>
      <c r="KY161" s="1"/>
      <c r="KZ161" s="1"/>
      <c r="LA161" s="1"/>
      <c r="LB161" s="1"/>
      <c r="LC161" s="1"/>
      <c r="LD161" s="1"/>
      <c r="LE161" s="1"/>
      <c r="LF161" s="1"/>
      <c r="LG161" s="1"/>
      <c r="LH161" s="1"/>
      <c r="LI161" s="1"/>
      <c r="LJ161" s="1"/>
      <c r="LK161" s="1"/>
      <c r="LL161" s="1"/>
      <c r="LM161" s="1"/>
      <c r="LN161" s="1"/>
      <c r="LO161" s="1"/>
      <c r="LP161" s="1"/>
      <c r="LQ161" s="1"/>
      <c r="LR161" s="1"/>
      <c r="LS161" s="1"/>
      <c r="LT161" s="1"/>
      <c r="LU161" s="1"/>
      <c r="LV161" s="1"/>
      <c r="LW161" s="1"/>
      <c r="LX161" s="1"/>
      <c r="LY161" s="1"/>
      <c r="LZ161" s="1"/>
      <c r="MA161" s="1"/>
      <c r="MB161" s="1"/>
      <c r="MC161" s="1"/>
      <c r="MD161" s="1"/>
      <c r="ME161" s="1"/>
      <c r="MF161" s="1"/>
      <c r="MG161" s="1"/>
      <c r="MH161" s="1"/>
      <c r="MI161" s="1"/>
      <c r="MJ161" s="1"/>
      <c r="MK161" s="1"/>
      <c r="ML161" s="1"/>
      <c r="MM161" s="1"/>
      <c r="MN161" s="1"/>
      <c r="MO161" s="1"/>
      <c r="MP161" s="1"/>
      <c r="MQ161" s="1"/>
      <c r="MR161" s="1"/>
      <c r="MS161" s="1"/>
      <c r="MT161" s="1"/>
      <c r="MU161" s="1"/>
      <c r="MV161" s="1"/>
      <c r="MW161" s="1"/>
      <c r="MX161" s="1"/>
      <c r="MY161" s="1"/>
      <c r="MZ161" s="1"/>
      <c r="NA161" s="1"/>
      <c r="NB161" s="1"/>
      <c r="NC161" s="1"/>
      <c r="ND161" s="1"/>
      <c r="NE161" s="1"/>
      <c r="NF161" s="1"/>
      <c r="NG161" s="1"/>
      <c r="NH161" s="1"/>
      <c r="NI161" s="1"/>
      <c r="NJ161" s="1"/>
      <c r="NK161" s="1"/>
      <c r="NL161" s="1"/>
      <c r="NM161" s="1"/>
      <c r="NN161" s="1"/>
      <c r="NO161" s="1"/>
      <c r="NP161" s="1"/>
      <c r="NQ161" s="1"/>
      <c r="NR161" s="1"/>
      <c r="NS161" s="1"/>
      <c r="NT161" s="1"/>
      <c r="NU161" s="1"/>
      <c r="NV161" s="1"/>
      <c r="NW161" s="1"/>
      <c r="NX161" s="1"/>
      <c r="NY161" s="1"/>
      <c r="NZ161" s="1"/>
      <c r="OA161" s="1"/>
      <c r="OB161" s="1"/>
      <c r="OC161" s="1"/>
      <c r="OD161" s="1"/>
      <c r="OE161" s="1"/>
      <c r="OF161" s="1"/>
      <c r="OG161" s="1"/>
      <c r="OH161" s="1"/>
      <c r="OI161" s="1"/>
      <c r="OJ161" s="1"/>
      <c r="OK161" s="1"/>
      <c r="OL161" s="1"/>
      <c r="OM161" s="1"/>
      <c r="ON161" s="1"/>
      <c r="OO161" s="1"/>
      <c r="OP161" s="1"/>
      <c r="OQ161" s="1"/>
      <c r="OR161" s="1"/>
      <c r="OS161" s="1"/>
      <c r="OT161" s="1"/>
      <c r="OU161" s="1"/>
      <c r="OV161" s="1"/>
      <c r="OW161" s="1"/>
      <c r="OX161" s="1"/>
      <c r="OY161" s="1"/>
      <c r="OZ161" s="1"/>
      <c r="PA161" s="1"/>
      <c r="PB161" s="1"/>
      <c r="PC161" s="1"/>
      <c r="PD161" s="1"/>
      <c r="PE161" s="1"/>
      <c r="PF161" s="1"/>
      <c r="PG161" s="1"/>
      <c r="PH161" s="1"/>
      <c r="PI161" s="1"/>
      <c r="PJ161" s="1"/>
      <c r="PK161" s="1"/>
      <c r="PL161" s="1"/>
      <c r="PM161" s="1"/>
      <c r="PN161" s="1"/>
      <c r="PO161" s="1"/>
      <c r="PP161" s="1"/>
      <c r="PQ161" s="1"/>
      <c r="PR161" s="1"/>
      <c r="PS161" s="1"/>
      <c r="PT161" s="1"/>
      <c r="PU161" s="1"/>
      <c r="PV161" s="1"/>
      <c r="PW161" s="1"/>
      <c r="PX161" s="1"/>
      <c r="PY161" s="1"/>
      <c r="PZ161" s="1"/>
      <c r="QA161" s="1"/>
      <c r="QB161" s="1"/>
      <c r="QC161" s="1"/>
      <c r="QD161" s="1"/>
      <c r="QE161" s="1"/>
      <c r="QF161" s="1"/>
      <c r="QG161" s="1"/>
      <c r="QH161" s="1"/>
      <c r="QI161" s="1"/>
      <c r="QJ161" s="1"/>
      <c r="QK161" s="1"/>
      <c r="QL161" s="1"/>
      <c r="QM161" s="1"/>
      <c r="QN161" s="1"/>
      <c r="QO161" s="1"/>
      <c r="QP161" s="1"/>
      <c r="QQ161" s="1"/>
      <c r="QR161" s="1"/>
      <c r="QS161" s="1"/>
      <c r="QT161" s="1"/>
      <c r="QU161" s="1"/>
      <c r="QV161" s="1"/>
      <c r="QW161" s="1"/>
      <c r="QX161" s="1"/>
      <c r="QY161" s="1"/>
      <c r="QZ161" s="1"/>
      <c r="RA161" s="1"/>
      <c r="RB161" s="1"/>
      <c r="RC161" s="1"/>
      <c r="RD161" s="1"/>
      <c r="RE161" s="1"/>
      <c r="RF161" s="1"/>
      <c r="RG161" s="1"/>
      <c r="RH161" s="1"/>
      <c r="RI161" s="1"/>
      <c r="RJ161" s="1"/>
      <c r="RK161" s="1"/>
      <c r="RL161" s="1"/>
      <c r="RM161" s="1"/>
      <c r="RN161" s="1"/>
      <c r="RO161" s="1"/>
      <c r="RP161" s="1"/>
      <c r="RQ161" s="1"/>
      <c r="RR161" s="1"/>
      <c r="RS161" s="1"/>
      <c r="RT161" s="1"/>
      <c r="RU161" s="1"/>
      <c r="RV161" s="1"/>
      <c r="RW161" s="1"/>
      <c r="RX161" s="1"/>
      <c r="RY161" s="1"/>
      <c r="RZ161" s="1"/>
      <c r="SA161" s="1"/>
      <c r="SB161" s="1"/>
      <c r="SC161" s="1"/>
      <c r="SD161" s="1"/>
      <c r="SE161" s="1"/>
      <c r="SF161" s="1"/>
      <c r="SG161" s="1"/>
      <c r="SH161" s="1"/>
      <c r="SI161" s="1"/>
      <c r="SJ161" s="1"/>
      <c r="SK161" s="1"/>
      <c r="SL161" s="1"/>
      <c r="SM161" s="1"/>
      <c r="SN161" s="1"/>
      <c r="SO161" s="1"/>
      <c r="SP161" s="1"/>
      <c r="SQ161" s="1"/>
      <c r="SR161" s="1"/>
      <c r="SS161" s="1"/>
      <c r="ST161" s="1"/>
      <c r="SU161" s="1"/>
      <c r="SV161" s="1"/>
      <c r="SW161" s="1"/>
      <c r="SX161" s="1"/>
      <c r="SY161" s="1"/>
      <c r="SZ161" s="1"/>
      <c r="TA161" s="1"/>
      <c r="TB161" s="1"/>
      <c r="TC161" s="1"/>
      <c r="TD161" s="1"/>
      <c r="TE161" s="1"/>
      <c r="TF161" s="1"/>
      <c r="TG161" s="1"/>
      <c r="TH161" s="1"/>
      <c r="TI161" s="1"/>
      <c r="TJ161" s="1"/>
      <c r="TK161" s="1"/>
      <c r="TL161" s="1"/>
      <c r="TM161" s="1"/>
      <c r="TN161" s="1"/>
      <c r="TO161" s="1"/>
      <c r="TP161" s="1"/>
      <c r="TQ161" s="1"/>
      <c r="TR161" s="1"/>
      <c r="TS161" s="1"/>
      <c r="TT161" s="1"/>
      <c r="TU161" s="1"/>
      <c r="TV161" s="1"/>
      <c r="TW161" s="1"/>
      <c r="TX161" s="1"/>
      <c r="TY161" s="1"/>
      <c r="TZ161" s="1"/>
      <c r="UA161" s="1"/>
      <c r="UB161" s="1"/>
      <c r="UC161" s="1"/>
      <c r="UD161" s="1"/>
      <c r="UE161" s="1"/>
      <c r="UF161" s="1"/>
      <c r="UG161" s="1"/>
      <c r="UH161" s="1"/>
      <c r="UI161" s="1"/>
      <c r="UJ161" s="1"/>
      <c r="UK161" s="1"/>
      <c r="UL161" s="1"/>
      <c r="UM161" s="1"/>
      <c r="UN161" s="1"/>
      <c r="UO161" s="1"/>
      <c r="UP161" s="1"/>
      <c r="UQ161" s="1"/>
      <c r="UR161" s="1"/>
      <c r="US161" s="1"/>
      <c r="UT161" s="1"/>
      <c r="UU161" s="1"/>
      <c r="UV161" s="1"/>
      <c r="UW161" s="1"/>
      <c r="UX161" s="1"/>
      <c r="UY161" s="1"/>
      <c r="UZ161" s="1"/>
      <c r="VA161" s="1"/>
      <c r="VB161" s="1"/>
      <c r="VC161" s="1"/>
      <c r="VD161" s="1"/>
      <c r="VE161" s="1"/>
      <c r="VF161" s="1"/>
      <c r="VG161" s="1"/>
      <c r="VH161" s="1"/>
      <c r="VI161" s="1"/>
      <c r="VJ161" s="1"/>
      <c r="VK161" s="1"/>
      <c r="VL161" s="1"/>
      <c r="VM161" s="1"/>
      <c r="VN161" s="1"/>
      <c r="VO161" s="1"/>
      <c r="VP161" s="1"/>
      <c r="VQ161" s="1"/>
      <c r="VR161" s="1"/>
      <c r="VS161" s="1"/>
      <c r="VT161" s="1"/>
      <c r="VU161" s="1"/>
      <c r="VV161" s="1"/>
      <c r="VW161" s="1"/>
      <c r="VX161" s="1"/>
      <c r="VY161" s="1"/>
      <c r="VZ161" s="1"/>
      <c r="WA161" s="1"/>
      <c r="WB161" s="1"/>
      <c r="WC161" s="1"/>
      <c r="WD161" s="1"/>
      <c r="WE161" s="1"/>
      <c r="WF161" s="1"/>
      <c r="WG161" s="1"/>
      <c r="WH161" s="1"/>
      <c r="WI161" s="1"/>
      <c r="WJ161" s="1"/>
      <c r="WK161" s="1"/>
      <c r="WL161" s="1"/>
      <c r="WM161" s="1"/>
      <c r="WN161" s="1"/>
      <c r="WO161" s="1"/>
      <c r="WP161" s="1"/>
      <c r="WQ161" s="1"/>
      <c r="WR161" s="1"/>
      <c r="WS161" s="1"/>
      <c r="WT161" s="1"/>
      <c r="WU161" s="1"/>
      <c r="WV161" s="1"/>
      <c r="WW161" s="1"/>
      <c r="WX161" s="1"/>
      <c r="WY161" s="1"/>
      <c r="WZ161" s="1"/>
      <c r="XA161" s="1"/>
      <c r="XB161" s="1"/>
      <c r="XC161" s="1"/>
      <c r="XD161" s="1"/>
      <c r="XE161" s="1"/>
      <c r="XF161" s="1"/>
      <c r="XG161" s="1"/>
      <c r="XH161" s="1"/>
      <c r="XI161" s="1"/>
      <c r="XJ161" s="1"/>
      <c r="XK161" s="1"/>
      <c r="XL161" s="1"/>
      <c r="XM161" s="1"/>
      <c r="XN161" s="1"/>
      <c r="XO161" s="1"/>
      <c r="XP161" s="1"/>
      <c r="XQ161" s="1"/>
      <c r="XR161" s="1"/>
      <c r="XS161" s="1"/>
      <c r="XT161" s="1"/>
      <c r="XU161" s="1"/>
      <c r="XV161" s="1"/>
      <c r="XW161" s="1"/>
      <c r="XX161" s="1"/>
      <c r="XY161" s="1"/>
      <c r="XZ161" s="1"/>
      <c r="YA161" s="1"/>
      <c r="YB161" s="1"/>
      <c r="YC161" s="1"/>
      <c r="YD161" s="1"/>
      <c r="YE161" s="1"/>
      <c r="YF161" s="1"/>
      <c r="YG161" s="1"/>
      <c r="YH161" s="1"/>
      <c r="YI161" s="1"/>
      <c r="YJ161" s="1"/>
      <c r="YK161" s="1"/>
      <c r="YL161" s="1"/>
      <c r="YM161" s="1"/>
      <c r="YN161" s="1"/>
      <c r="YO161" s="1"/>
      <c r="YP161" s="1"/>
      <c r="YQ161" s="1"/>
      <c r="YR161" s="1"/>
      <c r="YS161" s="1"/>
      <c r="YT161" s="1"/>
      <c r="YU161" s="1"/>
      <c r="YV161" s="1"/>
      <c r="YW161" s="1"/>
      <c r="YX161" s="1"/>
      <c r="YY161" s="1"/>
      <c r="YZ161" s="1"/>
      <c r="ZA161" s="1"/>
      <c r="ZB161" s="1"/>
      <c r="ZC161" s="1"/>
      <c r="ZD161" s="1"/>
      <c r="ZE161" s="1"/>
      <c r="ZF161" s="1"/>
      <c r="ZG161" s="1"/>
      <c r="ZH161" s="1"/>
      <c r="ZI161" s="1"/>
      <c r="ZJ161" s="1"/>
      <c r="ZK161" s="1"/>
      <c r="ZL161" s="1"/>
      <c r="ZM161" s="1"/>
      <c r="ZN161" s="1"/>
      <c r="ZO161" s="1"/>
      <c r="ZP161" s="1"/>
      <c r="ZQ161" s="1"/>
      <c r="ZR161" s="1"/>
      <c r="ZS161" s="1"/>
      <c r="ZT161" s="1"/>
      <c r="ZU161" s="1"/>
      <c r="ZV161" s="1"/>
      <c r="ZW161" s="1"/>
      <c r="ZX161" s="1"/>
      <c r="ZY161" s="1"/>
      <c r="ZZ161" s="1"/>
      <c r="AAA161" s="1"/>
      <c r="AAB161" s="1"/>
      <c r="AAC161" s="1"/>
      <c r="AAD161" s="1"/>
      <c r="AAE161" s="1"/>
      <c r="AAF161" s="1"/>
      <c r="AAG161" s="1"/>
      <c r="AAH161" s="1"/>
      <c r="AAI161" s="1"/>
      <c r="AAJ161" s="1"/>
      <c r="AAK161" s="1"/>
      <c r="AAL161" s="1"/>
      <c r="AAM161" s="1"/>
      <c r="AAN161" s="1"/>
      <c r="AAO161" s="1"/>
      <c r="AAP161" s="1"/>
      <c r="AAQ161" s="1"/>
      <c r="AAR161" s="1"/>
      <c r="AAS161" s="1"/>
      <c r="AAT161" s="1"/>
      <c r="AAU161" s="1"/>
      <c r="AAV161" s="1"/>
      <c r="AAW161" s="1"/>
      <c r="AAX161" s="1"/>
      <c r="AAY161" s="1"/>
      <c r="AAZ161" s="1"/>
      <c r="ABA161" s="1"/>
      <c r="ABB161" s="1"/>
      <c r="ABC161" s="1"/>
      <c r="ABD161" s="1"/>
      <c r="ABE161" s="1"/>
      <c r="ABF161" s="1"/>
      <c r="ABG161" s="1"/>
      <c r="ABH161" s="1"/>
      <c r="ABI161" s="1"/>
      <c r="ABJ161" s="1"/>
      <c r="ABK161" s="1"/>
      <c r="ABL161" s="1"/>
      <c r="ABM161" s="1"/>
      <c r="ABN161" s="1"/>
      <c r="ABO161" s="1"/>
      <c r="ABP161" s="1"/>
      <c r="ABQ161" s="1"/>
      <c r="ABR161" s="1"/>
      <c r="ABS161" s="1"/>
      <c r="ABT161" s="1"/>
      <c r="ABU161" s="1"/>
      <c r="ABV161" s="1"/>
      <c r="ABW161" s="1"/>
      <c r="ABX161" s="1"/>
      <c r="ABY161" s="1"/>
      <c r="ABZ161" s="1"/>
      <c r="ACA161" s="1"/>
      <c r="ACB161" s="1"/>
      <c r="ACC161" s="1"/>
      <c r="ACD161" s="1"/>
      <c r="ACE161" s="1"/>
      <c r="ACF161" s="1"/>
      <c r="ACG161" s="1"/>
      <c r="ACH161" s="1"/>
      <c r="ACI161" s="1"/>
      <c r="ACJ161" s="1"/>
      <c r="ACK161" s="1"/>
      <c r="ACL161" s="1"/>
      <c r="ACM161" s="1"/>
      <c r="ACN161" s="1"/>
      <c r="ACO161" s="1"/>
      <c r="ACP161" s="1"/>
      <c r="ACQ161" s="1"/>
      <c r="ACR161" s="1"/>
      <c r="ACS161" s="1"/>
      <c r="ACT161" s="1"/>
      <c r="ACU161" s="1"/>
      <c r="ACV161" s="1"/>
      <c r="ACW161" s="1"/>
      <c r="ACX161" s="1"/>
      <c r="ACY161" s="1"/>
      <c r="ACZ161" s="1"/>
      <c r="ADA161" s="1"/>
      <c r="ADB161" s="1"/>
      <c r="ADC161" s="1"/>
      <c r="ADD161" s="1"/>
      <c r="ADE161" s="1"/>
      <c r="ADF161" s="1"/>
      <c r="ADG161" s="1"/>
      <c r="ADH161" s="1"/>
      <c r="ADI161" s="1"/>
      <c r="ADJ161" s="1"/>
      <c r="ADK161" s="1"/>
      <c r="ADL161" s="1"/>
      <c r="ADM161" s="1"/>
      <c r="ADN161" s="1"/>
      <c r="ADO161" s="1"/>
      <c r="ADP161" s="1"/>
      <c r="ADQ161" s="1"/>
      <c r="ADR161" s="1"/>
      <c r="ADS161" s="1"/>
      <c r="ADT161" s="1"/>
      <c r="ADU161" s="1"/>
      <c r="ADV161" s="1"/>
      <c r="ADW161" s="1"/>
      <c r="ADX161" s="1"/>
      <c r="ADY161" s="1"/>
      <c r="ADZ161" s="1"/>
      <c r="AEA161" s="1"/>
      <c r="AEB161" s="1"/>
      <c r="AEC161" s="1"/>
      <c r="AED161" s="1"/>
      <c r="AEE161" s="1"/>
      <c r="AEF161" s="1"/>
      <c r="AEG161" s="1"/>
      <c r="AEH161" s="1"/>
      <c r="AEI161" s="1"/>
      <c r="AEJ161" s="1"/>
      <c r="AEK161" s="1"/>
      <c r="AEL161" s="1"/>
      <c r="AEM161" s="1"/>
      <c r="AEN161" s="1"/>
      <c r="AEO161" s="1"/>
      <c r="AEP161" s="1"/>
      <c r="AEQ161" s="1"/>
      <c r="AER161" s="1"/>
      <c r="AES161" s="1"/>
      <c r="AET161" s="1"/>
      <c r="AEU161" s="1"/>
      <c r="AEV161" s="1"/>
      <c r="AEW161" s="1"/>
      <c r="AEX161" s="1"/>
      <c r="AEY161" s="1"/>
      <c r="AEZ161" s="1"/>
      <c r="AFA161" s="1"/>
      <c r="AFB161" s="1"/>
      <c r="AFC161" s="1"/>
      <c r="AFD161" s="1"/>
      <c r="AFE161" s="1"/>
      <c r="AFF161" s="1"/>
      <c r="AFG161" s="1"/>
      <c r="AFH161" s="1"/>
      <c r="AFI161" s="1"/>
      <c r="AFJ161" s="1"/>
      <c r="AFK161" s="1"/>
      <c r="AFL161" s="1"/>
      <c r="AFM161" s="1"/>
      <c r="AFN161" s="1"/>
      <c r="AFO161" s="1"/>
      <c r="AFP161" s="1"/>
      <c r="AFQ161" s="1"/>
      <c r="AFR161" s="1"/>
      <c r="AFS161" s="1"/>
      <c r="AFT161" s="1"/>
      <c r="AFU161" s="1"/>
      <c r="AFV161" s="1"/>
      <c r="AFW161" s="1"/>
      <c r="AFX161" s="1"/>
      <c r="AFY161" s="1"/>
      <c r="AFZ161" s="1"/>
      <c r="AGA161" s="1"/>
      <c r="AGB161" s="1"/>
      <c r="AGC161" s="1"/>
      <c r="AGD161" s="1"/>
      <c r="AGE161" s="1"/>
      <c r="AGF161" s="1"/>
      <c r="AGG161" s="1"/>
      <c r="AGH161" s="1"/>
      <c r="AGI161" s="1"/>
      <c r="AGJ161" s="1"/>
      <c r="AGK161" s="1"/>
      <c r="AGL161" s="1"/>
      <c r="AGM161" s="1"/>
      <c r="AGN161" s="1"/>
      <c r="AGO161" s="1"/>
      <c r="AGP161" s="1"/>
      <c r="AGQ161" s="1"/>
      <c r="AGR161" s="1"/>
      <c r="AGS161" s="1"/>
      <c r="AGT161" s="1"/>
      <c r="AGU161" s="1"/>
      <c r="AGV161" s="1"/>
      <c r="AGW161" s="1"/>
      <c r="AGX161" s="1"/>
      <c r="AGY161" s="1"/>
      <c r="AGZ161" s="1"/>
      <c r="AHA161" s="1"/>
      <c r="AHB161" s="1"/>
      <c r="AHC161" s="1"/>
      <c r="AHD161" s="1"/>
      <c r="AHE161" s="1"/>
      <c r="AHF161" s="1"/>
      <c r="AHG161" s="1"/>
      <c r="AHH161" s="1"/>
      <c r="AHI161" s="1"/>
      <c r="AHJ161" s="1"/>
      <c r="AHK161" s="1"/>
      <c r="AHL161" s="1"/>
      <c r="AHM161" s="1"/>
      <c r="AHN161" s="1"/>
      <c r="AHO161" s="1"/>
      <c r="AHP161" s="1"/>
      <c r="AHQ161" s="1"/>
      <c r="AHR161" s="1"/>
      <c r="AHS161" s="1"/>
      <c r="AHT161" s="1"/>
      <c r="AHU161" s="1"/>
      <c r="AHV161" s="1"/>
      <c r="AHW161" s="1"/>
      <c r="AHX161" s="1"/>
      <c r="AHY161" s="1"/>
      <c r="AHZ161" s="1"/>
      <c r="AIA161" s="1"/>
      <c r="AIB161" s="1"/>
      <c r="AIC161" s="1"/>
      <c r="AID161" s="1"/>
      <c r="AIE161" s="1"/>
      <c r="AIF161" s="1"/>
      <c r="AIG161" s="1"/>
      <c r="AIH161" s="1"/>
      <c r="AII161" s="1"/>
      <c r="AIJ161" s="1"/>
      <c r="AIK161" s="1"/>
      <c r="AIL161" s="1"/>
      <c r="AIM161" s="1"/>
      <c r="AIN161" s="1"/>
      <c r="AIO161" s="1"/>
      <c r="AIP161" s="1"/>
      <c r="AIQ161" s="1"/>
      <c r="AIR161" s="1"/>
      <c r="AIS161" s="1"/>
      <c r="AIT161" s="1"/>
      <c r="AIU161" s="1"/>
      <c r="AIV161" s="1"/>
      <c r="AIW161" s="1"/>
      <c r="AIX161" s="1"/>
      <c r="AIY161" s="1"/>
      <c r="AIZ161" s="1"/>
      <c r="AJA161" s="1"/>
      <c r="AJB161" s="1"/>
      <c r="AJC161" s="1"/>
      <c r="AJD161" s="1"/>
      <c r="AJE161" s="1"/>
      <c r="AJF161" s="1"/>
      <c r="AJG161" s="1"/>
      <c r="AJH161" s="1"/>
      <c r="AJI161" s="1"/>
      <c r="AJJ161" s="1"/>
      <c r="AJK161" s="1"/>
      <c r="AJL161" s="1"/>
      <c r="AJM161" s="1"/>
      <c r="AJN161" s="1"/>
      <c r="AJO161" s="1"/>
      <c r="AJP161" s="1"/>
      <c r="AJQ161" s="1"/>
      <c r="AJR161" s="1"/>
      <c r="AJS161" s="1"/>
      <c r="AJT161" s="1"/>
      <c r="AJU161" s="1"/>
      <c r="AJV161" s="1"/>
      <c r="AJW161" s="1"/>
      <c r="AJX161" s="1"/>
      <c r="AJY161" s="1"/>
      <c r="AJZ161" s="1"/>
      <c r="AKA161" s="1"/>
      <c r="AKB161" s="1"/>
      <c r="AKC161" s="1"/>
      <c r="AKD161" s="1"/>
      <c r="AKE161" s="1"/>
      <c r="AKF161" s="1"/>
      <c r="AKG161" s="1"/>
      <c r="AKH161" s="1"/>
      <c r="AKI161" s="1"/>
      <c r="AKJ161" s="1"/>
      <c r="AKK161" s="1"/>
      <c r="AKL161" s="1"/>
      <c r="AKM161" s="1"/>
      <c r="AKN161" s="1"/>
      <c r="AKO161" s="1"/>
      <c r="AKP161" s="1"/>
      <c r="AKQ161" s="1"/>
      <c r="AKR161" s="1"/>
      <c r="AKS161" s="1"/>
      <c r="AKT161" s="1"/>
      <c r="AKU161" s="1"/>
      <c r="AKV161" s="1"/>
      <c r="AKW161" s="1"/>
      <c r="AKX161" s="1"/>
      <c r="AKY161" s="1"/>
      <c r="AKZ161" s="1"/>
      <c r="ALA161" s="1"/>
      <c r="ALB161" s="1"/>
      <c r="ALC161" s="1"/>
      <c r="ALD161" s="1"/>
      <c r="ALE161" s="1"/>
      <c r="ALF161" s="1"/>
      <c r="ALG161" s="1"/>
      <c r="ALH161" s="1"/>
      <c r="ALI161" s="1"/>
      <c r="ALJ161" s="1"/>
      <c r="ALK161" s="1"/>
      <c r="ALL161" s="1"/>
      <c r="ALM161" s="1"/>
      <c r="ALN161" s="1"/>
      <c r="ALO161" s="1"/>
      <c r="ALP161" s="1"/>
      <c r="ALQ161" s="1"/>
      <c r="ALR161" s="1"/>
      <c r="ALS161" s="1"/>
      <c r="ALT161" s="1"/>
      <c r="ALU161" s="1"/>
      <c r="ALV161" s="1"/>
      <c r="ALW161" s="1"/>
      <c r="ALX161" s="1"/>
      <c r="ALY161" s="1"/>
      <c r="ALZ161" s="1"/>
      <c r="AMA161" s="1"/>
      <c r="AMB161" s="1"/>
      <c r="AMC161" s="1"/>
      <c r="AMD161" s="1"/>
      <c r="AME161" s="1"/>
      <c r="AMF161" s="1"/>
      <c r="AMG161" s="1"/>
      <c r="AMH161" s="1"/>
      <c r="AMI161" s="1"/>
      <c r="AMJ161" s="1"/>
    </row>
    <row r="162" customFormat="false" ht="10.5" hidden="false" customHeight="true" outlineLevel="0" collapsed="false">
      <c r="A162" s="221"/>
      <c r="B162" s="221"/>
      <c r="C162" s="221"/>
      <c r="D162" s="221"/>
      <c r="E162" s="221"/>
      <c r="F162" s="221"/>
      <c r="G162" s="222"/>
      <c r="H162" s="222"/>
      <c r="I162" s="222"/>
      <c r="J162" s="222"/>
      <c r="K162" s="222"/>
      <c r="L162" s="222"/>
      <c r="M162" s="222"/>
      <c r="N162" s="222"/>
      <c r="O162" s="222"/>
      <c r="P162" s="222"/>
      <c r="Q162" s="222"/>
      <c r="R162" s="222"/>
      <c r="S162" s="222"/>
      <c r="T162" s="222"/>
      <c r="U162" s="222"/>
      <c r="V162" s="222"/>
      <c r="W162" s="222"/>
      <c r="X162" s="222"/>
      <c r="Y162" s="222"/>
      <c r="Z162" s="222"/>
      <c r="AA162" s="222"/>
      <c r="AB162" s="222"/>
      <c r="AC162" s="222"/>
      <c r="AD162" s="222"/>
      <c r="AE162" s="222"/>
      <c r="AF162" s="222"/>
      <c r="AG162" s="222"/>
      <c r="AH162" s="222"/>
      <c r="AI162" s="142" t="n">
        <f aca="false">SUM(A162:AH162)</f>
        <v>0</v>
      </c>
      <c r="AJ162" s="142"/>
      <c r="AK162" s="142"/>
      <c r="AL162" s="142"/>
      <c r="AM162" s="142"/>
      <c r="AN162" s="142"/>
      <c r="AO162" s="142"/>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c r="IY162" s="1"/>
      <c r="IZ162" s="1"/>
      <c r="JA162" s="1"/>
      <c r="JB162" s="1"/>
      <c r="JC162" s="1"/>
      <c r="JD162" s="1"/>
      <c r="JE162" s="1"/>
      <c r="JF162" s="1"/>
      <c r="JG162" s="1"/>
      <c r="JH162" s="1"/>
      <c r="JI162" s="1"/>
      <c r="JJ162" s="1"/>
      <c r="JK162" s="1"/>
      <c r="JL162" s="1"/>
      <c r="JM162" s="1"/>
      <c r="JN162" s="1"/>
      <c r="JO162" s="1"/>
      <c r="JP162" s="1"/>
      <c r="JQ162" s="1"/>
      <c r="JR162" s="1"/>
      <c r="JS162" s="1"/>
      <c r="JT162" s="1"/>
      <c r="JU162" s="1"/>
      <c r="JV162" s="1"/>
      <c r="JW162" s="1"/>
      <c r="JX162" s="1"/>
      <c r="JY162" s="1"/>
      <c r="JZ162" s="1"/>
      <c r="KA162" s="1"/>
      <c r="KB162" s="1"/>
      <c r="KC162" s="1"/>
      <c r="KD162" s="1"/>
      <c r="KE162" s="1"/>
      <c r="KF162" s="1"/>
      <c r="KG162" s="1"/>
      <c r="KH162" s="1"/>
      <c r="KI162" s="1"/>
      <c r="KJ162" s="1"/>
      <c r="KK162" s="1"/>
      <c r="KL162" s="1"/>
      <c r="KM162" s="1"/>
      <c r="KN162" s="1"/>
      <c r="KO162" s="1"/>
      <c r="KP162" s="1"/>
      <c r="KQ162" s="1"/>
      <c r="KR162" s="1"/>
      <c r="KS162" s="1"/>
      <c r="KT162" s="1"/>
      <c r="KU162" s="1"/>
      <c r="KV162" s="1"/>
      <c r="KW162" s="1"/>
      <c r="KX162" s="1"/>
      <c r="KY162" s="1"/>
      <c r="KZ162" s="1"/>
      <c r="LA162" s="1"/>
      <c r="LB162" s="1"/>
      <c r="LC162" s="1"/>
      <c r="LD162" s="1"/>
      <c r="LE162" s="1"/>
      <c r="LF162" s="1"/>
      <c r="LG162" s="1"/>
      <c r="LH162" s="1"/>
      <c r="LI162" s="1"/>
      <c r="LJ162" s="1"/>
      <c r="LK162" s="1"/>
      <c r="LL162" s="1"/>
      <c r="LM162" s="1"/>
      <c r="LN162" s="1"/>
      <c r="LO162" s="1"/>
      <c r="LP162" s="1"/>
      <c r="LQ162" s="1"/>
      <c r="LR162" s="1"/>
      <c r="LS162" s="1"/>
      <c r="LT162" s="1"/>
      <c r="LU162" s="1"/>
      <c r="LV162" s="1"/>
      <c r="LW162" s="1"/>
      <c r="LX162" s="1"/>
      <c r="LY162" s="1"/>
      <c r="LZ162" s="1"/>
      <c r="MA162" s="1"/>
      <c r="MB162" s="1"/>
      <c r="MC162" s="1"/>
      <c r="MD162" s="1"/>
      <c r="ME162" s="1"/>
      <c r="MF162" s="1"/>
      <c r="MG162" s="1"/>
      <c r="MH162" s="1"/>
      <c r="MI162" s="1"/>
      <c r="MJ162" s="1"/>
      <c r="MK162" s="1"/>
      <c r="ML162" s="1"/>
      <c r="MM162" s="1"/>
      <c r="MN162" s="1"/>
      <c r="MO162" s="1"/>
      <c r="MP162" s="1"/>
      <c r="MQ162" s="1"/>
      <c r="MR162" s="1"/>
      <c r="MS162" s="1"/>
      <c r="MT162" s="1"/>
      <c r="MU162" s="1"/>
      <c r="MV162" s="1"/>
      <c r="MW162" s="1"/>
      <c r="MX162" s="1"/>
      <c r="MY162" s="1"/>
      <c r="MZ162" s="1"/>
      <c r="NA162" s="1"/>
      <c r="NB162" s="1"/>
      <c r="NC162" s="1"/>
      <c r="ND162" s="1"/>
      <c r="NE162" s="1"/>
      <c r="NF162" s="1"/>
      <c r="NG162" s="1"/>
      <c r="NH162" s="1"/>
      <c r="NI162" s="1"/>
      <c r="NJ162" s="1"/>
      <c r="NK162" s="1"/>
      <c r="NL162" s="1"/>
      <c r="NM162" s="1"/>
      <c r="NN162" s="1"/>
      <c r="NO162" s="1"/>
      <c r="NP162" s="1"/>
      <c r="NQ162" s="1"/>
      <c r="NR162" s="1"/>
      <c r="NS162" s="1"/>
      <c r="NT162" s="1"/>
      <c r="NU162" s="1"/>
      <c r="NV162" s="1"/>
      <c r="NW162" s="1"/>
      <c r="NX162" s="1"/>
      <c r="NY162" s="1"/>
      <c r="NZ162" s="1"/>
      <c r="OA162" s="1"/>
      <c r="OB162" s="1"/>
      <c r="OC162" s="1"/>
      <c r="OD162" s="1"/>
      <c r="OE162" s="1"/>
      <c r="OF162" s="1"/>
      <c r="OG162" s="1"/>
      <c r="OH162" s="1"/>
      <c r="OI162" s="1"/>
      <c r="OJ162" s="1"/>
      <c r="OK162" s="1"/>
      <c r="OL162" s="1"/>
      <c r="OM162" s="1"/>
      <c r="ON162" s="1"/>
      <c r="OO162" s="1"/>
      <c r="OP162" s="1"/>
      <c r="OQ162" s="1"/>
      <c r="OR162" s="1"/>
      <c r="OS162" s="1"/>
      <c r="OT162" s="1"/>
      <c r="OU162" s="1"/>
      <c r="OV162" s="1"/>
      <c r="OW162" s="1"/>
      <c r="OX162" s="1"/>
      <c r="OY162" s="1"/>
      <c r="OZ162" s="1"/>
      <c r="PA162" s="1"/>
      <c r="PB162" s="1"/>
      <c r="PC162" s="1"/>
      <c r="PD162" s="1"/>
      <c r="PE162" s="1"/>
      <c r="PF162" s="1"/>
      <c r="PG162" s="1"/>
      <c r="PH162" s="1"/>
      <c r="PI162" s="1"/>
      <c r="PJ162" s="1"/>
      <c r="PK162" s="1"/>
      <c r="PL162" s="1"/>
      <c r="PM162" s="1"/>
      <c r="PN162" s="1"/>
      <c r="PO162" s="1"/>
      <c r="PP162" s="1"/>
      <c r="PQ162" s="1"/>
      <c r="PR162" s="1"/>
      <c r="PS162" s="1"/>
      <c r="PT162" s="1"/>
      <c r="PU162" s="1"/>
      <c r="PV162" s="1"/>
      <c r="PW162" s="1"/>
      <c r="PX162" s="1"/>
      <c r="PY162" s="1"/>
      <c r="PZ162" s="1"/>
      <c r="QA162" s="1"/>
      <c r="QB162" s="1"/>
      <c r="QC162" s="1"/>
      <c r="QD162" s="1"/>
      <c r="QE162" s="1"/>
      <c r="QF162" s="1"/>
      <c r="QG162" s="1"/>
      <c r="QH162" s="1"/>
      <c r="QI162" s="1"/>
      <c r="QJ162" s="1"/>
      <c r="QK162" s="1"/>
      <c r="QL162" s="1"/>
      <c r="QM162" s="1"/>
      <c r="QN162" s="1"/>
      <c r="QO162" s="1"/>
      <c r="QP162" s="1"/>
      <c r="QQ162" s="1"/>
      <c r="QR162" s="1"/>
      <c r="QS162" s="1"/>
      <c r="QT162" s="1"/>
      <c r="QU162" s="1"/>
      <c r="QV162" s="1"/>
      <c r="QW162" s="1"/>
      <c r="QX162" s="1"/>
      <c r="QY162" s="1"/>
      <c r="QZ162" s="1"/>
      <c r="RA162" s="1"/>
      <c r="RB162" s="1"/>
      <c r="RC162" s="1"/>
      <c r="RD162" s="1"/>
      <c r="RE162" s="1"/>
      <c r="RF162" s="1"/>
      <c r="RG162" s="1"/>
      <c r="RH162" s="1"/>
      <c r="RI162" s="1"/>
      <c r="RJ162" s="1"/>
      <c r="RK162" s="1"/>
      <c r="RL162" s="1"/>
      <c r="RM162" s="1"/>
      <c r="RN162" s="1"/>
      <c r="RO162" s="1"/>
      <c r="RP162" s="1"/>
      <c r="RQ162" s="1"/>
      <c r="RR162" s="1"/>
      <c r="RS162" s="1"/>
      <c r="RT162" s="1"/>
      <c r="RU162" s="1"/>
      <c r="RV162" s="1"/>
      <c r="RW162" s="1"/>
      <c r="RX162" s="1"/>
      <c r="RY162" s="1"/>
      <c r="RZ162" s="1"/>
      <c r="SA162" s="1"/>
      <c r="SB162" s="1"/>
      <c r="SC162" s="1"/>
      <c r="SD162" s="1"/>
      <c r="SE162" s="1"/>
      <c r="SF162" s="1"/>
      <c r="SG162" s="1"/>
      <c r="SH162" s="1"/>
      <c r="SI162" s="1"/>
      <c r="SJ162" s="1"/>
      <c r="SK162" s="1"/>
      <c r="SL162" s="1"/>
      <c r="SM162" s="1"/>
      <c r="SN162" s="1"/>
      <c r="SO162" s="1"/>
      <c r="SP162" s="1"/>
      <c r="SQ162" s="1"/>
      <c r="SR162" s="1"/>
      <c r="SS162" s="1"/>
      <c r="ST162" s="1"/>
      <c r="SU162" s="1"/>
      <c r="SV162" s="1"/>
      <c r="SW162" s="1"/>
      <c r="SX162" s="1"/>
      <c r="SY162" s="1"/>
      <c r="SZ162" s="1"/>
      <c r="TA162" s="1"/>
      <c r="TB162" s="1"/>
      <c r="TC162" s="1"/>
      <c r="TD162" s="1"/>
      <c r="TE162" s="1"/>
      <c r="TF162" s="1"/>
      <c r="TG162" s="1"/>
      <c r="TH162" s="1"/>
      <c r="TI162" s="1"/>
      <c r="TJ162" s="1"/>
      <c r="TK162" s="1"/>
      <c r="TL162" s="1"/>
      <c r="TM162" s="1"/>
      <c r="TN162" s="1"/>
      <c r="TO162" s="1"/>
      <c r="TP162" s="1"/>
      <c r="TQ162" s="1"/>
      <c r="TR162" s="1"/>
      <c r="TS162" s="1"/>
      <c r="TT162" s="1"/>
      <c r="TU162" s="1"/>
      <c r="TV162" s="1"/>
      <c r="TW162" s="1"/>
      <c r="TX162" s="1"/>
      <c r="TY162" s="1"/>
      <c r="TZ162" s="1"/>
      <c r="UA162" s="1"/>
      <c r="UB162" s="1"/>
      <c r="UC162" s="1"/>
      <c r="UD162" s="1"/>
      <c r="UE162" s="1"/>
      <c r="UF162" s="1"/>
      <c r="UG162" s="1"/>
      <c r="UH162" s="1"/>
      <c r="UI162" s="1"/>
      <c r="UJ162" s="1"/>
      <c r="UK162" s="1"/>
      <c r="UL162" s="1"/>
      <c r="UM162" s="1"/>
      <c r="UN162" s="1"/>
      <c r="UO162" s="1"/>
      <c r="UP162" s="1"/>
      <c r="UQ162" s="1"/>
      <c r="UR162" s="1"/>
      <c r="US162" s="1"/>
      <c r="UT162" s="1"/>
      <c r="UU162" s="1"/>
      <c r="UV162" s="1"/>
      <c r="UW162" s="1"/>
      <c r="UX162" s="1"/>
      <c r="UY162" s="1"/>
      <c r="UZ162" s="1"/>
      <c r="VA162" s="1"/>
      <c r="VB162" s="1"/>
      <c r="VC162" s="1"/>
      <c r="VD162" s="1"/>
      <c r="VE162" s="1"/>
      <c r="VF162" s="1"/>
      <c r="VG162" s="1"/>
      <c r="VH162" s="1"/>
      <c r="VI162" s="1"/>
      <c r="VJ162" s="1"/>
      <c r="VK162" s="1"/>
      <c r="VL162" s="1"/>
      <c r="VM162" s="1"/>
      <c r="VN162" s="1"/>
      <c r="VO162" s="1"/>
      <c r="VP162" s="1"/>
      <c r="VQ162" s="1"/>
      <c r="VR162" s="1"/>
      <c r="VS162" s="1"/>
      <c r="VT162" s="1"/>
      <c r="VU162" s="1"/>
      <c r="VV162" s="1"/>
      <c r="VW162" s="1"/>
      <c r="VX162" s="1"/>
      <c r="VY162" s="1"/>
      <c r="VZ162" s="1"/>
      <c r="WA162" s="1"/>
      <c r="WB162" s="1"/>
      <c r="WC162" s="1"/>
      <c r="WD162" s="1"/>
      <c r="WE162" s="1"/>
      <c r="WF162" s="1"/>
      <c r="WG162" s="1"/>
      <c r="WH162" s="1"/>
      <c r="WI162" s="1"/>
      <c r="WJ162" s="1"/>
      <c r="WK162" s="1"/>
      <c r="WL162" s="1"/>
      <c r="WM162" s="1"/>
      <c r="WN162" s="1"/>
      <c r="WO162" s="1"/>
      <c r="WP162" s="1"/>
      <c r="WQ162" s="1"/>
      <c r="WR162" s="1"/>
      <c r="WS162" s="1"/>
      <c r="WT162" s="1"/>
      <c r="WU162" s="1"/>
      <c r="WV162" s="1"/>
      <c r="WW162" s="1"/>
      <c r="WX162" s="1"/>
      <c r="WY162" s="1"/>
      <c r="WZ162" s="1"/>
      <c r="XA162" s="1"/>
      <c r="XB162" s="1"/>
      <c r="XC162" s="1"/>
      <c r="XD162" s="1"/>
      <c r="XE162" s="1"/>
      <c r="XF162" s="1"/>
      <c r="XG162" s="1"/>
      <c r="XH162" s="1"/>
      <c r="XI162" s="1"/>
      <c r="XJ162" s="1"/>
      <c r="XK162" s="1"/>
      <c r="XL162" s="1"/>
      <c r="XM162" s="1"/>
      <c r="XN162" s="1"/>
      <c r="XO162" s="1"/>
      <c r="XP162" s="1"/>
      <c r="XQ162" s="1"/>
      <c r="XR162" s="1"/>
      <c r="XS162" s="1"/>
      <c r="XT162" s="1"/>
      <c r="XU162" s="1"/>
      <c r="XV162" s="1"/>
      <c r="XW162" s="1"/>
      <c r="XX162" s="1"/>
      <c r="XY162" s="1"/>
      <c r="XZ162" s="1"/>
      <c r="YA162" s="1"/>
      <c r="YB162" s="1"/>
      <c r="YC162" s="1"/>
      <c r="YD162" s="1"/>
      <c r="YE162" s="1"/>
      <c r="YF162" s="1"/>
      <c r="YG162" s="1"/>
      <c r="YH162" s="1"/>
      <c r="YI162" s="1"/>
      <c r="YJ162" s="1"/>
      <c r="YK162" s="1"/>
      <c r="YL162" s="1"/>
      <c r="YM162" s="1"/>
      <c r="YN162" s="1"/>
      <c r="YO162" s="1"/>
      <c r="YP162" s="1"/>
      <c r="YQ162" s="1"/>
      <c r="YR162" s="1"/>
      <c r="YS162" s="1"/>
      <c r="YT162" s="1"/>
      <c r="YU162" s="1"/>
      <c r="YV162" s="1"/>
      <c r="YW162" s="1"/>
      <c r="YX162" s="1"/>
      <c r="YY162" s="1"/>
      <c r="YZ162" s="1"/>
      <c r="ZA162" s="1"/>
      <c r="ZB162" s="1"/>
      <c r="ZC162" s="1"/>
      <c r="ZD162" s="1"/>
      <c r="ZE162" s="1"/>
      <c r="ZF162" s="1"/>
      <c r="ZG162" s="1"/>
      <c r="ZH162" s="1"/>
      <c r="ZI162" s="1"/>
      <c r="ZJ162" s="1"/>
      <c r="ZK162" s="1"/>
      <c r="ZL162" s="1"/>
      <c r="ZM162" s="1"/>
      <c r="ZN162" s="1"/>
      <c r="ZO162" s="1"/>
      <c r="ZP162" s="1"/>
      <c r="ZQ162" s="1"/>
      <c r="ZR162" s="1"/>
      <c r="ZS162" s="1"/>
      <c r="ZT162" s="1"/>
      <c r="ZU162" s="1"/>
      <c r="ZV162" s="1"/>
      <c r="ZW162" s="1"/>
      <c r="ZX162" s="1"/>
      <c r="ZY162" s="1"/>
      <c r="ZZ162" s="1"/>
      <c r="AAA162" s="1"/>
      <c r="AAB162" s="1"/>
      <c r="AAC162" s="1"/>
      <c r="AAD162" s="1"/>
      <c r="AAE162" s="1"/>
      <c r="AAF162" s="1"/>
      <c r="AAG162" s="1"/>
      <c r="AAH162" s="1"/>
      <c r="AAI162" s="1"/>
      <c r="AAJ162" s="1"/>
      <c r="AAK162" s="1"/>
      <c r="AAL162" s="1"/>
      <c r="AAM162" s="1"/>
      <c r="AAN162" s="1"/>
      <c r="AAO162" s="1"/>
      <c r="AAP162" s="1"/>
      <c r="AAQ162" s="1"/>
      <c r="AAR162" s="1"/>
      <c r="AAS162" s="1"/>
      <c r="AAT162" s="1"/>
      <c r="AAU162" s="1"/>
      <c r="AAV162" s="1"/>
      <c r="AAW162" s="1"/>
      <c r="AAX162" s="1"/>
      <c r="AAY162" s="1"/>
      <c r="AAZ162" s="1"/>
      <c r="ABA162" s="1"/>
      <c r="ABB162" s="1"/>
      <c r="ABC162" s="1"/>
      <c r="ABD162" s="1"/>
      <c r="ABE162" s="1"/>
      <c r="ABF162" s="1"/>
      <c r="ABG162" s="1"/>
      <c r="ABH162" s="1"/>
      <c r="ABI162" s="1"/>
      <c r="ABJ162" s="1"/>
      <c r="ABK162" s="1"/>
      <c r="ABL162" s="1"/>
      <c r="ABM162" s="1"/>
      <c r="ABN162" s="1"/>
      <c r="ABO162" s="1"/>
      <c r="ABP162" s="1"/>
      <c r="ABQ162" s="1"/>
      <c r="ABR162" s="1"/>
      <c r="ABS162" s="1"/>
      <c r="ABT162" s="1"/>
      <c r="ABU162" s="1"/>
      <c r="ABV162" s="1"/>
      <c r="ABW162" s="1"/>
      <c r="ABX162" s="1"/>
      <c r="ABY162" s="1"/>
      <c r="ABZ162" s="1"/>
      <c r="ACA162" s="1"/>
      <c r="ACB162" s="1"/>
      <c r="ACC162" s="1"/>
      <c r="ACD162" s="1"/>
      <c r="ACE162" s="1"/>
      <c r="ACF162" s="1"/>
      <c r="ACG162" s="1"/>
      <c r="ACH162" s="1"/>
      <c r="ACI162" s="1"/>
      <c r="ACJ162" s="1"/>
      <c r="ACK162" s="1"/>
      <c r="ACL162" s="1"/>
      <c r="ACM162" s="1"/>
      <c r="ACN162" s="1"/>
      <c r="ACO162" s="1"/>
      <c r="ACP162" s="1"/>
      <c r="ACQ162" s="1"/>
      <c r="ACR162" s="1"/>
      <c r="ACS162" s="1"/>
      <c r="ACT162" s="1"/>
      <c r="ACU162" s="1"/>
      <c r="ACV162" s="1"/>
      <c r="ACW162" s="1"/>
      <c r="ACX162" s="1"/>
      <c r="ACY162" s="1"/>
      <c r="ACZ162" s="1"/>
      <c r="ADA162" s="1"/>
      <c r="ADB162" s="1"/>
      <c r="ADC162" s="1"/>
      <c r="ADD162" s="1"/>
      <c r="ADE162" s="1"/>
      <c r="ADF162" s="1"/>
      <c r="ADG162" s="1"/>
      <c r="ADH162" s="1"/>
      <c r="ADI162" s="1"/>
      <c r="ADJ162" s="1"/>
      <c r="ADK162" s="1"/>
      <c r="ADL162" s="1"/>
      <c r="ADM162" s="1"/>
      <c r="ADN162" s="1"/>
      <c r="ADO162" s="1"/>
      <c r="ADP162" s="1"/>
      <c r="ADQ162" s="1"/>
      <c r="ADR162" s="1"/>
      <c r="ADS162" s="1"/>
      <c r="ADT162" s="1"/>
      <c r="ADU162" s="1"/>
      <c r="ADV162" s="1"/>
      <c r="ADW162" s="1"/>
      <c r="ADX162" s="1"/>
      <c r="ADY162" s="1"/>
      <c r="ADZ162" s="1"/>
      <c r="AEA162" s="1"/>
      <c r="AEB162" s="1"/>
      <c r="AEC162" s="1"/>
      <c r="AED162" s="1"/>
      <c r="AEE162" s="1"/>
      <c r="AEF162" s="1"/>
      <c r="AEG162" s="1"/>
      <c r="AEH162" s="1"/>
      <c r="AEI162" s="1"/>
      <c r="AEJ162" s="1"/>
      <c r="AEK162" s="1"/>
      <c r="AEL162" s="1"/>
      <c r="AEM162" s="1"/>
      <c r="AEN162" s="1"/>
      <c r="AEO162" s="1"/>
      <c r="AEP162" s="1"/>
      <c r="AEQ162" s="1"/>
      <c r="AER162" s="1"/>
      <c r="AES162" s="1"/>
      <c r="AET162" s="1"/>
      <c r="AEU162" s="1"/>
      <c r="AEV162" s="1"/>
      <c r="AEW162" s="1"/>
      <c r="AEX162" s="1"/>
      <c r="AEY162" s="1"/>
      <c r="AEZ162" s="1"/>
      <c r="AFA162" s="1"/>
      <c r="AFB162" s="1"/>
      <c r="AFC162" s="1"/>
      <c r="AFD162" s="1"/>
      <c r="AFE162" s="1"/>
      <c r="AFF162" s="1"/>
      <c r="AFG162" s="1"/>
      <c r="AFH162" s="1"/>
      <c r="AFI162" s="1"/>
      <c r="AFJ162" s="1"/>
      <c r="AFK162" s="1"/>
      <c r="AFL162" s="1"/>
      <c r="AFM162" s="1"/>
      <c r="AFN162" s="1"/>
      <c r="AFO162" s="1"/>
      <c r="AFP162" s="1"/>
      <c r="AFQ162" s="1"/>
      <c r="AFR162" s="1"/>
      <c r="AFS162" s="1"/>
      <c r="AFT162" s="1"/>
      <c r="AFU162" s="1"/>
      <c r="AFV162" s="1"/>
      <c r="AFW162" s="1"/>
      <c r="AFX162" s="1"/>
      <c r="AFY162" s="1"/>
      <c r="AFZ162" s="1"/>
      <c r="AGA162" s="1"/>
      <c r="AGB162" s="1"/>
      <c r="AGC162" s="1"/>
      <c r="AGD162" s="1"/>
      <c r="AGE162" s="1"/>
      <c r="AGF162" s="1"/>
      <c r="AGG162" s="1"/>
      <c r="AGH162" s="1"/>
      <c r="AGI162" s="1"/>
      <c r="AGJ162" s="1"/>
      <c r="AGK162" s="1"/>
      <c r="AGL162" s="1"/>
      <c r="AGM162" s="1"/>
      <c r="AGN162" s="1"/>
      <c r="AGO162" s="1"/>
      <c r="AGP162" s="1"/>
      <c r="AGQ162" s="1"/>
      <c r="AGR162" s="1"/>
      <c r="AGS162" s="1"/>
      <c r="AGT162" s="1"/>
      <c r="AGU162" s="1"/>
      <c r="AGV162" s="1"/>
      <c r="AGW162" s="1"/>
      <c r="AGX162" s="1"/>
      <c r="AGY162" s="1"/>
      <c r="AGZ162" s="1"/>
      <c r="AHA162" s="1"/>
      <c r="AHB162" s="1"/>
      <c r="AHC162" s="1"/>
      <c r="AHD162" s="1"/>
      <c r="AHE162" s="1"/>
      <c r="AHF162" s="1"/>
      <c r="AHG162" s="1"/>
      <c r="AHH162" s="1"/>
      <c r="AHI162" s="1"/>
      <c r="AHJ162" s="1"/>
      <c r="AHK162" s="1"/>
      <c r="AHL162" s="1"/>
      <c r="AHM162" s="1"/>
      <c r="AHN162" s="1"/>
      <c r="AHO162" s="1"/>
      <c r="AHP162" s="1"/>
      <c r="AHQ162" s="1"/>
      <c r="AHR162" s="1"/>
      <c r="AHS162" s="1"/>
      <c r="AHT162" s="1"/>
      <c r="AHU162" s="1"/>
      <c r="AHV162" s="1"/>
      <c r="AHW162" s="1"/>
      <c r="AHX162" s="1"/>
      <c r="AHY162" s="1"/>
      <c r="AHZ162" s="1"/>
      <c r="AIA162" s="1"/>
      <c r="AIB162" s="1"/>
      <c r="AIC162" s="1"/>
      <c r="AID162" s="1"/>
      <c r="AIE162" s="1"/>
      <c r="AIF162" s="1"/>
      <c r="AIG162" s="1"/>
      <c r="AIH162" s="1"/>
      <c r="AII162" s="1"/>
      <c r="AIJ162" s="1"/>
      <c r="AIK162" s="1"/>
      <c r="AIL162" s="1"/>
      <c r="AIM162" s="1"/>
      <c r="AIN162" s="1"/>
      <c r="AIO162" s="1"/>
      <c r="AIP162" s="1"/>
      <c r="AIQ162" s="1"/>
      <c r="AIR162" s="1"/>
      <c r="AIS162" s="1"/>
      <c r="AIT162" s="1"/>
      <c r="AIU162" s="1"/>
      <c r="AIV162" s="1"/>
      <c r="AIW162" s="1"/>
      <c r="AIX162" s="1"/>
      <c r="AIY162" s="1"/>
      <c r="AIZ162" s="1"/>
      <c r="AJA162" s="1"/>
      <c r="AJB162" s="1"/>
      <c r="AJC162" s="1"/>
      <c r="AJD162" s="1"/>
      <c r="AJE162" s="1"/>
      <c r="AJF162" s="1"/>
      <c r="AJG162" s="1"/>
      <c r="AJH162" s="1"/>
      <c r="AJI162" s="1"/>
      <c r="AJJ162" s="1"/>
      <c r="AJK162" s="1"/>
      <c r="AJL162" s="1"/>
      <c r="AJM162" s="1"/>
      <c r="AJN162" s="1"/>
      <c r="AJO162" s="1"/>
      <c r="AJP162" s="1"/>
      <c r="AJQ162" s="1"/>
      <c r="AJR162" s="1"/>
      <c r="AJS162" s="1"/>
      <c r="AJT162" s="1"/>
      <c r="AJU162" s="1"/>
      <c r="AJV162" s="1"/>
      <c r="AJW162" s="1"/>
      <c r="AJX162" s="1"/>
      <c r="AJY162" s="1"/>
      <c r="AJZ162" s="1"/>
      <c r="AKA162" s="1"/>
      <c r="AKB162" s="1"/>
      <c r="AKC162" s="1"/>
      <c r="AKD162" s="1"/>
      <c r="AKE162" s="1"/>
      <c r="AKF162" s="1"/>
      <c r="AKG162" s="1"/>
      <c r="AKH162" s="1"/>
      <c r="AKI162" s="1"/>
      <c r="AKJ162" s="1"/>
      <c r="AKK162" s="1"/>
      <c r="AKL162" s="1"/>
      <c r="AKM162" s="1"/>
      <c r="AKN162" s="1"/>
      <c r="AKO162" s="1"/>
      <c r="AKP162" s="1"/>
      <c r="AKQ162" s="1"/>
      <c r="AKR162" s="1"/>
      <c r="AKS162" s="1"/>
      <c r="AKT162" s="1"/>
      <c r="AKU162" s="1"/>
      <c r="AKV162" s="1"/>
      <c r="AKW162" s="1"/>
      <c r="AKX162" s="1"/>
      <c r="AKY162" s="1"/>
      <c r="AKZ162" s="1"/>
      <c r="ALA162" s="1"/>
      <c r="ALB162" s="1"/>
      <c r="ALC162" s="1"/>
      <c r="ALD162" s="1"/>
      <c r="ALE162" s="1"/>
      <c r="ALF162" s="1"/>
      <c r="ALG162" s="1"/>
      <c r="ALH162" s="1"/>
      <c r="ALI162" s="1"/>
      <c r="ALJ162" s="1"/>
      <c r="ALK162" s="1"/>
      <c r="ALL162" s="1"/>
      <c r="ALM162" s="1"/>
      <c r="ALN162" s="1"/>
      <c r="ALO162" s="1"/>
      <c r="ALP162" s="1"/>
      <c r="ALQ162" s="1"/>
      <c r="ALR162" s="1"/>
      <c r="ALS162" s="1"/>
      <c r="ALT162" s="1"/>
      <c r="ALU162" s="1"/>
      <c r="ALV162" s="1"/>
      <c r="ALW162" s="1"/>
      <c r="ALX162" s="1"/>
      <c r="ALY162" s="1"/>
      <c r="ALZ162" s="1"/>
      <c r="AMA162" s="1"/>
      <c r="AMB162" s="1"/>
      <c r="AMC162" s="1"/>
      <c r="AMD162" s="1"/>
      <c r="AME162" s="1"/>
      <c r="AMF162" s="1"/>
      <c r="AMG162" s="1"/>
      <c r="AMH162" s="1"/>
      <c r="AMI162" s="1"/>
      <c r="AMJ162" s="1"/>
    </row>
    <row r="163" customFormat="false" ht="10.5" hidden="false" customHeight="true" outlineLevel="0" collapsed="false">
      <c r="A163" s="221"/>
      <c r="B163" s="221"/>
      <c r="C163" s="221"/>
      <c r="D163" s="221"/>
      <c r="E163" s="221"/>
      <c r="F163" s="221"/>
      <c r="G163" s="222"/>
      <c r="H163" s="222"/>
      <c r="I163" s="222"/>
      <c r="J163" s="222"/>
      <c r="K163" s="222"/>
      <c r="L163" s="222"/>
      <c r="M163" s="222"/>
      <c r="N163" s="222"/>
      <c r="O163" s="222"/>
      <c r="P163" s="222"/>
      <c r="Q163" s="222"/>
      <c r="R163" s="222"/>
      <c r="S163" s="222"/>
      <c r="T163" s="222"/>
      <c r="U163" s="222"/>
      <c r="V163" s="222"/>
      <c r="W163" s="222"/>
      <c r="X163" s="222"/>
      <c r="Y163" s="222"/>
      <c r="Z163" s="222"/>
      <c r="AA163" s="222"/>
      <c r="AB163" s="222"/>
      <c r="AC163" s="222"/>
      <c r="AD163" s="222"/>
      <c r="AE163" s="222"/>
      <c r="AF163" s="222"/>
      <c r="AG163" s="222"/>
      <c r="AH163" s="222"/>
      <c r="AI163" s="142" t="n">
        <f aca="false">SUM(A163:AH163)</f>
        <v>0</v>
      </c>
      <c r="AJ163" s="142"/>
      <c r="AK163" s="142"/>
      <c r="AL163" s="142"/>
      <c r="AM163" s="142"/>
      <c r="AN163" s="142"/>
      <c r="AO163" s="142"/>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c r="IY163" s="1"/>
      <c r="IZ163" s="1"/>
      <c r="JA163" s="1"/>
      <c r="JB163" s="1"/>
      <c r="JC163" s="1"/>
      <c r="JD163" s="1"/>
      <c r="JE163" s="1"/>
      <c r="JF163" s="1"/>
      <c r="JG163" s="1"/>
      <c r="JH163" s="1"/>
      <c r="JI163" s="1"/>
      <c r="JJ163" s="1"/>
      <c r="JK163" s="1"/>
      <c r="JL163" s="1"/>
      <c r="JM163" s="1"/>
      <c r="JN163" s="1"/>
      <c r="JO163" s="1"/>
      <c r="JP163" s="1"/>
      <c r="JQ163" s="1"/>
      <c r="JR163" s="1"/>
      <c r="JS163" s="1"/>
      <c r="JT163" s="1"/>
      <c r="JU163" s="1"/>
      <c r="JV163" s="1"/>
      <c r="JW163" s="1"/>
      <c r="JX163" s="1"/>
      <c r="JY163" s="1"/>
      <c r="JZ163" s="1"/>
      <c r="KA163" s="1"/>
      <c r="KB163" s="1"/>
      <c r="KC163" s="1"/>
      <c r="KD163" s="1"/>
      <c r="KE163" s="1"/>
      <c r="KF163" s="1"/>
      <c r="KG163" s="1"/>
      <c r="KH163" s="1"/>
      <c r="KI163" s="1"/>
      <c r="KJ163" s="1"/>
      <c r="KK163" s="1"/>
      <c r="KL163" s="1"/>
      <c r="KM163" s="1"/>
      <c r="KN163" s="1"/>
      <c r="KO163" s="1"/>
      <c r="KP163" s="1"/>
      <c r="KQ163" s="1"/>
      <c r="KR163" s="1"/>
      <c r="KS163" s="1"/>
      <c r="KT163" s="1"/>
      <c r="KU163" s="1"/>
      <c r="KV163" s="1"/>
      <c r="KW163" s="1"/>
      <c r="KX163" s="1"/>
      <c r="KY163" s="1"/>
      <c r="KZ163" s="1"/>
      <c r="LA163" s="1"/>
      <c r="LB163" s="1"/>
      <c r="LC163" s="1"/>
      <c r="LD163" s="1"/>
      <c r="LE163" s="1"/>
      <c r="LF163" s="1"/>
      <c r="LG163" s="1"/>
      <c r="LH163" s="1"/>
      <c r="LI163" s="1"/>
      <c r="LJ163" s="1"/>
      <c r="LK163" s="1"/>
      <c r="LL163" s="1"/>
      <c r="LM163" s="1"/>
      <c r="LN163" s="1"/>
      <c r="LO163" s="1"/>
      <c r="LP163" s="1"/>
      <c r="LQ163" s="1"/>
      <c r="LR163" s="1"/>
      <c r="LS163" s="1"/>
      <c r="LT163" s="1"/>
      <c r="LU163" s="1"/>
      <c r="LV163" s="1"/>
      <c r="LW163" s="1"/>
      <c r="LX163" s="1"/>
      <c r="LY163" s="1"/>
      <c r="LZ163" s="1"/>
      <c r="MA163" s="1"/>
      <c r="MB163" s="1"/>
      <c r="MC163" s="1"/>
      <c r="MD163" s="1"/>
      <c r="ME163" s="1"/>
      <c r="MF163" s="1"/>
      <c r="MG163" s="1"/>
      <c r="MH163" s="1"/>
      <c r="MI163" s="1"/>
      <c r="MJ163" s="1"/>
      <c r="MK163" s="1"/>
      <c r="ML163" s="1"/>
      <c r="MM163" s="1"/>
      <c r="MN163" s="1"/>
      <c r="MO163" s="1"/>
      <c r="MP163" s="1"/>
      <c r="MQ163" s="1"/>
      <c r="MR163" s="1"/>
      <c r="MS163" s="1"/>
      <c r="MT163" s="1"/>
      <c r="MU163" s="1"/>
      <c r="MV163" s="1"/>
      <c r="MW163" s="1"/>
      <c r="MX163" s="1"/>
      <c r="MY163" s="1"/>
      <c r="MZ163" s="1"/>
      <c r="NA163" s="1"/>
      <c r="NB163" s="1"/>
      <c r="NC163" s="1"/>
      <c r="ND163" s="1"/>
      <c r="NE163" s="1"/>
      <c r="NF163" s="1"/>
      <c r="NG163" s="1"/>
      <c r="NH163" s="1"/>
      <c r="NI163" s="1"/>
      <c r="NJ163" s="1"/>
      <c r="NK163" s="1"/>
      <c r="NL163" s="1"/>
      <c r="NM163" s="1"/>
      <c r="NN163" s="1"/>
      <c r="NO163" s="1"/>
      <c r="NP163" s="1"/>
      <c r="NQ163" s="1"/>
      <c r="NR163" s="1"/>
      <c r="NS163" s="1"/>
      <c r="NT163" s="1"/>
      <c r="NU163" s="1"/>
      <c r="NV163" s="1"/>
      <c r="NW163" s="1"/>
      <c r="NX163" s="1"/>
      <c r="NY163" s="1"/>
      <c r="NZ163" s="1"/>
      <c r="OA163" s="1"/>
      <c r="OB163" s="1"/>
      <c r="OC163" s="1"/>
      <c r="OD163" s="1"/>
      <c r="OE163" s="1"/>
      <c r="OF163" s="1"/>
      <c r="OG163" s="1"/>
      <c r="OH163" s="1"/>
      <c r="OI163" s="1"/>
      <c r="OJ163" s="1"/>
      <c r="OK163" s="1"/>
      <c r="OL163" s="1"/>
      <c r="OM163" s="1"/>
      <c r="ON163" s="1"/>
      <c r="OO163" s="1"/>
      <c r="OP163" s="1"/>
      <c r="OQ163" s="1"/>
      <c r="OR163" s="1"/>
      <c r="OS163" s="1"/>
      <c r="OT163" s="1"/>
      <c r="OU163" s="1"/>
      <c r="OV163" s="1"/>
      <c r="OW163" s="1"/>
      <c r="OX163" s="1"/>
      <c r="OY163" s="1"/>
      <c r="OZ163" s="1"/>
      <c r="PA163" s="1"/>
      <c r="PB163" s="1"/>
      <c r="PC163" s="1"/>
      <c r="PD163" s="1"/>
      <c r="PE163" s="1"/>
      <c r="PF163" s="1"/>
      <c r="PG163" s="1"/>
      <c r="PH163" s="1"/>
      <c r="PI163" s="1"/>
      <c r="PJ163" s="1"/>
      <c r="PK163" s="1"/>
      <c r="PL163" s="1"/>
      <c r="PM163" s="1"/>
      <c r="PN163" s="1"/>
      <c r="PO163" s="1"/>
      <c r="PP163" s="1"/>
      <c r="PQ163" s="1"/>
      <c r="PR163" s="1"/>
      <c r="PS163" s="1"/>
      <c r="PT163" s="1"/>
      <c r="PU163" s="1"/>
      <c r="PV163" s="1"/>
      <c r="PW163" s="1"/>
      <c r="PX163" s="1"/>
      <c r="PY163" s="1"/>
      <c r="PZ163" s="1"/>
      <c r="QA163" s="1"/>
      <c r="QB163" s="1"/>
      <c r="QC163" s="1"/>
      <c r="QD163" s="1"/>
      <c r="QE163" s="1"/>
      <c r="QF163" s="1"/>
      <c r="QG163" s="1"/>
      <c r="QH163" s="1"/>
      <c r="QI163" s="1"/>
      <c r="QJ163" s="1"/>
      <c r="QK163" s="1"/>
      <c r="QL163" s="1"/>
      <c r="QM163" s="1"/>
      <c r="QN163" s="1"/>
      <c r="QO163" s="1"/>
      <c r="QP163" s="1"/>
      <c r="QQ163" s="1"/>
      <c r="QR163" s="1"/>
      <c r="QS163" s="1"/>
      <c r="QT163" s="1"/>
      <c r="QU163" s="1"/>
      <c r="QV163" s="1"/>
      <c r="QW163" s="1"/>
      <c r="QX163" s="1"/>
      <c r="QY163" s="1"/>
      <c r="QZ163" s="1"/>
      <c r="RA163" s="1"/>
      <c r="RB163" s="1"/>
      <c r="RC163" s="1"/>
      <c r="RD163" s="1"/>
      <c r="RE163" s="1"/>
      <c r="RF163" s="1"/>
      <c r="RG163" s="1"/>
      <c r="RH163" s="1"/>
      <c r="RI163" s="1"/>
      <c r="RJ163" s="1"/>
      <c r="RK163" s="1"/>
      <c r="RL163" s="1"/>
      <c r="RM163" s="1"/>
      <c r="RN163" s="1"/>
      <c r="RO163" s="1"/>
      <c r="RP163" s="1"/>
      <c r="RQ163" s="1"/>
      <c r="RR163" s="1"/>
      <c r="RS163" s="1"/>
      <c r="RT163" s="1"/>
      <c r="RU163" s="1"/>
      <c r="RV163" s="1"/>
      <c r="RW163" s="1"/>
      <c r="RX163" s="1"/>
      <c r="RY163" s="1"/>
      <c r="RZ163" s="1"/>
      <c r="SA163" s="1"/>
      <c r="SB163" s="1"/>
      <c r="SC163" s="1"/>
      <c r="SD163" s="1"/>
      <c r="SE163" s="1"/>
      <c r="SF163" s="1"/>
      <c r="SG163" s="1"/>
      <c r="SH163" s="1"/>
      <c r="SI163" s="1"/>
      <c r="SJ163" s="1"/>
      <c r="SK163" s="1"/>
      <c r="SL163" s="1"/>
      <c r="SM163" s="1"/>
      <c r="SN163" s="1"/>
      <c r="SO163" s="1"/>
      <c r="SP163" s="1"/>
      <c r="SQ163" s="1"/>
      <c r="SR163" s="1"/>
      <c r="SS163" s="1"/>
      <c r="ST163" s="1"/>
      <c r="SU163" s="1"/>
      <c r="SV163" s="1"/>
      <c r="SW163" s="1"/>
      <c r="SX163" s="1"/>
      <c r="SY163" s="1"/>
      <c r="SZ163" s="1"/>
      <c r="TA163" s="1"/>
      <c r="TB163" s="1"/>
      <c r="TC163" s="1"/>
      <c r="TD163" s="1"/>
      <c r="TE163" s="1"/>
      <c r="TF163" s="1"/>
      <c r="TG163" s="1"/>
      <c r="TH163" s="1"/>
      <c r="TI163" s="1"/>
      <c r="TJ163" s="1"/>
      <c r="TK163" s="1"/>
      <c r="TL163" s="1"/>
      <c r="TM163" s="1"/>
      <c r="TN163" s="1"/>
      <c r="TO163" s="1"/>
      <c r="TP163" s="1"/>
      <c r="TQ163" s="1"/>
      <c r="TR163" s="1"/>
      <c r="TS163" s="1"/>
      <c r="TT163" s="1"/>
      <c r="TU163" s="1"/>
      <c r="TV163" s="1"/>
      <c r="TW163" s="1"/>
      <c r="TX163" s="1"/>
      <c r="TY163" s="1"/>
      <c r="TZ163" s="1"/>
      <c r="UA163" s="1"/>
      <c r="UB163" s="1"/>
      <c r="UC163" s="1"/>
      <c r="UD163" s="1"/>
      <c r="UE163" s="1"/>
      <c r="UF163" s="1"/>
      <c r="UG163" s="1"/>
      <c r="UH163" s="1"/>
      <c r="UI163" s="1"/>
      <c r="UJ163" s="1"/>
      <c r="UK163" s="1"/>
      <c r="UL163" s="1"/>
      <c r="UM163" s="1"/>
      <c r="UN163" s="1"/>
      <c r="UO163" s="1"/>
      <c r="UP163" s="1"/>
      <c r="UQ163" s="1"/>
      <c r="UR163" s="1"/>
      <c r="US163" s="1"/>
      <c r="UT163" s="1"/>
      <c r="UU163" s="1"/>
      <c r="UV163" s="1"/>
      <c r="UW163" s="1"/>
      <c r="UX163" s="1"/>
      <c r="UY163" s="1"/>
      <c r="UZ163" s="1"/>
      <c r="VA163" s="1"/>
      <c r="VB163" s="1"/>
      <c r="VC163" s="1"/>
      <c r="VD163" s="1"/>
      <c r="VE163" s="1"/>
      <c r="VF163" s="1"/>
      <c r="VG163" s="1"/>
      <c r="VH163" s="1"/>
      <c r="VI163" s="1"/>
      <c r="VJ163" s="1"/>
      <c r="VK163" s="1"/>
      <c r="VL163" s="1"/>
      <c r="VM163" s="1"/>
      <c r="VN163" s="1"/>
      <c r="VO163" s="1"/>
      <c r="VP163" s="1"/>
      <c r="VQ163" s="1"/>
      <c r="VR163" s="1"/>
      <c r="VS163" s="1"/>
      <c r="VT163" s="1"/>
      <c r="VU163" s="1"/>
      <c r="VV163" s="1"/>
      <c r="VW163" s="1"/>
      <c r="VX163" s="1"/>
      <c r="VY163" s="1"/>
      <c r="VZ163" s="1"/>
      <c r="WA163" s="1"/>
      <c r="WB163" s="1"/>
      <c r="WC163" s="1"/>
      <c r="WD163" s="1"/>
      <c r="WE163" s="1"/>
      <c r="WF163" s="1"/>
      <c r="WG163" s="1"/>
      <c r="WH163" s="1"/>
      <c r="WI163" s="1"/>
      <c r="WJ163" s="1"/>
      <c r="WK163" s="1"/>
      <c r="WL163" s="1"/>
      <c r="WM163" s="1"/>
      <c r="WN163" s="1"/>
      <c r="WO163" s="1"/>
      <c r="WP163" s="1"/>
      <c r="WQ163" s="1"/>
      <c r="WR163" s="1"/>
      <c r="WS163" s="1"/>
      <c r="WT163" s="1"/>
      <c r="WU163" s="1"/>
      <c r="WV163" s="1"/>
      <c r="WW163" s="1"/>
      <c r="WX163" s="1"/>
      <c r="WY163" s="1"/>
      <c r="WZ163" s="1"/>
      <c r="XA163" s="1"/>
      <c r="XB163" s="1"/>
      <c r="XC163" s="1"/>
      <c r="XD163" s="1"/>
      <c r="XE163" s="1"/>
      <c r="XF163" s="1"/>
      <c r="XG163" s="1"/>
      <c r="XH163" s="1"/>
      <c r="XI163" s="1"/>
      <c r="XJ163" s="1"/>
      <c r="XK163" s="1"/>
      <c r="XL163" s="1"/>
      <c r="XM163" s="1"/>
      <c r="XN163" s="1"/>
      <c r="XO163" s="1"/>
      <c r="XP163" s="1"/>
      <c r="XQ163" s="1"/>
      <c r="XR163" s="1"/>
      <c r="XS163" s="1"/>
      <c r="XT163" s="1"/>
      <c r="XU163" s="1"/>
      <c r="XV163" s="1"/>
      <c r="XW163" s="1"/>
      <c r="XX163" s="1"/>
      <c r="XY163" s="1"/>
      <c r="XZ163" s="1"/>
      <c r="YA163" s="1"/>
      <c r="YB163" s="1"/>
      <c r="YC163" s="1"/>
      <c r="YD163" s="1"/>
      <c r="YE163" s="1"/>
      <c r="YF163" s="1"/>
      <c r="YG163" s="1"/>
      <c r="YH163" s="1"/>
      <c r="YI163" s="1"/>
      <c r="YJ163" s="1"/>
      <c r="YK163" s="1"/>
      <c r="YL163" s="1"/>
      <c r="YM163" s="1"/>
      <c r="YN163" s="1"/>
      <c r="YO163" s="1"/>
      <c r="YP163" s="1"/>
      <c r="YQ163" s="1"/>
      <c r="YR163" s="1"/>
      <c r="YS163" s="1"/>
      <c r="YT163" s="1"/>
      <c r="YU163" s="1"/>
      <c r="YV163" s="1"/>
      <c r="YW163" s="1"/>
      <c r="YX163" s="1"/>
      <c r="YY163" s="1"/>
      <c r="YZ163" s="1"/>
      <c r="ZA163" s="1"/>
      <c r="ZB163" s="1"/>
      <c r="ZC163" s="1"/>
      <c r="ZD163" s="1"/>
      <c r="ZE163" s="1"/>
      <c r="ZF163" s="1"/>
      <c r="ZG163" s="1"/>
      <c r="ZH163" s="1"/>
      <c r="ZI163" s="1"/>
      <c r="ZJ163" s="1"/>
      <c r="ZK163" s="1"/>
      <c r="ZL163" s="1"/>
      <c r="ZM163" s="1"/>
      <c r="ZN163" s="1"/>
      <c r="ZO163" s="1"/>
      <c r="ZP163" s="1"/>
      <c r="ZQ163" s="1"/>
      <c r="ZR163" s="1"/>
      <c r="ZS163" s="1"/>
      <c r="ZT163" s="1"/>
      <c r="ZU163" s="1"/>
      <c r="ZV163" s="1"/>
      <c r="ZW163" s="1"/>
      <c r="ZX163" s="1"/>
      <c r="ZY163" s="1"/>
      <c r="ZZ163" s="1"/>
      <c r="AAA163" s="1"/>
      <c r="AAB163" s="1"/>
      <c r="AAC163" s="1"/>
      <c r="AAD163" s="1"/>
      <c r="AAE163" s="1"/>
      <c r="AAF163" s="1"/>
      <c r="AAG163" s="1"/>
      <c r="AAH163" s="1"/>
      <c r="AAI163" s="1"/>
      <c r="AAJ163" s="1"/>
      <c r="AAK163" s="1"/>
      <c r="AAL163" s="1"/>
      <c r="AAM163" s="1"/>
      <c r="AAN163" s="1"/>
      <c r="AAO163" s="1"/>
      <c r="AAP163" s="1"/>
      <c r="AAQ163" s="1"/>
      <c r="AAR163" s="1"/>
      <c r="AAS163" s="1"/>
      <c r="AAT163" s="1"/>
      <c r="AAU163" s="1"/>
      <c r="AAV163" s="1"/>
      <c r="AAW163" s="1"/>
      <c r="AAX163" s="1"/>
      <c r="AAY163" s="1"/>
      <c r="AAZ163" s="1"/>
      <c r="ABA163" s="1"/>
      <c r="ABB163" s="1"/>
      <c r="ABC163" s="1"/>
      <c r="ABD163" s="1"/>
      <c r="ABE163" s="1"/>
      <c r="ABF163" s="1"/>
      <c r="ABG163" s="1"/>
      <c r="ABH163" s="1"/>
      <c r="ABI163" s="1"/>
      <c r="ABJ163" s="1"/>
      <c r="ABK163" s="1"/>
      <c r="ABL163" s="1"/>
      <c r="ABM163" s="1"/>
      <c r="ABN163" s="1"/>
      <c r="ABO163" s="1"/>
      <c r="ABP163" s="1"/>
      <c r="ABQ163" s="1"/>
      <c r="ABR163" s="1"/>
      <c r="ABS163" s="1"/>
      <c r="ABT163" s="1"/>
      <c r="ABU163" s="1"/>
      <c r="ABV163" s="1"/>
      <c r="ABW163" s="1"/>
      <c r="ABX163" s="1"/>
      <c r="ABY163" s="1"/>
      <c r="ABZ163" s="1"/>
      <c r="ACA163" s="1"/>
      <c r="ACB163" s="1"/>
      <c r="ACC163" s="1"/>
      <c r="ACD163" s="1"/>
      <c r="ACE163" s="1"/>
      <c r="ACF163" s="1"/>
      <c r="ACG163" s="1"/>
      <c r="ACH163" s="1"/>
      <c r="ACI163" s="1"/>
      <c r="ACJ163" s="1"/>
      <c r="ACK163" s="1"/>
      <c r="ACL163" s="1"/>
      <c r="ACM163" s="1"/>
      <c r="ACN163" s="1"/>
      <c r="ACO163" s="1"/>
      <c r="ACP163" s="1"/>
      <c r="ACQ163" s="1"/>
      <c r="ACR163" s="1"/>
      <c r="ACS163" s="1"/>
      <c r="ACT163" s="1"/>
      <c r="ACU163" s="1"/>
      <c r="ACV163" s="1"/>
      <c r="ACW163" s="1"/>
      <c r="ACX163" s="1"/>
      <c r="ACY163" s="1"/>
      <c r="ACZ163" s="1"/>
      <c r="ADA163" s="1"/>
      <c r="ADB163" s="1"/>
      <c r="ADC163" s="1"/>
      <c r="ADD163" s="1"/>
      <c r="ADE163" s="1"/>
      <c r="ADF163" s="1"/>
      <c r="ADG163" s="1"/>
      <c r="ADH163" s="1"/>
      <c r="ADI163" s="1"/>
      <c r="ADJ163" s="1"/>
      <c r="ADK163" s="1"/>
      <c r="ADL163" s="1"/>
      <c r="ADM163" s="1"/>
      <c r="ADN163" s="1"/>
      <c r="ADO163" s="1"/>
      <c r="ADP163" s="1"/>
      <c r="ADQ163" s="1"/>
      <c r="ADR163" s="1"/>
      <c r="ADS163" s="1"/>
      <c r="ADT163" s="1"/>
      <c r="ADU163" s="1"/>
      <c r="ADV163" s="1"/>
      <c r="ADW163" s="1"/>
      <c r="ADX163" s="1"/>
      <c r="ADY163" s="1"/>
      <c r="ADZ163" s="1"/>
      <c r="AEA163" s="1"/>
      <c r="AEB163" s="1"/>
      <c r="AEC163" s="1"/>
      <c r="AED163" s="1"/>
      <c r="AEE163" s="1"/>
      <c r="AEF163" s="1"/>
      <c r="AEG163" s="1"/>
      <c r="AEH163" s="1"/>
      <c r="AEI163" s="1"/>
      <c r="AEJ163" s="1"/>
      <c r="AEK163" s="1"/>
      <c r="AEL163" s="1"/>
      <c r="AEM163" s="1"/>
      <c r="AEN163" s="1"/>
      <c r="AEO163" s="1"/>
      <c r="AEP163" s="1"/>
      <c r="AEQ163" s="1"/>
      <c r="AER163" s="1"/>
      <c r="AES163" s="1"/>
      <c r="AET163" s="1"/>
      <c r="AEU163" s="1"/>
      <c r="AEV163" s="1"/>
      <c r="AEW163" s="1"/>
      <c r="AEX163" s="1"/>
      <c r="AEY163" s="1"/>
      <c r="AEZ163" s="1"/>
      <c r="AFA163" s="1"/>
      <c r="AFB163" s="1"/>
      <c r="AFC163" s="1"/>
      <c r="AFD163" s="1"/>
      <c r="AFE163" s="1"/>
      <c r="AFF163" s="1"/>
      <c r="AFG163" s="1"/>
      <c r="AFH163" s="1"/>
      <c r="AFI163" s="1"/>
      <c r="AFJ163" s="1"/>
      <c r="AFK163" s="1"/>
      <c r="AFL163" s="1"/>
      <c r="AFM163" s="1"/>
      <c r="AFN163" s="1"/>
      <c r="AFO163" s="1"/>
      <c r="AFP163" s="1"/>
      <c r="AFQ163" s="1"/>
      <c r="AFR163" s="1"/>
      <c r="AFS163" s="1"/>
      <c r="AFT163" s="1"/>
      <c r="AFU163" s="1"/>
      <c r="AFV163" s="1"/>
      <c r="AFW163" s="1"/>
      <c r="AFX163" s="1"/>
      <c r="AFY163" s="1"/>
      <c r="AFZ163" s="1"/>
      <c r="AGA163" s="1"/>
      <c r="AGB163" s="1"/>
      <c r="AGC163" s="1"/>
      <c r="AGD163" s="1"/>
      <c r="AGE163" s="1"/>
      <c r="AGF163" s="1"/>
      <c r="AGG163" s="1"/>
      <c r="AGH163" s="1"/>
      <c r="AGI163" s="1"/>
      <c r="AGJ163" s="1"/>
      <c r="AGK163" s="1"/>
      <c r="AGL163" s="1"/>
      <c r="AGM163" s="1"/>
      <c r="AGN163" s="1"/>
      <c r="AGO163" s="1"/>
      <c r="AGP163" s="1"/>
      <c r="AGQ163" s="1"/>
      <c r="AGR163" s="1"/>
      <c r="AGS163" s="1"/>
      <c r="AGT163" s="1"/>
      <c r="AGU163" s="1"/>
      <c r="AGV163" s="1"/>
      <c r="AGW163" s="1"/>
      <c r="AGX163" s="1"/>
      <c r="AGY163" s="1"/>
      <c r="AGZ163" s="1"/>
      <c r="AHA163" s="1"/>
      <c r="AHB163" s="1"/>
      <c r="AHC163" s="1"/>
      <c r="AHD163" s="1"/>
      <c r="AHE163" s="1"/>
      <c r="AHF163" s="1"/>
      <c r="AHG163" s="1"/>
      <c r="AHH163" s="1"/>
      <c r="AHI163" s="1"/>
      <c r="AHJ163" s="1"/>
      <c r="AHK163" s="1"/>
      <c r="AHL163" s="1"/>
      <c r="AHM163" s="1"/>
      <c r="AHN163" s="1"/>
      <c r="AHO163" s="1"/>
      <c r="AHP163" s="1"/>
      <c r="AHQ163" s="1"/>
      <c r="AHR163" s="1"/>
      <c r="AHS163" s="1"/>
      <c r="AHT163" s="1"/>
      <c r="AHU163" s="1"/>
      <c r="AHV163" s="1"/>
      <c r="AHW163" s="1"/>
      <c r="AHX163" s="1"/>
      <c r="AHY163" s="1"/>
      <c r="AHZ163" s="1"/>
      <c r="AIA163" s="1"/>
      <c r="AIB163" s="1"/>
      <c r="AIC163" s="1"/>
      <c r="AID163" s="1"/>
      <c r="AIE163" s="1"/>
      <c r="AIF163" s="1"/>
      <c r="AIG163" s="1"/>
      <c r="AIH163" s="1"/>
      <c r="AII163" s="1"/>
      <c r="AIJ163" s="1"/>
      <c r="AIK163" s="1"/>
      <c r="AIL163" s="1"/>
      <c r="AIM163" s="1"/>
      <c r="AIN163" s="1"/>
      <c r="AIO163" s="1"/>
      <c r="AIP163" s="1"/>
      <c r="AIQ163" s="1"/>
      <c r="AIR163" s="1"/>
      <c r="AIS163" s="1"/>
      <c r="AIT163" s="1"/>
      <c r="AIU163" s="1"/>
      <c r="AIV163" s="1"/>
      <c r="AIW163" s="1"/>
      <c r="AIX163" s="1"/>
      <c r="AIY163" s="1"/>
      <c r="AIZ163" s="1"/>
      <c r="AJA163" s="1"/>
      <c r="AJB163" s="1"/>
      <c r="AJC163" s="1"/>
      <c r="AJD163" s="1"/>
      <c r="AJE163" s="1"/>
      <c r="AJF163" s="1"/>
      <c r="AJG163" s="1"/>
      <c r="AJH163" s="1"/>
      <c r="AJI163" s="1"/>
      <c r="AJJ163" s="1"/>
      <c r="AJK163" s="1"/>
      <c r="AJL163" s="1"/>
      <c r="AJM163" s="1"/>
      <c r="AJN163" s="1"/>
      <c r="AJO163" s="1"/>
      <c r="AJP163" s="1"/>
      <c r="AJQ163" s="1"/>
      <c r="AJR163" s="1"/>
      <c r="AJS163" s="1"/>
      <c r="AJT163" s="1"/>
      <c r="AJU163" s="1"/>
      <c r="AJV163" s="1"/>
      <c r="AJW163" s="1"/>
      <c r="AJX163" s="1"/>
      <c r="AJY163" s="1"/>
      <c r="AJZ163" s="1"/>
      <c r="AKA163" s="1"/>
      <c r="AKB163" s="1"/>
      <c r="AKC163" s="1"/>
      <c r="AKD163" s="1"/>
      <c r="AKE163" s="1"/>
      <c r="AKF163" s="1"/>
      <c r="AKG163" s="1"/>
      <c r="AKH163" s="1"/>
      <c r="AKI163" s="1"/>
      <c r="AKJ163" s="1"/>
      <c r="AKK163" s="1"/>
      <c r="AKL163" s="1"/>
      <c r="AKM163" s="1"/>
      <c r="AKN163" s="1"/>
      <c r="AKO163" s="1"/>
      <c r="AKP163" s="1"/>
      <c r="AKQ163" s="1"/>
      <c r="AKR163" s="1"/>
      <c r="AKS163" s="1"/>
      <c r="AKT163" s="1"/>
      <c r="AKU163" s="1"/>
      <c r="AKV163" s="1"/>
      <c r="AKW163" s="1"/>
      <c r="AKX163" s="1"/>
      <c r="AKY163" s="1"/>
      <c r="AKZ163" s="1"/>
      <c r="ALA163" s="1"/>
      <c r="ALB163" s="1"/>
      <c r="ALC163" s="1"/>
      <c r="ALD163" s="1"/>
      <c r="ALE163" s="1"/>
      <c r="ALF163" s="1"/>
      <c r="ALG163" s="1"/>
      <c r="ALH163" s="1"/>
      <c r="ALI163" s="1"/>
      <c r="ALJ163" s="1"/>
      <c r="ALK163" s="1"/>
      <c r="ALL163" s="1"/>
      <c r="ALM163" s="1"/>
      <c r="ALN163" s="1"/>
      <c r="ALO163" s="1"/>
      <c r="ALP163" s="1"/>
      <c r="ALQ163" s="1"/>
      <c r="ALR163" s="1"/>
      <c r="ALS163" s="1"/>
      <c r="ALT163" s="1"/>
      <c r="ALU163" s="1"/>
      <c r="ALV163" s="1"/>
      <c r="ALW163" s="1"/>
      <c r="ALX163" s="1"/>
      <c r="ALY163" s="1"/>
      <c r="ALZ163" s="1"/>
      <c r="AMA163" s="1"/>
      <c r="AMB163" s="1"/>
      <c r="AMC163" s="1"/>
      <c r="AMD163" s="1"/>
      <c r="AME163" s="1"/>
      <c r="AMF163" s="1"/>
      <c r="AMG163" s="1"/>
      <c r="AMH163" s="1"/>
      <c r="AMI163" s="1"/>
      <c r="AMJ163" s="1"/>
    </row>
    <row r="164" customFormat="false" ht="10.5" hidden="false" customHeight="true" outlineLevel="0" collapsed="false">
      <c r="A164" s="221"/>
      <c r="B164" s="221"/>
      <c r="C164" s="221"/>
      <c r="D164" s="221"/>
      <c r="E164" s="221"/>
      <c r="F164" s="221"/>
      <c r="G164" s="222"/>
      <c r="H164" s="222"/>
      <c r="I164" s="222"/>
      <c r="J164" s="222"/>
      <c r="K164" s="222"/>
      <c r="L164" s="222"/>
      <c r="M164" s="222"/>
      <c r="N164" s="222"/>
      <c r="O164" s="222"/>
      <c r="P164" s="222"/>
      <c r="Q164" s="222"/>
      <c r="R164" s="222"/>
      <c r="S164" s="222"/>
      <c r="T164" s="222"/>
      <c r="U164" s="222"/>
      <c r="V164" s="222"/>
      <c r="W164" s="222"/>
      <c r="X164" s="222"/>
      <c r="Y164" s="222"/>
      <c r="Z164" s="222"/>
      <c r="AA164" s="222"/>
      <c r="AB164" s="222"/>
      <c r="AC164" s="222"/>
      <c r="AD164" s="222"/>
      <c r="AE164" s="222"/>
      <c r="AF164" s="222"/>
      <c r="AG164" s="222"/>
      <c r="AH164" s="222"/>
      <c r="AI164" s="142" t="n">
        <f aca="false">SUM(A164:AH164)</f>
        <v>0</v>
      </c>
      <c r="AJ164" s="142"/>
      <c r="AK164" s="142"/>
      <c r="AL164" s="142"/>
      <c r="AM164" s="142"/>
      <c r="AN164" s="142"/>
      <c r="AO164" s="142"/>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c r="IY164" s="1"/>
      <c r="IZ164" s="1"/>
      <c r="JA164" s="1"/>
      <c r="JB164" s="1"/>
      <c r="JC164" s="1"/>
      <c r="JD164" s="1"/>
      <c r="JE164" s="1"/>
      <c r="JF164" s="1"/>
      <c r="JG164" s="1"/>
      <c r="JH164" s="1"/>
      <c r="JI164" s="1"/>
      <c r="JJ164" s="1"/>
      <c r="JK164" s="1"/>
      <c r="JL164" s="1"/>
      <c r="JM164" s="1"/>
      <c r="JN164" s="1"/>
      <c r="JO164" s="1"/>
      <c r="JP164" s="1"/>
      <c r="JQ164" s="1"/>
      <c r="JR164" s="1"/>
      <c r="JS164" s="1"/>
      <c r="JT164" s="1"/>
      <c r="JU164" s="1"/>
      <c r="JV164" s="1"/>
      <c r="JW164" s="1"/>
      <c r="JX164" s="1"/>
      <c r="JY164" s="1"/>
      <c r="JZ164" s="1"/>
      <c r="KA164" s="1"/>
      <c r="KB164" s="1"/>
      <c r="KC164" s="1"/>
      <c r="KD164" s="1"/>
      <c r="KE164" s="1"/>
      <c r="KF164" s="1"/>
      <c r="KG164" s="1"/>
      <c r="KH164" s="1"/>
      <c r="KI164" s="1"/>
      <c r="KJ164" s="1"/>
      <c r="KK164" s="1"/>
      <c r="KL164" s="1"/>
      <c r="KM164" s="1"/>
      <c r="KN164" s="1"/>
      <c r="KO164" s="1"/>
      <c r="KP164" s="1"/>
      <c r="KQ164" s="1"/>
      <c r="KR164" s="1"/>
      <c r="KS164" s="1"/>
      <c r="KT164" s="1"/>
      <c r="KU164" s="1"/>
      <c r="KV164" s="1"/>
      <c r="KW164" s="1"/>
      <c r="KX164" s="1"/>
      <c r="KY164" s="1"/>
      <c r="KZ164" s="1"/>
      <c r="LA164" s="1"/>
      <c r="LB164" s="1"/>
      <c r="LC164" s="1"/>
      <c r="LD164" s="1"/>
      <c r="LE164" s="1"/>
      <c r="LF164" s="1"/>
      <c r="LG164" s="1"/>
      <c r="LH164" s="1"/>
      <c r="LI164" s="1"/>
      <c r="LJ164" s="1"/>
      <c r="LK164" s="1"/>
      <c r="LL164" s="1"/>
      <c r="LM164" s="1"/>
      <c r="LN164" s="1"/>
      <c r="LO164" s="1"/>
      <c r="LP164" s="1"/>
      <c r="LQ164" s="1"/>
      <c r="LR164" s="1"/>
      <c r="LS164" s="1"/>
      <c r="LT164" s="1"/>
      <c r="LU164" s="1"/>
      <c r="LV164" s="1"/>
      <c r="LW164" s="1"/>
      <c r="LX164" s="1"/>
      <c r="LY164" s="1"/>
      <c r="LZ164" s="1"/>
      <c r="MA164" s="1"/>
      <c r="MB164" s="1"/>
      <c r="MC164" s="1"/>
      <c r="MD164" s="1"/>
      <c r="ME164" s="1"/>
      <c r="MF164" s="1"/>
      <c r="MG164" s="1"/>
      <c r="MH164" s="1"/>
      <c r="MI164" s="1"/>
      <c r="MJ164" s="1"/>
      <c r="MK164" s="1"/>
      <c r="ML164" s="1"/>
      <c r="MM164" s="1"/>
      <c r="MN164" s="1"/>
      <c r="MO164" s="1"/>
      <c r="MP164" s="1"/>
      <c r="MQ164" s="1"/>
      <c r="MR164" s="1"/>
      <c r="MS164" s="1"/>
      <c r="MT164" s="1"/>
      <c r="MU164" s="1"/>
      <c r="MV164" s="1"/>
      <c r="MW164" s="1"/>
      <c r="MX164" s="1"/>
      <c r="MY164" s="1"/>
      <c r="MZ164" s="1"/>
      <c r="NA164" s="1"/>
      <c r="NB164" s="1"/>
      <c r="NC164" s="1"/>
      <c r="ND164" s="1"/>
      <c r="NE164" s="1"/>
      <c r="NF164" s="1"/>
      <c r="NG164" s="1"/>
      <c r="NH164" s="1"/>
      <c r="NI164" s="1"/>
      <c r="NJ164" s="1"/>
      <c r="NK164" s="1"/>
      <c r="NL164" s="1"/>
      <c r="NM164" s="1"/>
      <c r="NN164" s="1"/>
      <c r="NO164" s="1"/>
      <c r="NP164" s="1"/>
      <c r="NQ164" s="1"/>
      <c r="NR164" s="1"/>
      <c r="NS164" s="1"/>
      <c r="NT164" s="1"/>
      <c r="NU164" s="1"/>
      <c r="NV164" s="1"/>
      <c r="NW164" s="1"/>
      <c r="NX164" s="1"/>
      <c r="NY164" s="1"/>
      <c r="NZ164" s="1"/>
      <c r="OA164" s="1"/>
      <c r="OB164" s="1"/>
      <c r="OC164" s="1"/>
      <c r="OD164" s="1"/>
      <c r="OE164" s="1"/>
      <c r="OF164" s="1"/>
      <c r="OG164" s="1"/>
      <c r="OH164" s="1"/>
      <c r="OI164" s="1"/>
      <c r="OJ164" s="1"/>
      <c r="OK164" s="1"/>
      <c r="OL164" s="1"/>
      <c r="OM164" s="1"/>
      <c r="ON164" s="1"/>
      <c r="OO164" s="1"/>
      <c r="OP164" s="1"/>
      <c r="OQ164" s="1"/>
      <c r="OR164" s="1"/>
      <c r="OS164" s="1"/>
      <c r="OT164" s="1"/>
      <c r="OU164" s="1"/>
      <c r="OV164" s="1"/>
      <c r="OW164" s="1"/>
      <c r="OX164" s="1"/>
      <c r="OY164" s="1"/>
      <c r="OZ164" s="1"/>
      <c r="PA164" s="1"/>
      <c r="PB164" s="1"/>
      <c r="PC164" s="1"/>
      <c r="PD164" s="1"/>
      <c r="PE164" s="1"/>
      <c r="PF164" s="1"/>
      <c r="PG164" s="1"/>
      <c r="PH164" s="1"/>
      <c r="PI164" s="1"/>
      <c r="PJ164" s="1"/>
      <c r="PK164" s="1"/>
      <c r="PL164" s="1"/>
      <c r="PM164" s="1"/>
      <c r="PN164" s="1"/>
      <c r="PO164" s="1"/>
      <c r="PP164" s="1"/>
      <c r="PQ164" s="1"/>
      <c r="PR164" s="1"/>
      <c r="PS164" s="1"/>
      <c r="PT164" s="1"/>
      <c r="PU164" s="1"/>
      <c r="PV164" s="1"/>
      <c r="PW164" s="1"/>
      <c r="PX164" s="1"/>
      <c r="PY164" s="1"/>
      <c r="PZ164" s="1"/>
      <c r="QA164" s="1"/>
      <c r="QB164" s="1"/>
      <c r="QC164" s="1"/>
      <c r="QD164" s="1"/>
      <c r="QE164" s="1"/>
      <c r="QF164" s="1"/>
      <c r="QG164" s="1"/>
      <c r="QH164" s="1"/>
      <c r="QI164" s="1"/>
      <c r="QJ164" s="1"/>
      <c r="QK164" s="1"/>
      <c r="QL164" s="1"/>
      <c r="QM164" s="1"/>
      <c r="QN164" s="1"/>
      <c r="QO164" s="1"/>
      <c r="QP164" s="1"/>
      <c r="QQ164" s="1"/>
      <c r="QR164" s="1"/>
      <c r="QS164" s="1"/>
      <c r="QT164" s="1"/>
      <c r="QU164" s="1"/>
      <c r="QV164" s="1"/>
      <c r="QW164" s="1"/>
      <c r="QX164" s="1"/>
      <c r="QY164" s="1"/>
      <c r="QZ164" s="1"/>
      <c r="RA164" s="1"/>
      <c r="RB164" s="1"/>
      <c r="RC164" s="1"/>
      <c r="RD164" s="1"/>
      <c r="RE164" s="1"/>
      <c r="RF164" s="1"/>
      <c r="RG164" s="1"/>
      <c r="RH164" s="1"/>
      <c r="RI164" s="1"/>
      <c r="RJ164" s="1"/>
      <c r="RK164" s="1"/>
      <c r="RL164" s="1"/>
      <c r="RM164" s="1"/>
      <c r="RN164" s="1"/>
      <c r="RO164" s="1"/>
      <c r="RP164" s="1"/>
      <c r="RQ164" s="1"/>
      <c r="RR164" s="1"/>
      <c r="RS164" s="1"/>
      <c r="RT164" s="1"/>
      <c r="RU164" s="1"/>
      <c r="RV164" s="1"/>
      <c r="RW164" s="1"/>
      <c r="RX164" s="1"/>
      <c r="RY164" s="1"/>
      <c r="RZ164" s="1"/>
      <c r="SA164" s="1"/>
      <c r="SB164" s="1"/>
      <c r="SC164" s="1"/>
      <c r="SD164" s="1"/>
      <c r="SE164" s="1"/>
      <c r="SF164" s="1"/>
      <c r="SG164" s="1"/>
      <c r="SH164" s="1"/>
      <c r="SI164" s="1"/>
      <c r="SJ164" s="1"/>
      <c r="SK164" s="1"/>
      <c r="SL164" s="1"/>
      <c r="SM164" s="1"/>
      <c r="SN164" s="1"/>
      <c r="SO164" s="1"/>
      <c r="SP164" s="1"/>
      <c r="SQ164" s="1"/>
      <c r="SR164" s="1"/>
      <c r="SS164" s="1"/>
      <c r="ST164" s="1"/>
      <c r="SU164" s="1"/>
      <c r="SV164" s="1"/>
      <c r="SW164" s="1"/>
      <c r="SX164" s="1"/>
      <c r="SY164" s="1"/>
      <c r="SZ164" s="1"/>
      <c r="TA164" s="1"/>
      <c r="TB164" s="1"/>
      <c r="TC164" s="1"/>
      <c r="TD164" s="1"/>
      <c r="TE164" s="1"/>
      <c r="TF164" s="1"/>
      <c r="TG164" s="1"/>
      <c r="TH164" s="1"/>
      <c r="TI164" s="1"/>
      <c r="TJ164" s="1"/>
      <c r="TK164" s="1"/>
      <c r="TL164" s="1"/>
      <c r="TM164" s="1"/>
      <c r="TN164" s="1"/>
      <c r="TO164" s="1"/>
      <c r="TP164" s="1"/>
      <c r="TQ164" s="1"/>
      <c r="TR164" s="1"/>
      <c r="TS164" s="1"/>
      <c r="TT164" s="1"/>
      <c r="TU164" s="1"/>
      <c r="TV164" s="1"/>
      <c r="TW164" s="1"/>
      <c r="TX164" s="1"/>
      <c r="TY164" s="1"/>
      <c r="TZ164" s="1"/>
      <c r="UA164" s="1"/>
      <c r="UB164" s="1"/>
      <c r="UC164" s="1"/>
      <c r="UD164" s="1"/>
      <c r="UE164" s="1"/>
      <c r="UF164" s="1"/>
      <c r="UG164" s="1"/>
      <c r="UH164" s="1"/>
      <c r="UI164" s="1"/>
      <c r="UJ164" s="1"/>
      <c r="UK164" s="1"/>
      <c r="UL164" s="1"/>
      <c r="UM164" s="1"/>
      <c r="UN164" s="1"/>
      <c r="UO164" s="1"/>
      <c r="UP164" s="1"/>
      <c r="UQ164" s="1"/>
      <c r="UR164" s="1"/>
      <c r="US164" s="1"/>
      <c r="UT164" s="1"/>
      <c r="UU164" s="1"/>
      <c r="UV164" s="1"/>
      <c r="UW164" s="1"/>
      <c r="UX164" s="1"/>
      <c r="UY164" s="1"/>
      <c r="UZ164" s="1"/>
      <c r="VA164" s="1"/>
      <c r="VB164" s="1"/>
      <c r="VC164" s="1"/>
      <c r="VD164" s="1"/>
      <c r="VE164" s="1"/>
      <c r="VF164" s="1"/>
      <c r="VG164" s="1"/>
      <c r="VH164" s="1"/>
      <c r="VI164" s="1"/>
      <c r="VJ164" s="1"/>
      <c r="VK164" s="1"/>
      <c r="VL164" s="1"/>
      <c r="VM164" s="1"/>
      <c r="VN164" s="1"/>
      <c r="VO164" s="1"/>
      <c r="VP164" s="1"/>
      <c r="VQ164" s="1"/>
      <c r="VR164" s="1"/>
      <c r="VS164" s="1"/>
      <c r="VT164" s="1"/>
      <c r="VU164" s="1"/>
      <c r="VV164" s="1"/>
      <c r="VW164" s="1"/>
      <c r="VX164" s="1"/>
      <c r="VY164" s="1"/>
      <c r="VZ164" s="1"/>
      <c r="WA164" s="1"/>
      <c r="WB164" s="1"/>
      <c r="WC164" s="1"/>
      <c r="WD164" s="1"/>
      <c r="WE164" s="1"/>
      <c r="WF164" s="1"/>
      <c r="WG164" s="1"/>
      <c r="WH164" s="1"/>
      <c r="WI164" s="1"/>
      <c r="WJ164" s="1"/>
      <c r="WK164" s="1"/>
      <c r="WL164" s="1"/>
      <c r="WM164" s="1"/>
      <c r="WN164" s="1"/>
      <c r="WO164" s="1"/>
      <c r="WP164" s="1"/>
      <c r="WQ164" s="1"/>
      <c r="WR164" s="1"/>
      <c r="WS164" s="1"/>
      <c r="WT164" s="1"/>
      <c r="WU164" s="1"/>
      <c r="WV164" s="1"/>
      <c r="WW164" s="1"/>
      <c r="WX164" s="1"/>
      <c r="WY164" s="1"/>
      <c r="WZ164" s="1"/>
      <c r="XA164" s="1"/>
      <c r="XB164" s="1"/>
      <c r="XC164" s="1"/>
      <c r="XD164" s="1"/>
      <c r="XE164" s="1"/>
      <c r="XF164" s="1"/>
      <c r="XG164" s="1"/>
      <c r="XH164" s="1"/>
      <c r="XI164" s="1"/>
      <c r="XJ164" s="1"/>
      <c r="XK164" s="1"/>
      <c r="XL164" s="1"/>
      <c r="XM164" s="1"/>
      <c r="XN164" s="1"/>
      <c r="XO164" s="1"/>
      <c r="XP164" s="1"/>
      <c r="XQ164" s="1"/>
      <c r="XR164" s="1"/>
      <c r="XS164" s="1"/>
      <c r="XT164" s="1"/>
      <c r="XU164" s="1"/>
      <c r="XV164" s="1"/>
      <c r="XW164" s="1"/>
      <c r="XX164" s="1"/>
      <c r="XY164" s="1"/>
      <c r="XZ164" s="1"/>
      <c r="YA164" s="1"/>
      <c r="YB164" s="1"/>
      <c r="YC164" s="1"/>
      <c r="YD164" s="1"/>
      <c r="YE164" s="1"/>
      <c r="YF164" s="1"/>
      <c r="YG164" s="1"/>
      <c r="YH164" s="1"/>
      <c r="YI164" s="1"/>
      <c r="YJ164" s="1"/>
      <c r="YK164" s="1"/>
      <c r="YL164" s="1"/>
      <c r="YM164" s="1"/>
      <c r="YN164" s="1"/>
      <c r="YO164" s="1"/>
      <c r="YP164" s="1"/>
      <c r="YQ164" s="1"/>
      <c r="YR164" s="1"/>
      <c r="YS164" s="1"/>
      <c r="YT164" s="1"/>
      <c r="YU164" s="1"/>
      <c r="YV164" s="1"/>
      <c r="YW164" s="1"/>
      <c r="YX164" s="1"/>
      <c r="YY164" s="1"/>
      <c r="YZ164" s="1"/>
      <c r="ZA164" s="1"/>
      <c r="ZB164" s="1"/>
      <c r="ZC164" s="1"/>
      <c r="ZD164" s="1"/>
      <c r="ZE164" s="1"/>
      <c r="ZF164" s="1"/>
      <c r="ZG164" s="1"/>
      <c r="ZH164" s="1"/>
      <c r="ZI164" s="1"/>
      <c r="ZJ164" s="1"/>
      <c r="ZK164" s="1"/>
      <c r="ZL164" s="1"/>
      <c r="ZM164" s="1"/>
      <c r="ZN164" s="1"/>
      <c r="ZO164" s="1"/>
      <c r="ZP164" s="1"/>
      <c r="ZQ164" s="1"/>
      <c r="ZR164" s="1"/>
      <c r="ZS164" s="1"/>
      <c r="ZT164" s="1"/>
      <c r="ZU164" s="1"/>
      <c r="ZV164" s="1"/>
      <c r="ZW164" s="1"/>
      <c r="ZX164" s="1"/>
      <c r="ZY164" s="1"/>
      <c r="ZZ164" s="1"/>
      <c r="AAA164" s="1"/>
      <c r="AAB164" s="1"/>
      <c r="AAC164" s="1"/>
      <c r="AAD164" s="1"/>
      <c r="AAE164" s="1"/>
      <c r="AAF164" s="1"/>
      <c r="AAG164" s="1"/>
      <c r="AAH164" s="1"/>
      <c r="AAI164" s="1"/>
      <c r="AAJ164" s="1"/>
      <c r="AAK164" s="1"/>
      <c r="AAL164" s="1"/>
      <c r="AAM164" s="1"/>
      <c r="AAN164" s="1"/>
      <c r="AAO164" s="1"/>
      <c r="AAP164" s="1"/>
      <c r="AAQ164" s="1"/>
      <c r="AAR164" s="1"/>
      <c r="AAS164" s="1"/>
      <c r="AAT164" s="1"/>
      <c r="AAU164" s="1"/>
      <c r="AAV164" s="1"/>
      <c r="AAW164" s="1"/>
      <c r="AAX164" s="1"/>
      <c r="AAY164" s="1"/>
      <c r="AAZ164" s="1"/>
      <c r="ABA164" s="1"/>
      <c r="ABB164" s="1"/>
      <c r="ABC164" s="1"/>
      <c r="ABD164" s="1"/>
      <c r="ABE164" s="1"/>
      <c r="ABF164" s="1"/>
      <c r="ABG164" s="1"/>
      <c r="ABH164" s="1"/>
      <c r="ABI164" s="1"/>
      <c r="ABJ164" s="1"/>
      <c r="ABK164" s="1"/>
      <c r="ABL164" s="1"/>
      <c r="ABM164" s="1"/>
      <c r="ABN164" s="1"/>
      <c r="ABO164" s="1"/>
      <c r="ABP164" s="1"/>
      <c r="ABQ164" s="1"/>
      <c r="ABR164" s="1"/>
      <c r="ABS164" s="1"/>
      <c r="ABT164" s="1"/>
      <c r="ABU164" s="1"/>
      <c r="ABV164" s="1"/>
      <c r="ABW164" s="1"/>
      <c r="ABX164" s="1"/>
      <c r="ABY164" s="1"/>
      <c r="ABZ164" s="1"/>
      <c r="ACA164" s="1"/>
      <c r="ACB164" s="1"/>
      <c r="ACC164" s="1"/>
      <c r="ACD164" s="1"/>
      <c r="ACE164" s="1"/>
      <c r="ACF164" s="1"/>
      <c r="ACG164" s="1"/>
      <c r="ACH164" s="1"/>
      <c r="ACI164" s="1"/>
      <c r="ACJ164" s="1"/>
      <c r="ACK164" s="1"/>
      <c r="ACL164" s="1"/>
      <c r="ACM164" s="1"/>
      <c r="ACN164" s="1"/>
      <c r="ACO164" s="1"/>
      <c r="ACP164" s="1"/>
      <c r="ACQ164" s="1"/>
      <c r="ACR164" s="1"/>
      <c r="ACS164" s="1"/>
      <c r="ACT164" s="1"/>
      <c r="ACU164" s="1"/>
      <c r="ACV164" s="1"/>
      <c r="ACW164" s="1"/>
      <c r="ACX164" s="1"/>
      <c r="ACY164" s="1"/>
      <c r="ACZ164" s="1"/>
      <c r="ADA164" s="1"/>
      <c r="ADB164" s="1"/>
      <c r="ADC164" s="1"/>
      <c r="ADD164" s="1"/>
      <c r="ADE164" s="1"/>
      <c r="ADF164" s="1"/>
      <c r="ADG164" s="1"/>
      <c r="ADH164" s="1"/>
      <c r="ADI164" s="1"/>
      <c r="ADJ164" s="1"/>
      <c r="ADK164" s="1"/>
      <c r="ADL164" s="1"/>
      <c r="ADM164" s="1"/>
      <c r="ADN164" s="1"/>
      <c r="ADO164" s="1"/>
      <c r="ADP164" s="1"/>
      <c r="ADQ164" s="1"/>
      <c r="ADR164" s="1"/>
      <c r="ADS164" s="1"/>
      <c r="ADT164" s="1"/>
      <c r="ADU164" s="1"/>
      <c r="ADV164" s="1"/>
      <c r="ADW164" s="1"/>
      <c r="ADX164" s="1"/>
      <c r="ADY164" s="1"/>
      <c r="ADZ164" s="1"/>
      <c r="AEA164" s="1"/>
      <c r="AEB164" s="1"/>
      <c r="AEC164" s="1"/>
      <c r="AED164" s="1"/>
      <c r="AEE164" s="1"/>
      <c r="AEF164" s="1"/>
      <c r="AEG164" s="1"/>
      <c r="AEH164" s="1"/>
      <c r="AEI164" s="1"/>
      <c r="AEJ164" s="1"/>
      <c r="AEK164" s="1"/>
      <c r="AEL164" s="1"/>
      <c r="AEM164" s="1"/>
      <c r="AEN164" s="1"/>
      <c r="AEO164" s="1"/>
      <c r="AEP164" s="1"/>
      <c r="AEQ164" s="1"/>
      <c r="AER164" s="1"/>
      <c r="AES164" s="1"/>
      <c r="AET164" s="1"/>
      <c r="AEU164" s="1"/>
      <c r="AEV164" s="1"/>
      <c r="AEW164" s="1"/>
      <c r="AEX164" s="1"/>
      <c r="AEY164" s="1"/>
      <c r="AEZ164" s="1"/>
      <c r="AFA164" s="1"/>
      <c r="AFB164" s="1"/>
      <c r="AFC164" s="1"/>
      <c r="AFD164" s="1"/>
      <c r="AFE164" s="1"/>
      <c r="AFF164" s="1"/>
      <c r="AFG164" s="1"/>
      <c r="AFH164" s="1"/>
      <c r="AFI164" s="1"/>
      <c r="AFJ164" s="1"/>
      <c r="AFK164" s="1"/>
      <c r="AFL164" s="1"/>
      <c r="AFM164" s="1"/>
      <c r="AFN164" s="1"/>
      <c r="AFO164" s="1"/>
      <c r="AFP164" s="1"/>
      <c r="AFQ164" s="1"/>
      <c r="AFR164" s="1"/>
      <c r="AFS164" s="1"/>
      <c r="AFT164" s="1"/>
      <c r="AFU164" s="1"/>
      <c r="AFV164" s="1"/>
      <c r="AFW164" s="1"/>
      <c r="AFX164" s="1"/>
      <c r="AFY164" s="1"/>
      <c r="AFZ164" s="1"/>
      <c r="AGA164" s="1"/>
      <c r="AGB164" s="1"/>
      <c r="AGC164" s="1"/>
      <c r="AGD164" s="1"/>
      <c r="AGE164" s="1"/>
      <c r="AGF164" s="1"/>
      <c r="AGG164" s="1"/>
      <c r="AGH164" s="1"/>
      <c r="AGI164" s="1"/>
      <c r="AGJ164" s="1"/>
      <c r="AGK164" s="1"/>
      <c r="AGL164" s="1"/>
      <c r="AGM164" s="1"/>
      <c r="AGN164" s="1"/>
      <c r="AGO164" s="1"/>
      <c r="AGP164" s="1"/>
      <c r="AGQ164" s="1"/>
      <c r="AGR164" s="1"/>
      <c r="AGS164" s="1"/>
      <c r="AGT164" s="1"/>
      <c r="AGU164" s="1"/>
      <c r="AGV164" s="1"/>
      <c r="AGW164" s="1"/>
      <c r="AGX164" s="1"/>
      <c r="AGY164" s="1"/>
      <c r="AGZ164" s="1"/>
      <c r="AHA164" s="1"/>
      <c r="AHB164" s="1"/>
      <c r="AHC164" s="1"/>
      <c r="AHD164" s="1"/>
      <c r="AHE164" s="1"/>
      <c r="AHF164" s="1"/>
      <c r="AHG164" s="1"/>
      <c r="AHH164" s="1"/>
      <c r="AHI164" s="1"/>
      <c r="AHJ164" s="1"/>
      <c r="AHK164" s="1"/>
      <c r="AHL164" s="1"/>
      <c r="AHM164" s="1"/>
      <c r="AHN164" s="1"/>
      <c r="AHO164" s="1"/>
      <c r="AHP164" s="1"/>
      <c r="AHQ164" s="1"/>
      <c r="AHR164" s="1"/>
      <c r="AHS164" s="1"/>
      <c r="AHT164" s="1"/>
      <c r="AHU164" s="1"/>
      <c r="AHV164" s="1"/>
      <c r="AHW164" s="1"/>
      <c r="AHX164" s="1"/>
      <c r="AHY164" s="1"/>
      <c r="AHZ164" s="1"/>
      <c r="AIA164" s="1"/>
      <c r="AIB164" s="1"/>
      <c r="AIC164" s="1"/>
      <c r="AID164" s="1"/>
      <c r="AIE164" s="1"/>
      <c r="AIF164" s="1"/>
      <c r="AIG164" s="1"/>
      <c r="AIH164" s="1"/>
      <c r="AII164" s="1"/>
      <c r="AIJ164" s="1"/>
      <c r="AIK164" s="1"/>
      <c r="AIL164" s="1"/>
      <c r="AIM164" s="1"/>
      <c r="AIN164" s="1"/>
      <c r="AIO164" s="1"/>
      <c r="AIP164" s="1"/>
      <c r="AIQ164" s="1"/>
      <c r="AIR164" s="1"/>
      <c r="AIS164" s="1"/>
      <c r="AIT164" s="1"/>
      <c r="AIU164" s="1"/>
      <c r="AIV164" s="1"/>
      <c r="AIW164" s="1"/>
      <c r="AIX164" s="1"/>
      <c r="AIY164" s="1"/>
      <c r="AIZ164" s="1"/>
      <c r="AJA164" s="1"/>
      <c r="AJB164" s="1"/>
      <c r="AJC164" s="1"/>
      <c r="AJD164" s="1"/>
      <c r="AJE164" s="1"/>
      <c r="AJF164" s="1"/>
      <c r="AJG164" s="1"/>
      <c r="AJH164" s="1"/>
      <c r="AJI164" s="1"/>
      <c r="AJJ164" s="1"/>
      <c r="AJK164" s="1"/>
      <c r="AJL164" s="1"/>
      <c r="AJM164" s="1"/>
      <c r="AJN164" s="1"/>
      <c r="AJO164" s="1"/>
      <c r="AJP164" s="1"/>
      <c r="AJQ164" s="1"/>
      <c r="AJR164" s="1"/>
      <c r="AJS164" s="1"/>
      <c r="AJT164" s="1"/>
      <c r="AJU164" s="1"/>
      <c r="AJV164" s="1"/>
      <c r="AJW164" s="1"/>
      <c r="AJX164" s="1"/>
      <c r="AJY164" s="1"/>
      <c r="AJZ164" s="1"/>
      <c r="AKA164" s="1"/>
      <c r="AKB164" s="1"/>
      <c r="AKC164" s="1"/>
      <c r="AKD164" s="1"/>
      <c r="AKE164" s="1"/>
      <c r="AKF164" s="1"/>
      <c r="AKG164" s="1"/>
      <c r="AKH164" s="1"/>
      <c r="AKI164" s="1"/>
      <c r="AKJ164" s="1"/>
      <c r="AKK164" s="1"/>
      <c r="AKL164" s="1"/>
      <c r="AKM164" s="1"/>
      <c r="AKN164" s="1"/>
      <c r="AKO164" s="1"/>
      <c r="AKP164" s="1"/>
      <c r="AKQ164" s="1"/>
      <c r="AKR164" s="1"/>
      <c r="AKS164" s="1"/>
      <c r="AKT164" s="1"/>
      <c r="AKU164" s="1"/>
      <c r="AKV164" s="1"/>
      <c r="AKW164" s="1"/>
      <c r="AKX164" s="1"/>
      <c r="AKY164" s="1"/>
      <c r="AKZ164" s="1"/>
      <c r="ALA164" s="1"/>
      <c r="ALB164" s="1"/>
      <c r="ALC164" s="1"/>
      <c r="ALD164" s="1"/>
      <c r="ALE164" s="1"/>
      <c r="ALF164" s="1"/>
      <c r="ALG164" s="1"/>
      <c r="ALH164" s="1"/>
      <c r="ALI164" s="1"/>
      <c r="ALJ164" s="1"/>
      <c r="ALK164" s="1"/>
      <c r="ALL164" s="1"/>
      <c r="ALM164" s="1"/>
      <c r="ALN164" s="1"/>
      <c r="ALO164" s="1"/>
      <c r="ALP164" s="1"/>
      <c r="ALQ164" s="1"/>
      <c r="ALR164" s="1"/>
      <c r="ALS164" s="1"/>
      <c r="ALT164" s="1"/>
      <c r="ALU164" s="1"/>
      <c r="ALV164" s="1"/>
      <c r="ALW164" s="1"/>
      <c r="ALX164" s="1"/>
      <c r="ALY164" s="1"/>
      <c r="ALZ164" s="1"/>
      <c r="AMA164" s="1"/>
      <c r="AMB164" s="1"/>
      <c r="AMC164" s="1"/>
      <c r="AMD164" s="1"/>
      <c r="AME164" s="1"/>
      <c r="AMF164" s="1"/>
      <c r="AMG164" s="1"/>
      <c r="AMH164" s="1"/>
      <c r="AMI164" s="1"/>
      <c r="AMJ164" s="1"/>
    </row>
    <row r="165" customFormat="false" ht="10.5" hidden="false" customHeight="true" outlineLevel="0" collapsed="false">
      <c r="A165" s="221"/>
      <c r="B165" s="221"/>
      <c r="C165" s="221"/>
      <c r="D165" s="221"/>
      <c r="E165" s="221"/>
      <c r="F165" s="221"/>
      <c r="G165" s="222"/>
      <c r="H165" s="222"/>
      <c r="I165" s="222"/>
      <c r="J165" s="222"/>
      <c r="K165" s="222"/>
      <c r="L165" s="222"/>
      <c r="M165" s="222"/>
      <c r="N165" s="222"/>
      <c r="O165" s="222"/>
      <c r="P165" s="222"/>
      <c r="Q165" s="222"/>
      <c r="R165" s="222"/>
      <c r="S165" s="222"/>
      <c r="T165" s="222"/>
      <c r="U165" s="222"/>
      <c r="V165" s="222"/>
      <c r="W165" s="222"/>
      <c r="X165" s="222"/>
      <c r="Y165" s="222"/>
      <c r="Z165" s="222"/>
      <c r="AA165" s="222"/>
      <c r="AB165" s="222"/>
      <c r="AC165" s="222"/>
      <c r="AD165" s="222"/>
      <c r="AE165" s="222"/>
      <c r="AF165" s="222"/>
      <c r="AG165" s="222"/>
      <c r="AH165" s="222"/>
      <c r="AI165" s="142" t="n">
        <f aca="false">SUM(A165:AH165)</f>
        <v>0</v>
      </c>
      <c r="AJ165" s="142"/>
      <c r="AK165" s="142"/>
      <c r="AL165" s="142"/>
      <c r="AM165" s="142"/>
      <c r="AN165" s="142"/>
      <c r="AO165" s="142"/>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c r="IY165" s="1"/>
      <c r="IZ165" s="1"/>
      <c r="JA165" s="1"/>
      <c r="JB165" s="1"/>
      <c r="JC165" s="1"/>
      <c r="JD165" s="1"/>
      <c r="JE165" s="1"/>
      <c r="JF165" s="1"/>
      <c r="JG165" s="1"/>
      <c r="JH165" s="1"/>
      <c r="JI165" s="1"/>
      <c r="JJ165" s="1"/>
      <c r="JK165" s="1"/>
      <c r="JL165" s="1"/>
      <c r="JM165" s="1"/>
      <c r="JN165" s="1"/>
      <c r="JO165" s="1"/>
      <c r="JP165" s="1"/>
      <c r="JQ165" s="1"/>
      <c r="JR165" s="1"/>
      <c r="JS165" s="1"/>
      <c r="JT165" s="1"/>
      <c r="JU165" s="1"/>
      <c r="JV165" s="1"/>
      <c r="JW165" s="1"/>
      <c r="JX165" s="1"/>
      <c r="JY165" s="1"/>
      <c r="JZ165" s="1"/>
      <c r="KA165" s="1"/>
      <c r="KB165" s="1"/>
      <c r="KC165" s="1"/>
      <c r="KD165" s="1"/>
      <c r="KE165" s="1"/>
      <c r="KF165" s="1"/>
      <c r="KG165" s="1"/>
      <c r="KH165" s="1"/>
      <c r="KI165" s="1"/>
      <c r="KJ165" s="1"/>
      <c r="KK165" s="1"/>
      <c r="KL165" s="1"/>
      <c r="KM165" s="1"/>
      <c r="KN165" s="1"/>
      <c r="KO165" s="1"/>
      <c r="KP165" s="1"/>
      <c r="KQ165" s="1"/>
      <c r="KR165" s="1"/>
      <c r="KS165" s="1"/>
      <c r="KT165" s="1"/>
      <c r="KU165" s="1"/>
      <c r="KV165" s="1"/>
      <c r="KW165" s="1"/>
      <c r="KX165" s="1"/>
      <c r="KY165" s="1"/>
      <c r="KZ165" s="1"/>
      <c r="LA165" s="1"/>
      <c r="LB165" s="1"/>
      <c r="LC165" s="1"/>
      <c r="LD165" s="1"/>
      <c r="LE165" s="1"/>
      <c r="LF165" s="1"/>
      <c r="LG165" s="1"/>
      <c r="LH165" s="1"/>
      <c r="LI165" s="1"/>
      <c r="LJ165" s="1"/>
      <c r="LK165" s="1"/>
      <c r="LL165" s="1"/>
      <c r="LM165" s="1"/>
      <c r="LN165" s="1"/>
      <c r="LO165" s="1"/>
      <c r="LP165" s="1"/>
      <c r="LQ165" s="1"/>
      <c r="LR165" s="1"/>
      <c r="LS165" s="1"/>
      <c r="LT165" s="1"/>
      <c r="LU165" s="1"/>
      <c r="LV165" s="1"/>
      <c r="LW165" s="1"/>
      <c r="LX165" s="1"/>
      <c r="LY165" s="1"/>
      <c r="LZ165" s="1"/>
      <c r="MA165" s="1"/>
      <c r="MB165" s="1"/>
      <c r="MC165" s="1"/>
      <c r="MD165" s="1"/>
      <c r="ME165" s="1"/>
      <c r="MF165" s="1"/>
      <c r="MG165" s="1"/>
      <c r="MH165" s="1"/>
      <c r="MI165" s="1"/>
      <c r="MJ165" s="1"/>
      <c r="MK165" s="1"/>
      <c r="ML165" s="1"/>
      <c r="MM165" s="1"/>
      <c r="MN165" s="1"/>
      <c r="MO165" s="1"/>
      <c r="MP165" s="1"/>
      <c r="MQ165" s="1"/>
      <c r="MR165" s="1"/>
      <c r="MS165" s="1"/>
      <c r="MT165" s="1"/>
      <c r="MU165" s="1"/>
      <c r="MV165" s="1"/>
      <c r="MW165" s="1"/>
      <c r="MX165" s="1"/>
      <c r="MY165" s="1"/>
      <c r="MZ165" s="1"/>
      <c r="NA165" s="1"/>
      <c r="NB165" s="1"/>
      <c r="NC165" s="1"/>
      <c r="ND165" s="1"/>
      <c r="NE165" s="1"/>
      <c r="NF165" s="1"/>
      <c r="NG165" s="1"/>
      <c r="NH165" s="1"/>
      <c r="NI165" s="1"/>
      <c r="NJ165" s="1"/>
      <c r="NK165" s="1"/>
      <c r="NL165" s="1"/>
      <c r="NM165" s="1"/>
      <c r="NN165" s="1"/>
      <c r="NO165" s="1"/>
      <c r="NP165" s="1"/>
      <c r="NQ165" s="1"/>
      <c r="NR165" s="1"/>
      <c r="NS165" s="1"/>
      <c r="NT165" s="1"/>
      <c r="NU165" s="1"/>
      <c r="NV165" s="1"/>
      <c r="NW165" s="1"/>
      <c r="NX165" s="1"/>
      <c r="NY165" s="1"/>
      <c r="NZ165" s="1"/>
      <c r="OA165" s="1"/>
      <c r="OB165" s="1"/>
      <c r="OC165" s="1"/>
      <c r="OD165" s="1"/>
      <c r="OE165" s="1"/>
      <c r="OF165" s="1"/>
      <c r="OG165" s="1"/>
      <c r="OH165" s="1"/>
      <c r="OI165" s="1"/>
      <c r="OJ165" s="1"/>
      <c r="OK165" s="1"/>
      <c r="OL165" s="1"/>
      <c r="OM165" s="1"/>
      <c r="ON165" s="1"/>
      <c r="OO165" s="1"/>
      <c r="OP165" s="1"/>
      <c r="OQ165" s="1"/>
      <c r="OR165" s="1"/>
      <c r="OS165" s="1"/>
      <c r="OT165" s="1"/>
      <c r="OU165" s="1"/>
      <c r="OV165" s="1"/>
      <c r="OW165" s="1"/>
      <c r="OX165" s="1"/>
      <c r="OY165" s="1"/>
      <c r="OZ165" s="1"/>
      <c r="PA165" s="1"/>
      <c r="PB165" s="1"/>
      <c r="PC165" s="1"/>
      <c r="PD165" s="1"/>
      <c r="PE165" s="1"/>
      <c r="PF165" s="1"/>
      <c r="PG165" s="1"/>
      <c r="PH165" s="1"/>
      <c r="PI165" s="1"/>
      <c r="PJ165" s="1"/>
      <c r="PK165" s="1"/>
      <c r="PL165" s="1"/>
      <c r="PM165" s="1"/>
      <c r="PN165" s="1"/>
      <c r="PO165" s="1"/>
      <c r="PP165" s="1"/>
      <c r="PQ165" s="1"/>
      <c r="PR165" s="1"/>
      <c r="PS165" s="1"/>
      <c r="PT165" s="1"/>
      <c r="PU165" s="1"/>
      <c r="PV165" s="1"/>
      <c r="PW165" s="1"/>
      <c r="PX165" s="1"/>
      <c r="PY165" s="1"/>
      <c r="PZ165" s="1"/>
      <c r="QA165" s="1"/>
      <c r="QB165" s="1"/>
      <c r="QC165" s="1"/>
      <c r="QD165" s="1"/>
      <c r="QE165" s="1"/>
      <c r="QF165" s="1"/>
      <c r="QG165" s="1"/>
      <c r="QH165" s="1"/>
      <c r="QI165" s="1"/>
      <c r="QJ165" s="1"/>
      <c r="QK165" s="1"/>
      <c r="QL165" s="1"/>
      <c r="QM165" s="1"/>
      <c r="QN165" s="1"/>
      <c r="QO165" s="1"/>
      <c r="QP165" s="1"/>
      <c r="QQ165" s="1"/>
      <c r="QR165" s="1"/>
      <c r="QS165" s="1"/>
      <c r="QT165" s="1"/>
      <c r="QU165" s="1"/>
      <c r="QV165" s="1"/>
      <c r="QW165" s="1"/>
      <c r="QX165" s="1"/>
      <c r="QY165" s="1"/>
      <c r="QZ165" s="1"/>
      <c r="RA165" s="1"/>
      <c r="RB165" s="1"/>
      <c r="RC165" s="1"/>
      <c r="RD165" s="1"/>
      <c r="RE165" s="1"/>
      <c r="RF165" s="1"/>
      <c r="RG165" s="1"/>
      <c r="RH165" s="1"/>
      <c r="RI165" s="1"/>
      <c r="RJ165" s="1"/>
      <c r="RK165" s="1"/>
      <c r="RL165" s="1"/>
      <c r="RM165" s="1"/>
      <c r="RN165" s="1"/>
      <c r="RO165" s="1"/>
      <c r="RP165" s="1"/>
      <c r="RQ165" s="1"/>
      <c r="RR165" s="1"/>
      <c r="RS165" s="1"/>
      <c r="RT165" s="1"/>
      <c r="RU165" s="1"/>
      <c r="RV165" s="1"/>
      <c r="RW165" s="1"/>
      <c r="RX165" s="1"/>
      <c r="RY165" s="1"/>
      <c r="RZ165" s="1"/>
      <c r="SA165" s="1"/>
      <c r="SB165" s="1"/>
      <c r="SC165" s="1"/>
      <c r="SD165" s="1"/>
      <c r="SE165" s="1"/>
      <c r="SF165" s="1"/>
      <c r="SG165" s="1"/>
      <c r="SH165" s="1"/>
      <c r="SI165" s="1"/>
      <c r="SJ165" s="1"/>
      <c r="SK165" s="1"/>
      <c r="SL165" s="1"/>
      <c r="SM165" s="1"/>
      <c r="SN165" s="1"/>
      <c r="SO165" s="1"/>
      <c r="SP165" s="1"/>
      <c r="SQ165" s="1"/>
      <c r="SR165" s="1"/>
      <c r="SS165" s="1"/>
      <c r="ST165" s="1"/>
      <c r="SU165" s="1"/>
      <c r="SV165" s="1"/>
      <c r="SW165" s="1"/>
      <c r="SX165" s="1"/>
      <c r="SY165" s="1"/>
      <c r="SZ165" s="1"/>
      <c r="TA165" s="1"/>
      <c r="TB165" s="1"/>
      <c r="TC165" s="1"/>
      <c r="TD165" s="1"/>
      <c r="TE165" s="1"/>
      <c r="TF165" s="1"/>
      <c r="TG165" s="1"/>
      <c r="TH165" s="1"/>
      <c r="TI165" s="1"/>
      <c r="TJ165" s="1"/>
      <c r="TK165" s="1"/>
      <c r="TL165" s="1"/>
      <c r="TM165" s="1"/>
      <c r="TN165" s="1"/>
      <c r="TO165" s="1"/>
      <c r="TP165" s="1"/>
      <c r="TQ165" s="1"/>
      <c r="TR165" s="1"/>
      <c r="TS165" s="1"/>
      <c r="TT165" s="1"/>
      <c r="TU165" s="1"/>
      <c r="TV165" s="1"/>
      <c r="TW165" s="1"/>
      <c r="TX165" s="1"/>
      <c r="TY165" s="1"/>
      <c r="TZ165" s="1"/>
      <c r="UA165" s="1"/>
      <c r="UB165" s="1"/>
      <c r="UC165" s="1"/>
      <c r="UD165" s="1"/>
      <c r="UE165" s="1"/>
      <c r="UF165" s="1"/>
      <c r="UG165" s="1"/>
      <c r="UH165" s="1"/>
      <c r="UI165" s="1"/>
      <c r="UJ165" s="1"/>
      <c r="UK165" s="1"/>
      <c r="UL165" s="1"/>
      <c r="UM165" s="1"/>
      <c r="UN165" s="1"/>
      <c r="UO165" s="1"/>
      <c r="UP165" s="1"/>
      <c r="UQ165" s="1"/>
      <c r="UR165" s="1"/>
      <c r="US165" s="1"/>
      <c r="UT165" s="1"/>
      <c r="UU165" s="1"/>
      <c r="UV165" s="1"/>
      <c r="UW165" s="1"/>
      <c r="UX165" s="1"/>
      <c r="UY165" s="1"/>
      <c r="UZ165" s="1"/>
      <c r="VA165" s="1"/>
      <c r="VB165" s="1"/>
      <c r="VC165" s="1"/>
      <c r="VD165" s="1"/>
      <c r="VE165" s="1"/>
      <c r="VF165" s="1"/>
      <c r="VG165" s="1"/>
      <c r="VH165" s="1"/>
      <c r="VI165" s="1"/>
      <c r="VJ165" s="1"/>
      <c r="VK165" s="1"/>
      <c r="VL165" s="1"/>
      <c r="VM165" s="1"/>
      <c r="VN165" s="1"/>
      <c r="VO165" s="1"/>
      <c r="VP165" s="1"/>
      <c r="VQ165" s="1"/>
      <c r="VR165" s="1"/>
      <c r="VS165" s="1"/>
      <c r="VT165" s="1"/>
      <c r="VU165" s="1"/>
      <c r="VV165" s="1"/>
      <c r="VW165" s="1"/>
      <c r="VX165" s="1"/>
      <c r="VY165" s="1"/>
      <c r="VZ165" s="1"/>
      <c r="WA165" s="1"/>
      <c r="WB165" s="1"/>
      <c r="WC165" s="1"/>
      <c r="WD165" s="1"/>
      <c r="WE165" s="1"/>
      <c r="WF165" s="1"/>
      <c r="WG165" s="1"/>
      <c r="WH165" s="1"/>
      <c r="WI165" s="1"/>
      <c r="WJ165" s="1"/>
      <c r="WK165" s="1"/>
      <c r="WL165" s="1"/>
      <c r="WM165" s="1"/>
      <c r="WN165" s="1"/>
      <c r="WO165" s="1"/>
      <c r="WP165" s="1"/>
      <c r="WQ165" s="1"/>
      <c r="WR165" s="1"/>
      <c r="WS165" s="1"/>
      <c r="WT165" s="1"/>
      <c r="WU165" s="1"/>
      <c r="WV165" s="1"/>
      <c r="WW165" s="1"/>
      <c r="WX165" s="1"/>
      <c r="WY165" s="1"/>
      <c r="WZ165" s="1"/>
      <c r="XA165" s="1"/>
      <c r="XB165" s="1"/>
      <c r="XC165" s="1"/>
      <c r="XD165" s="1"/>
      <c r="XE165" s="1"/>
      <c r="XF165" s="1"/>
      <c r="XG165" s="1"/>
      <c r="XH165" s="1"/>
      <c r="XI165" s="1"/>
      <c r="XJ165" s="1"/>
      <c r="XK165" s="1"/>
      <c r="XL165" s="1"/>
      <c r="XM165" s="1"/>
      <c r="XN165" s="1"/>
      <c r="XO165" s="1"/>
      <c r="XP165" s="1"/>
      <c r="XQ165" s="1"/>
      <c r="XR165" s="1"/>
      <c r="XS165" s="1"/>
      <c r="XT165" s="1"/>
      <c r="XU165" s="1"/>
      <c r="XV165" s="1"/>
      <c r="XW165" s="1"/>
      <c r="XX165" s="1"/>
      <c r="XY165" s="1"/>
      <c r="XZ165" s="1"/>
      <c r="YA165" s="1"/>
      <c r="YB165" s="1"/>
      <c r="YC165" s="1"/>
      <c r="YD165" s="1"/>
      <c r="YE165" s="1"/>
      <c r="YF165" s="1"/>
      <c r="YG165" s="1"/>
      <c r="YH165" s="1"/>
      <c r="YI165" s="1"/>
      <c r="YJ165" s="1"/>
      <c r="YK165" s="1"/>
      <c r="YL165" s="1"/>
      <c r="YM165" s="1"/>
      <c r="YN165" s="1"/>
      <c r="YO165" s="1"/>
      <c r="YP165" s="1"/>
      <c r="YQ165" s="1"/>
      <c r="YR165" s="1"/>
      <c r="YS165" s="1"/>
      <c r="YT165" s="1"/>
      <c r="YU165" s="1"/>
      <c r="YV165" s="1"/>
      <c r="YW165" s="1"/>
      <c r="YX165" s="1"/>
      <c r="YY165" s="1"/>
      <c r="YZ165" s="1"/>
      <c r="ZA165" s="1"/>
      <c r="ZB165" s="1"/>
      <c r="ZC165" s="1"/>
      <c r="ZD165" s="1"/>
      <c r="ZE165" s="1"/>
      <c r="ZF165" s="1"/>
      <c r="ZG165" s="1"/>
      <c r="ZH165" s="1"/>
      <c r="ZI165" s="1"/>
      <c r="ZJ165" s="1"/>
      <c r="ZK165" s="1"/>
      <c r="ZL165" s="1"/>
      <c r="ZM165" s="1"/>
      <c r="ZN165" s="1"/>
      <c r="ZO165" s="1"/>
      <c r="ZP165" s="1"/>
      <c r="ZQ165" s="1"/>
      <c r="ZR165" s="1"/>
      <c r="ZS165" s="1"/>
      <c r="ZT165" s="1"/>
      <c r="ZU165" s="1"/>
      <c r="ZV165" s="1"/>
      <c r="ZW165" s="1"/>
      <c r="ZX165" s="1"/>
      <c r="ZY165" s="1"/>
      <c r="ZZ165" s="1"/>
      <c r="AAA165" s="1"/>
      <c r="AAB165" s="1"/>
      <c r="AAC165" s="1"/>
      <c r="AAD165" s="1"/>
      <c r="AAE165" s="1"/>
      <c r="AAF165" s="1"/>
      <c r="AAG165" s="1"/>
      <c r="AAH165" s="1"/>
      <c r="AAI165" s="1"/>
      <c r="AAJ165" s="1"/>
      <c r="AAK165" s="1"/>
      <c r="AAL165" s="1"/>
      <c r="AAM165" s="1"/>
      <c r="AAN165" s="1"/>
      <c r="AAO165" s="1"/>
      <c r="AAP165" s="1"/>
      <c r="AAQ165" s="1"/>
      <c r="AAR165" s="1"/>
      <c r="AAS165" s="1"/>
      <c r="AAT165" s="1"/>
      <c r="AAU165" s="1"/>
      <c r="AAV165" s="1"/>
      <c r="AAW165" s="1"/>
      <c r="AAX165" s="1"/>
      <c r="AAY165" s="1"/>
      <c r="AAZ165" s="1"/>
      <c r="ABA165" s="1"/>
      <c r="ABB165" s="1"/>
      <c r="ABC165" s="1"/>
      <c r="ABD165" s="1"/>
      <c r="ABE165" s="1"/>
      <c r="ABF165" s="1"/>
      <c r="ABG165" s="1"/>
      <c r="ABH165" s="1"/>
      <c r="ABI165" s="1"/>
      <c r="ABJ165" s="1"/>
      <c r="ABK165" s="1"/>
      <c r="ABL165" s="1"/>
      <c r="ABM165" s="1"/>
      <c r="ABN165" s="1"/>
      <c r="ABO165" s="1"/>
      <c r="ABP165" s="1"/>
      <c r="ABQ165" s="1"/>
      <c r="ABR165" s="1"/>
      <c r="ABS165" s="1"/>
      <c r="ABT165" s="1"/>
      <c r="ABU165" s="1"/>
      <c r="ABV165" s="1"/>
      <c r="ABW165" s="1"/>
      <c r="ABX165" s="1"/>
      <c r="ABY165" s="1"/>
      <c r="ABZ165" s="1"/>
      <c r="ACA165" s="1"/>
      <c r="ACB165" s="1"/>
      <c r="ACC165" s="1"/>
      <c r="ACD165" s="1"/>
      <c r="ACE165" s="1"/>
      <c r="ACF165" s="1"/>
      <c r="ACG165" s="1"/>
      <c r="ACH165" s="1"/>
      <c r="ACI165" s="1"/>
      <c r="ACJ165" s="1"/>
      <c r="ACK165" s="1"/>
      <c r="ACL165" s="1"/>
      <c r="ACM165" s="1"/>
      <c r="ACN165" s="1"/>
      <c r="ACO165" s="1"/>
      <c r="ACP165" s="1"/>
      <c r="ACQ165" s="1"/>
      <c r="ACR165" s="1"/>
      <c r="ACS165" s="1"/>
      <c r="ACT165" s="1"/>
      <c r="ACU165" s="1"/>
      <c r="ACV165" s="1"/>
      <c r="ACW165" s="1"/>
      <c r="ACX165" s="1"/>
      <c r="ACY165" s="1"/>
      <c r="ACZ165" s="1"/>
      <c r="ADA165" s="1"/>
      <c r="ADB165" s="1"/>
      <c r="ADC165" s="1"/>
      <c r="ADD165" s="1"/>
      <c r="ADE165" s="1"/>
      <c r="ADF165" s="1"/>
      <c r="ADG165" s="1"/>
      <c r="ADH165" s="1"/>
      <c r="ADI165" s="1"/>
      <c r="ADJ165" s="1"/>
      <c r="ADK165" s="1"/>
      <c r="ADL165" s="1"/>
      <c r="ADM165" s="1"/>
      <c r="ADN165" s="1"/>
      <c r="ADO165" s="1"/>
      <c r="ADP165" s="1"/>
      <c r="ADQ165" s="1"/>
      <c r="ADR165" s="1"/>
      <c r="ADS165" s="1"/>
      <c r="ADT165" s="1"/>
      <c r="ADU165" s="1"/>
      <c r="ADV165" s="1"/>
      <c r="ADW165" s="1"/>
      <c r="ADX165" s="1"/>
      <c r="ADY165" s="1"/>
      <c r="ADZ165" s="1"/>
      <c r="AEA165" s="1"/>
      <c r="AEB165" s="1"/>
      <c r="AEC165" s="1"/>
      <c r="AED165" s="1"/>
      <c r="AEE165" s="1"/>
      <c r="AEF165" s="1"/>
      <c r="AEG165" s="1"/>
      <c r="AEH165" s="1"/>
      <c r="AEI165" s="1"/>
      <c r="AEJ165" s="1"/>
      <c r="AEK165" s="1"/>
      <c r="AEL165" s="1"/>
      <c r="AEM165" s="1"/>
      <c r="AEN165" s="1"/>
      <c r="AEO165" s="1"/>
      <c r="AEP165" s="1"/>
      <c r="AEQ165" s="1"/>
      <c r="AER165" s="1"/>
      <c r="AES165" s="1"/>
      <c r="AET165" s="1"/>
      <c r="AEU165" s="1"/>
      <c r="AEV165" s="1"/>
      <c r="AEW165" s="1"/>
      <c r="AEX165" s="1"/>
      <c r="AEY165" s="1"/>
      <c r="AEZ165" s="1"/>
      <c r="AFA165" s="1"/>
      <c r="AFB165" s="1"/>
      <c r="AFC165" s="1"/>
      <c r="AFD165" s="1"/>
      <c r="AFE165" s="1"/>
      <c r="AFF165" s="1"/>
      <c r="AFG165" s="1"/>
      <c r="AFH165" s="1"/>
      <c r="AFI165" s="1"/>
      <c r="AFJ165" s="1"/>
      <c r="AFK165" s="1"/>
      <c r="AFL165" s="1"/>
      <c r="AFM165" s="1"/>
      <c r="AFN165" s="1"/>
      <c r="AFO165" s="1"/>
      <c r="AFP165" s="1"/>
      <c r="AFQ165" s="1"/>
      <c r="AFR165" s="1"/>
      <c r="AFS165" s="1"/>
      <c r="AFT165" s="1"/>
      <c r="AFU165" s="1"/>
      <c r="AFV165" s="1"/>
      <c r="AFW165" s="1"/>
      <c r="AFX165" s="1"/>
      <c r="AFY165" s="1"/>
      <c r="AFZ165" s="1"/>
      <c r="AGA165" s="1"/>
      <c r="AGB165" s="1"/>
      <c r="AGC165" s="1"/>
      <c r="AGD165" s="1"/>
      <c r="AGE165" s="1"/>
      <c r="AGF165" s="1"/>
      <c r="AGG165" s="1"/>
      <c r="AGH165" s="1"/>
      <c r="AGI165" s="1"/>
      <c r="AGJ165" s="1"/>
      <c r="AGK165" s="1"/>
      <c r="AGL165" s="1"/>
      <c r="AGM165" s="1"/>
      <c r="AGN165" s="1"/>
      <c r="AGO165" s="1"/>
      <c r="AGP165" s="1"/>
      <c r="AGQ165" s="1"/>
      <c r="AGR165" s="1"/>
      <c r="AGS165" s="1"/>
      <c r="AGT165" s="1"/>
      <c r="AGU165" s="1"/>
      <c r="AGV165" s="1"/>
      <c r="AGW165" s="1"/>
      <c r="AGX165" s="1"/>
      <c r="AGY165" s="1"/>
      <c r="AGZ165" s="1"/>
      <c r="AHA165" s="1"/>
      <c r="AHB165" s="1"/>
      <c r="AHC165" s="1"/>
      <c r="AHD165" s="1"/>
      <c r="AHE165" s="1"/>
      <c r="AHF165" s="1"/>
      <c r="AHG165" s="1"/>
      <c r="AHH165" s="1"/>
      <c r="AHI165" s="1"/>
      <c r="AHJ165" s="1"/>
      <c r="AHK165" s="1"/>
      <c r="AHL165" s="1"/>
      <c r="AHM165" s="1"/>
      <c r="AHN165" s="1"/>
      <c r="AHO165" s="1"/>
      <c r="AHP165" s="1"/>
      <c r="AHQ165" s="1"/>
      <c r="AHR165" s="1"/>
      <c r="AHS165" s="1"/>
      <c r="AHT165" s="1"/>
      <c r="AHU165" s="1"/>
      <c r="AHV165" s="1"/>
      <c r="AHW165" s="1"/>
      <c r="AHX165" s="1"/>
      <c r="AHY165" s="1"/>
      <c r="AHZ165" s="1"/>
      <c r="AIA165" s="1"/>
      <c r="AIB165" s="1"/>
      <c r="AIC165" s="1"/>
      <c r="AID165" s="1"/>
      <c r="AIE165" s="1"/>
      <c r="AIF165" s="1"/>
      <c r="AIG165" s="1"/>
      <c r="AIH165" s="1"/>
      <c r="AII165" s="1"/>
      <c r="AIJ165" s="1"/>
      <c r="AIK165" s="1"/>
      <c r="AIL165" s="1"/>
      <c r="AIM165" s="1"/>
      <c r="AIN165" s="1"/>
      <c r="AIO165" s="1"/>
      <c r="AIP165" s="1"/>
      <c r="AIQ165" s="1"/>
      <c r="AIR165" s="1"/>
      <c r="AIS165" s="1"/>
      <c r="AIT165" s="1"/>
      <c r="AIU165" s="1"/>
      <c r="AIV165" s="1"/>
      <c r="AIW165" s="1"/>
      <c r="AIX165" s="1"/>
      <c r="AIY165" s="1"/>
      <c r="AIZ165" s="1"/>
      <c r="AJA165" s="1"/>
      <c r="AJB165" s="1"/>
      <c r="AJC165" s="1"/>
      <c r="AJD165" s="1"/>
      <c r="AJE165" s="1"/>
      <c r="AJF165" s="1"/>
      <c r="AJG165" s="1"/>
      <c r="AJH165" s="1"/>
      <c r="AJI165" s="1"/>
      <c r="AJJ165" s="1"/>
      <c r="AJK165" s="1"/>
      <c r="AJL165" s="1"/>
      <c r="AJM165" s="1"/>
      <c r="AJN165" s="1"/>
      <c r="AJO165" s="1"/>
      <c r="AJP165" s="1"/>
      <c r="AJQ165" s="1"/>
      <c r="AJR165" s="1"/>
      <c r="AJS165" s="1"/>
      <c r="AJT165" s="1"/>
      <c r="AJU165" s="1"/>
      <c r="AJV165" s="1"/>
      <c r="AJW165" s="1"/>
      <c r="AJX165" s="1"/>
      <c r="AJY165" s="1"/>
      <c r="AJZ165" s="1"/>
      <c r="AKA165" s="1"/>
      <c r="AKB165" s="1"/>
      <c r="AKC165" s="1"/>
      <c r="AKD165" s="1"/>
      <c r="AKE165" s="1"/>
      <c r="AKF165" s="1"/>
      <c r="AKG165" s="1"/>
      <c r="AKH165" s="1"/>
      <c r="AKI165" s="1"/>
      <c r="AKJ165" s="1"/>
      <c r="AKK165" s="1"/>
      <c r="AKL165" s="1"/>
      <c r="AKM165" s="1"/>
      <c r="AKN165" s="1"/>
      <c r="AKO165" s="1"/>
      <c r="AKP165" s="1"/>
      <c r="AKQ165" s="1"/>
      <c r="AKR165" s="1"/>
      <c r="AKS165" s="1"/>
      <c r="AKT165" s="1"/>
      <c r="AKU165" s="1"/>
      <c r="AKV165" s="1"/>
      <c r="AKW165" s="1"/>
      <c r="AKX165" s="1"/>
      <c r="AKY165" s="1"/>
      <c r="AKZ165" s="1"/>
      <c r="ALA165" s="1"/>
      <c r="ALB165" s="1"/>
      <c r="ALC165" s="1"/>
      <c r="ALD165" s="1"/>
      <c r="ALE165" s="1"/>
      <c r="ALF165" s="1"/>
      <c r="ALG165" s="1"/>
      <c r="ALH165" s="1"/>
      <c r="ALI165" s="1"/>
      <c r="ALJ165" s="1"/>
      <c r="ALK165" s="1"/>
      <c r="ALL165" s="1"/>
      <c r="ALM165" s="1"/>
      <c r="ALN165" s="1"/>
      <c r="ALO165" s="1"/>
      <c r="ALP165" s="1"/>
      <c r="ALQ165" s="1"/>
      <c r="ALR165" s="1"/>
      <c r="ALS165" s="1"/>
      <c r="ALT165" s="1"/>
      <c r="ALU165" s="1"/>
      <c r="ALV165" s="1"/>
      <c r="ALW165" s="1"/>
      <c r="ALX165" s="1"/>
      <c r="ALY165" s="1"/>
      <c r="ALZ165" s="1"/>
      <c r="AMA165" s="1"/>
      <c r="AMB165" s="1"/>
      <c r="AMC165" s="1"/>
      <c r="AMD165" s="1"/>
      <c r="AME165" s="1"/>
      <c r="AMF165" s="1"/>
      <c r="AMG165" s="1"/>
      <c r="AMH165" s="1"/>
      <c r="AMI165" s="1"/>
      <c r="AMJ165" s="1"/>
    </row>
    <row r="166" customFormat="false" ht="10.5" hidden="false" customHeight="true" outlineLevel="0" collapsed="false">
      <c r="A166" s="221"/>
      <c r="B166" s="221"/>
      <c r="C166" s="221"/>
      <c r="D166" s="221"/>
      <c r="E166" s="221"/>
      <c r="F166" s="221"/>
      <c r="G166" s="222"/>
      <c r="H166" s="222"/>
      <c r="I166" s="222"/>
      <c r="J166" s="222"/>
      <c r="K166" s="222"/>
      <c r="L166" s="222"/>
      <c r="M166" s="222"/>
      <c r="N166" s="222"/>
      <c r="O166" s="222"/>
      <c r="P166" s="222"/>
      <c r="Q166" s="222"/>
      <c r="R166" s="222"/>
      <c r="S166" s="222"/>
      <c r="T166" s="222"/>
      <c r="U166" s="222"/>
      <c r="V166" s="222"/>
      <c r="W166" s="222"/>
      <c r="X166" s="222"/>
      <c r="Y166" s="222"/>
      <c r="Z166" s="222"/>
      <c r="AA166" s="222"/>
      <c r="AB166" s="222"/>
      <c r="AC166" s="222"/>
      <c r="AD166" s="222"/>
      <c r="AE166" s="222"/>
      <c r="AF166" s="222"/>
      <c r="AG166" s="222"/>
      <c r="AH166" s="222"/>
      <c r="AI166" s="142" t="n">
        <f aca="false">SUM(A166:AH166)</f>
        <v>0</v>
      </c>
      <c r="AJ166" s="142"/>
      <c r="AK166" s="142"/>
      <c r="AL166" s="142"/>
      <c r="AM166" s="142"/>
      <c r="AN166" s="142"/>
      <c r="AO166" s="142"/>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c r="IY166" s="1"/>
      <c r="IZ166" s="1"/>
      <c r="JA166" s="1"/>
      <c r="JB166" s="1"/>
      <c r="JC166" s="1"/>
      <c r="JD166" s="1"/>
      <c r="JE166" s="1"/>
      <c r="JF166" s="1"/>
      <c r="JG166" s="1"/>
      <c r="JH166" s="1"/>
      <c r="JI166" s="1"/>
      <c r="JJ166" s="1"/>
      <c r="JK166" s="1"/>
      <c r="JL166" s="1"/>
      <c r="JM166" s="1"/>
      <c r="JN166" s="1"/>
      <c r="JO166" s="1"/>
      <c r="JP166" s="1"/>
      <c r="JQ166" s="1"/>
      <c r="JR166" s="1"/>
      <c r="JS166" s="1"/>
      <c r="JT166" s="1"/>
      <c r="JU166" s="1"/>
      <c r="JV166" s="1"/>
      <c r="JW166" s="1"/>
      <c r="JX166" s="1"/>
      <c r="JY166" s="1"/>
      <c r="JZ166" s="1"/>
      <c r="KA166" s="1"/>
      <c r="KB166" s="1"/>
      <c r="KC166" s="1"/>
      <c r="KD166" s="1"/>
      <c r="KE166" s="1"/>
      <c r="KF166" s="1"/>
      <c r="KG166" s="1"/>
      <c r="KH166" s="1"/>
      <c r="KI166" s="1"/>
      <c r="KJ166" s="1"/>
      <c r="KK166" s="1"/>
      <c r="KL166" s="1"/>
      <c r="KM166" s="1"/>
      <c r="KN166" s="1"/>
      <c r="KO166" s="1"/>
      <c r="KP166" s="1"/>
      <c r="KQ166" s="1"/>
      <c r="KR166" s="1"/>
      <c r="KS166" s="1"/>
      <c r="KT166" s="1"/>
      <c r="KU166" s="1"/>
      <c r="KV166" s="1"/>
      <c r="KW166" s="1"/>
      <c r="KX166" s="1"/>
      <c r="KY166" s="1"/>
      <c r="KZ166" s="1"/>
      <c r="LA166" s="1"/>
      <c r="LB166" s="1"/>
      <c r="LC166" s="1"/>
      <c r="LD166" s="1"/>
      <c r="LE166" s="1"/>
      <c r="LF166" s="1"/>
      <c r="LG166" s="1"/>
      <c r="LH166" s="1"/>
      <c r="LI166" s="1"/>
      <c r="LJ166" s="1"/>
      <c r="LK166" s="1"/>
      <c r="LL166" s="1"/>
      <c r="LM166" s="1"/>
      <c r="LN166" s="1"/>
      <c r="LO166" s="1"/>
      <c r="LP166" s="1"/>
      <c r="LQ166" s="1"/>
      <c r="LR166" s="1"/>
      <c r="LS166" s="1"/>
      <c r="LT166" s="1"/>
      <c r="LU166" s="1"/>
      <c r="LV166" s="1"/>
      <c r="LW166" s="1"/>
      <c r="LX166" s="1"/>
      <c r="LY166" s="1"/>
      <c r="LZ166" s="1"/>
      <c r="MA166" s="1"/>
      <c r="MB166" s="1"/>
      <c r="MC166" s="1"/>
      <c r="MD166" s="1"/>
      <c r="ME166" s="1"/>
      <c r="MF166" s="1"/>
      <c r="MG166" s="1"/>
      <c r="MH166" s="1"/>
      <c r="MI166" s="1"/>
      <c r="MJ166" s="1"/>
      <c r="MK166" s="1"/>
      <c r="ML166" s="1"/>
      <c r="MM166" s="1"/>
      <c r="MN166" s="1"/>
      <c r="MO166" s="1"/>
      <c r="MP166" s="1"/>
      <c r="MQ166" s="1"/>
      <c r="MR166" s="1"/>
      <c r="MS166" s="1"/>
      <c r="MT166" s="1"/>
      <c r="MU166" s="1"/>
      <c r="MV166" s="1"/>
      <c r="MW166" s="1"/>
      <c r="MX166" s="1"/>
      <c r="MY166" s="1"/>
      <c r="MZ166" s="1"/>
      <c r="NA166" s="1"/>
      <c r="NB166" s="1"/>
      <c r="NC166" s="1"/>
      <c r="ND166" s="1"/>
      <c r="NE166" s="1"/>
      <c r="NF166" s="1"/>
      <c r="NG166" s="1"/>
      <c r="NH166" s="1"/>
      <c r="NI166" s="1"/>
      <c r="NJ166" s="1"/>
      <c r="NK166" s="1"/>
      <c r="NL166" s="1"/>
      <c r="NM166" s="1"/>
      <c r="NN166" s="1"/>
      <c r="NO166" s="1"/>
      <c r="NP166" s="1"/>
      <c r="NQ166" s="1"/>
      <c r="NR166" s="1"/>
      <c r="NS166" s="1"/>
      <c r="NT166" s="1"/>
      <c r="NU166" s="1"/>
      <c r="NV166" s="1"/>
      <c r="NW166" s="1"/>
      <c r="NX166" s="1"/>
      <c r="NY166" s="1"/>
      <c r="NZ166" s="1"/>
      <c r="OA166" s="1"/>
      <c r="OB166" s="1"/>
      <c r="OC166" s="1"/>
      <c r="OD166" s="1"/>
      <c r="OE166" s="1"/>
      <c r="OF166" s="1"/>
      <c r="OG166" s="1"/>
      <c r="OH166" s="1"/>
      <c r="OI166" s="1"/>
      <c r="OJ166" s="1"/>
      <c r="OK166" s="1"/>
      <c r="OL166" s="1"/>
      <c r="OM166" s="1"/>
      <c r="ON166" s="1"/>
      <c r="OO166" s="1"/>
      <c r="OP166" s="1"/>
      <c r="OQ166" s="1"/>
      <c r="OR166" s="1"/>
      <c r="OS166" s="1"/>
      <c r="OT166" s="1"/>
      <c r="OU166" s="1"/>
      <c r="OV166" s="1"/>
      <c r="OW166" s="1"/>
      <c r="OX166" s="1"/>
      <c r="OY166" s="1"/>
      <c r="OZ166" s="1"/>
      <c r="PA166" s="1"/>
      <c r="PB166" s="1"/>
      <c r="PC166" s="1"/>
      <c r="PD166" s="1"/>
      <c r="PE166" s="1"/>
      <c r="PF166" s="1"/>
      <c r="PG166" s="1"/>
      <c r="PH166" s="1"/>
      <c r="PI166" s="1"/>
      <c r="PJ166" s="1"/>
      <c r="PK166" s="1"/>
      <c r="PL166" s="1"/>
      <c r="PM166" s="1"/>
      <c r="PN166" s="1"/>
      <c r="PO166" s="1"/>
      <c r="PP166" s="1"/>
      <c r="PQ166" s="1"/>
      <c r="PR166" s="1"/>
      <c r="PS166" s="1"/>
      <c r="PT166" s="1"/>
      <c r="PU166" s="1"/>
      <c r="PV166" s="1"/>
      <c r="PW166" s="1"/>
      <c r="PX166" s="1"/>
      <c r="PY166" s="1"/>
      <c r="PZ166" s="1"/>
      <c r="QA166" s="1"/>
      <c r="QB166" s="1"/>
      <c r="QC166" s="1"/>
      <c r="QD166" s="1"/>
      <c r="QE166" s="1"/>
      <c r="QF166" s="1"/>
      <c r="QG166" s="1"/>
      <c r="QH166" s="1"/>
      <c r="QI166" s="1"/>
      <c r="QJ166" s="1"/>
      <c r="QK166" s="1"/>
      <c r="QL166" s="1"/>
      <c r="QM166" s="1"/>
      <c r="QN166" s="1"/>
      <c r="QO166" s="1"/>
      <c r="QP166" s="1"/>
      <c r="QQ166" s="1"/>
      <c r="QR166" s="1"/>
      <c r="QS166" s="1"/>
      <c r="QT166" s="1"/>
      <c r="QU166" s="1"/>
      <c r="QV166" s="1"/>
      <c r="QW166" s="1"/>
      <c r="QX166" s="1"/>
      <c r="QY166" s="1"/>
      <c r="QZ166" s="1"/>
      <c r="RA166" s="1"/>
      <c r="RB166" s="1"/>
      <c r="RC166" s="1"/>
      <c r="RD166" s="1"/>
      <c r="RE166" s="1"/>
      <c r="RF166" s="1"/>
      <c r="RG166" s="1"/>
      <c r="RH166" s="1"/>
      <c r="RI166" s="1"/>
      <c r="RJ166" s="1"/>
      <c r="RK166" s="1"/>
      <c r="RL166" s="1"/>
      <c r="RM166" s="1"/>
      <c r="RN166" s="1"/>
      <c r="RO166" s="1"/>
      <c r="RP166" s="1"/>
      <c r="RQ166" s="1"/>
      <c r="RR166" s="1"/>
      <c r="RS166" s="1"/>
      <c r="RT166" s="1"/>
      <c r="RU166" s="1"/>
      <c r="RV166" s="1"/>
      <c r="RW166" s="1"/>
      <c r="RX166" s="1"/>
      <c r="RY166" s="1"/>
      <c r="RZ166" s="1"/>
      <c r="SA166" s="1"/>
      <c r="SB166" s="1"/>
      <c r="SC166" s="1"/>
      <c r="SD166" s="1"/>
      <c r="SE166" s="1"/>
      <c r="SF166" s="1"/>
      <c r="SG166" s="1"/>
      <c r="SH166" s="1"/>
      <c r="SI166" s="1"/>
      <c r="SJ166" s="1"/>
      <c r="SK166" s="1"/>
      <c r="SL166" s="1"/>
      <c r="SM166" s="1"/>
      <c r="SN166" s="1"/>
      <c r="SO166" s="1"/>
      <c r="SP166" s="1"/>
      <c r="SQ166" s="1"/>
      <c r="SR166" s="1"/>
      <c r="SS166" s="1"/>
      <c r="ST166" s="1"/>
      <c r="SU166" s="1"/>
      <c r="SV166" s="1"/>
      <c r="SW166" s="1"/>
      <c r="SX166" s="1"/>
      <c r="SY166" s="1"/>
      <c r="SZ166" s="1"/>
      <c r="TA166" s="1"/>
      <c r="TB166" s="1"/>
      <c r="TC166" s="1"/>
      <c r="TD166" s="1"/>
      <c r="TE166" s="1"/>
      <c r="TF166" s="1"/>
      <c r="TG166" s="1"/>
      <c r="TH166" s="1"/>
      <c r="TI166" s="1"/>
      <c r="TJ166" s="1"/>
      <c r="TK166" s="1"/>
      <c r="TL166" s="1"/>
      <c r="TM166" s="1"/>
      <c r="TN166" s="1"/>
      <c r="TO166" s="1"/>
      <c r="TP166" s="1"/>
      <c r="TQ166" s="1"/>
      <c r="TR166" s="1"/>
      <c r="TS166" s="1"/>
      <c r="TT166" s="1"/>
      <c r="TU166" s="1"/>
      <c r="TV166" s="1"/>
      <c r="TW166" s="1"/>
      <c r="TX166" s="1"/>
      <c r="TY166" s="1"/>
      <c r="TZ166" s="1"/>
      <c r="UA166" s="1"/>
      <c r="UB166" s="1"/>
      <c r="UC166" s="1"/>
      <c r="UD166" s="1"/>
      <c r="UE166" s="1"/>
      <c r="UF166" s="1"/>
      <c r="UG166" s="1"/>
      <c r="UH166" s="1"/>
      <c r="UI166" s="1"/>
      <c r="UJ166" s="1"/>
      <c r="UK166" s="1"/>
      <c r="UL166" s="1"/>
      <c r="UM166" s="1"/>
      <c r="UN166" s="1"/>
      <c r="UO166" s="1"/>
      <c r="UP166" s="1"/>
      <c r="UQ166" s="1"/>
      <c r="UR166" s="1"/>
      <c r="US166" s="1"/>
      <c r="UT166" s="1"/>
      <c r="UU166" s="1"/>
      <c r="UV166" s="1"/>
      <c r="UW166" s="1"/>
      <c r="UX166" s="1"/>
      <c r="UY166" s="1"/>
      <c r="UZ166" s="1"/>
      <c r="VA166" s="1"/>
      <c r="VB166" s="1"/>
      <c r="VC166" s="1"/>
      <c r="VD166" s="1"/>
      <c r="VE166" s="1"/>
      <c r="VF166" s="1"/>
      <c r="VG166" s="1"/>
      <c r="VH166" s="1"/>
      <c r="VI166" s="1"/>
      <c r="VJ166" s="1"/>
      <c r="VK166" s="1"/>
      <c r="VL166" s="1"/>
      <c r="VM166" s="1"/>
      <c r="VN166" s="1"/>
      <c r="VO166" s="1"/>
      <c r="VP166" s="1"/>
      <c r="VQ166" s="1"/>
      <c r="VR166" s="1"/>
      <c r="VS166" s="1"/>
      <c r="VT166" s="1"/>
      <c r="VU166" s="1"/>
      <c r="VV166" s="1"/>
      <c r="VW166" s="1"/>
      <c r="VX166" s="1"/>
      <c r="VY166" s="1"/>
      <c r="VZ166" s="1"/>
      <c r="WA166" s="1"/>
      <c r="WB166" s="1"/>
      <c r="WC166" s="1"/>
      <c r="WD166" s="1"/>
      <c r="WE166" s="1"/>
      <c r="WF166" s="1"/>
      <c r="WG166" s="1"/>
      <c r="WH166" s="1"/>
      <c r="WI166" s="1"/>
      <c r="WJ166" s="1"/>
      <c r="WK166" s="1"/>
      <c r="WL166" s="1"/>
      <c r="WM166" s="1"/>
      <c r="WN166" s="1"/>
      <c r="WO166" s="1"/>
      <c r="WP166" s="1"/>
      <c r="WQ166" s="1"/>
      <c r="WR166" s="1"/>
      <c r="WS166" s="1"/>
      <c r="WT166" s="1"/>
      <c r="WU166" s="1"/>
      <c r="WV166" s="1"/>
      <c r="WW166" s="1"/>
      <c r="WX166" s="1"/>
      <c r="WY166" s="1"/>
      <c r="WZ166" s="1"/>
      <c r="XA166" s="1"/>
      <c r="XB166" s="1"/>
      <c r="XC166" s="1"/>
      <c r="XD166" s="1"/>
      <c r="XE166" s="1"/>
      <c r="XF166" s="1"/>
      <c r="XG166" s="1"/>
      <c r="XH166" s="1"/>
      <c r="XI166" s="1"/>
      <c r="XJ166" s="1"/>
      <c r="XK166" s="1"/>
      <c r="XL166" s="1"/>
      <c r="XM166" s="1"/>
      <c r="XN166" s="1"/>
      <c r="XO166" s="1"/>
      <c r="XP166" s="1"/>
      <c r="XQ166" s="1"/>
      <c r="XR166" s="1"/>
      <c r="XS166" s="1"/>
      <c r="XT166" s="1"/>
      <c r="XU166" s="1"/>
      <c r="XV166" s="1"/>
      <c r="XW166" s="1"/>
      <c r="XX166" s="1"/>
      <c r="XY166" s="1"/>
      <c r="XZ166" s="1"/>
      <c r="YA166" s="1"/>
      <c r="YB166" s="1"/>
      <c r="YC166" s="1"/>
      <c r="YD166" s="1"/>
      <c r="YE166" s="1"/>
      <c r="YF166" s="1"/>
      <c r="YG166" s="1"/>
      <c r="YH166" s="1"/>
      <c r="YI166" s="1"/>
      <c r="YJ166" s="1"/>
      <c r="YK166" s="1"/>
      <c r="YL166" s="1"/>
      <c r="YM166" s="1"/>
      <c r="YN166" s="1"/>
      <c r="YO166" s="1"/>
      <c r="YP166" s="1"/>
      <c r="YQ166" s="1"/>
      <c r="YR166" s="1"/>
      <c r="YS166" s="1"/>
      <c r="YT166" s="1"/>
      <c r="YU166" s="1"/>
      <c r="YV166" s="1"/>
      <c r="YW166" s="1"/>
      <c r="YX166" s="1"/>
      <c r="YY166" s="1"/>
      <c r="YZ166" s="1"/>
      <c r="ZA166" s="1"/>
      <c r="ZB166" s="1"/>
      <c r="ZC166" s="1"/>
      <c r="ZD166" s="1"/>
      <c r="ZE166" s="1"/>
      <c r="ZF166" s="1"/>
      <c r="ZG166" s="1"/>
      <c r="ZH166" s="1"/>
      <c r="ZI166" s="1"/>
      <c r="ZJ166" s="1"/>
      <c r="ZK166" s="1"/>
      <c r="ZL166" s="1"/>
      <c r="ZM166" s="1"/>
      <c r="ZN166" s="1"/>
      <c r="ZO166" s="1"/>
      <c r="ZP166" s="1"/>
      <c r="ZQ166" s="1"/>
      <c r="ZR166" s="1"/>
      <c r="ZS166" s="1"/>
      <c r="ZT166" s="1"/>
      <c r="ZU166" s="1"/>
      <c r="ZV166" s="1"/>
      <c r="ZW166" s="1"/>
      <c r="ZX166" s="1"/>
      <c r="ZY166" s="1"/>
      <c r="ZZ166" s="1"/>
      <c r="AAA166" s="1"/>
      <c r="AAB166" s="1"/>
      <c r="AAC166" s="1"/>
      <c r="AAD166" s="1"/>
      <c r="AAE166" s="1"/>
      <c r="AAF166" s="1"/>
      <c r="AAG166" s="1"/>
      <c r="AAH166" s="1"/>
      <c r="AAI166" s="1"/>
      <c r="AAJ166" s="1"/>
      <c r="AAK166" s="1"/>
      <c r="AAL166" s="1"/>
      <c r="AAM166" s="1"/>
      <c r="AAN166" s="1"/>
      <c r="AAO166" s="1"/>
      <c r="AAP166" s="1"/>
      <c r="AAQ166" s="1"/>
      <c r="AAR166" s="1"/>
      <c r="AAS166" s="1"/>
      <c r="AAT166" s="1"/>
      <c r="AAU166" s="1"/>
      <c r="AAV166" s="1"/>
      <c r="AAW166" s="1"/>
      <c r="AAX166" s="1"/>
      <c r="AAY166" s="1"/>
      <c r="AAZ166" s="1"/>
      <c r="ABA166" s="1"/>
      <c r="ABB166" s="1"/>
      <c r="ABC166" s="1"/>
      <c r="ABD166" s="1"/>
      <c r="ABE166" s="1"/>
      <c r="ABF166" s="1"/>
      <c r="ABG166" s="1"/>
      <c r="ABH166" s="1"/>
      <c r="ABI166" s="1"/>
      <c r="ABJ166" s="1"/>
      <c r="ABK166" s="1"/>
      <c r="ABL166" s="1"/>
      <c r="ABM166" s="1"/>
      <c r="ABN166" s="1"/>
      <c r="ABO166" s="1"/>
      <c r="ABP166" s="1"/>
      <c r="ABQ166" s="1"/>
      <c r="ABR166" s="1"/>
      <c r="ABS166" s="1"/>
      <c r="ABT166" s="1"/>
      <c r="ABU166" s="1"/>
      <c r="ABV166" s="1"/>
      <c r="ABW166" s="1"/>
      <c r="ABX166" s="1"/>
      <c r="ABY166" s="1"/>
      <c r="ABZ166" s="1"/>
      <c r="ACA166" s="1"/>
      <c r="ACB166" s="1"/>
      <c r="ACC166" s="1"/>
      <c r="ACD166" s="1"/>
      <c r="ACE166" s="1"/>
      <c r="ACF166" s="1"/>
      <c r="ACG166" s="1"/>
      <c r="ACH166" s="1"/>
      <c r="ACI166" s="1"/>
      <c r="ACJ166" s="1"/>
      <c r="ACK166" s="1"/>
      <c r="ACL166" s="1"/>
      <c r="ACM166" s="1"/>
      <c r="ACN166" s="1"/>
      <c r="ACO166" s="1"/>
      <c r="ACP166" s="1"/>
      <c r="ACQ166" s="1"/>
      <c r="ACR166" s="1"/>
      <c r="ACS166" s="1"/>
      <c r="ACT166" s="1"/>
      <c r="ACU166" s="1"/>
      <c r="ACV166" s="1"/>
      <c r="ACW166" s="1"/>
      <c r="ACX166" s="1"/>
      <c r="ACY166" s="1"/>
      <c r="ACZ166" s="1"/>
      <c r="ADA166" s="1"/>
      <c r="ADB166" s="1"/>
      <c r="ADC166" s="1"/>
      <c r="ADD166" s="1"/>
      <c r="ADE166" s="1"/>
      <c r="ADF166" s="1"/>
      <c r="ADG166" s="1"/>
      <c r="ADH166" s="1"/>
      <c r="ADI166" s="1"/>
      <c r="ADJ166" s="1"/>
      <c r="ADK166" s="1"/>
      <c r="ADL166" s="1"/>
      <c r="ADM166" s="1"/>
      <c r="ADN166" s="1"/>
      <c r="ADO166" s="1"/>
      <c r="ADP166" s="1"/>
      <c r="ADQ166" s="1"/>
      <c r="ADR166" s="1"/>
      <c r="ADS166" s="1"/>
      <c r="ADT166" s="1"/>
      <c r="ADU166" s="1"/>
      <c r="ADV166" s="1"/>
      <c r="ADW166" s="1"/>
      <c r="ADX166" s="1"/>
      <c r="ADY166" s="1"/>
      <c r="ADZ166" s="1"/>
      <c r="AEA166" s="1"/>
      <c r="AEB166" s="1"/>
      <c r="AEC166" s="1"/>
      <c r="AED166" s="1"/>
      <c r="AEE166" s="1"/>
      <c r="AEF166" s="1"/>
      <c r="AEG166" s="1"/>
      <c r="AEH166" s="1"/>
      <c r="AEI166" s="1"/>
      <c r="AEJ166" s="1"/>
      <c r="AEK166" s="1"/>
      <c r="AEL166" s="1"/>
      <c r="AEM166" s="1"/>
      <c r="AEN166" s="1"/>
      <c r="AEO166" s="1"/>
      <c r="AEP166" s="1"/>
      <c r="AEQ166" s="1"/>
      <c r="AER166" s="1"/>
      <c r="AES166" s="1"/>
      <c r="AET166" s="1"/>
      <c r="AEU166" s="1"/>
      <c r="AEV166" s="1"/>
      <c r="AEW166" s="1"/>
      <c r="AEX166" s="1"/>
      <c r="AEY166" s="1"/>
      <c r="AEZ166" s="1"/>
      <c r="AFA166" s="1"/>
      <c r="AFB166" s="1"/>
      <c r="AFC166" s="1"/>
      <c r="AFD166" s="1"/>
      <c r="AFE166" s="1"/>
      <c r="AFF166" s="1"/>
      <c r="AFG166" s="1"/>
      <c r="AFH166" s="1"/>
      <c r="AFI166" s="1"/>
      <c r="AFJ166" s="1"/>
      <c r="AFK166" s="1"/>
      <c r="AFL166" s="1"/>
      <c r="AFM166" s="1"/>
      <c r="AFN166" s="1"/>
      <c r="AFO166" s="1"/>
      <c r="AFP166" s="1"/>
      <c r="AFQ166" s="1"/>
      <c r="AFR166" s="1"/>
      <c r="AFS166" s="1"/>
      <c r="AFT166" s="1"/>
      <c r="AFU166" s="1"/>
      <c r="AFV166" s="1"/>
      <c r="AFW166" s="1"/>
      <c r="AFX166" s="1"/>
      <c r="AFY166" s="1"/>
      <c r="AFZ166" s="1"/>
      <c r="AGA166" s="1"/>
      <c r="AGB166" s="1"/>
      <c r="AGC166" s="1"/>
      <c r="AGD166" s="1"/>
      <c r="AGE166" s="1"/>
      <c r="AGF166" s="1"/>
      <c r="AGG166" s="1"/>
      <c r="AGH166" s="1"/>
      <c r="AGI166" s="1"/>
      <c r="AGJ166" s="1"/>
      <c r="AGK166" s="1"/>
      <c r="AGL166" s="1"/>
      <c r="AGM166" s="1"/>
      <c r="AGN166" s="1"/>
      <c r="AGO166" s="1"/>
      <c r="AGP166" s="1"/>
      <c r="AGQ166" s="1"/>
      <c r="AGR166" s="1"/>
      <c r="AGS166" s="1"/>
      <c r="AGT166" s="1"/>
      <c r="AGU166" s="1"/>
      <c r="AGV166" s="1"/>
      <c r="AGW166" s="1"/>
      <c r="AGX166" s="1"/>
      <c r="AGY166" s="1"/>
      <c r="AGZ166" s="1"/>
      <c r="AHA166" s="1"/>
      <c r="AHB166" s="1"/>
      <c r="AHC166" s="1"/>
      <c r="AHD166" s="1"/>
      <c r="AHE166" s="1"/>
      <c r="AHF166" s="1"/>
      <c r="AHG166" s="1"/>
      <c r="AHH166" s="1"/>
      <c r="AHI166" s="1"/>
      <c r="AHJ166" s="1"/>
      <c r="AHK166" s="1"/>
      <c r="AHL166" s="1"/>
      <c r="AHM166" s="1"/>
      <c r="AHN166" s="1"/>
      <c r="AHO166" s="1"/>
      <c r="AHP166" s="1"/>
      <c r="AHQ166" s="1"/>
      <c r="AHR166" s="1"/>
      <c r="AHS166" s="1"/>
      <c r="AHT166" s="1"/>
      <c r="AHU166" s="1"/>
      <c r="AHV166" s="1"/>
      <c r="AHW166" s="1"/>
      <c r="AHX166" s="1"/>
      <c r="AHY166" s="1"/>
      <c r="AHZ166" s="1"/>
      <c r="AIA166" s="1"/>
      <c r="AIB166" s="1"/>
      <c r="AIC166" s="1"/>
      <c r="AID166" s="1"/>
      <c r="AIE166" s="1"/>
      <c r="AIF166" s="1"/>
      <c r="AIG166" s="1"/>
      <c r="AIH166" s="1"/>
      <c r="AII166" s="1"/>
      <c r="AIJ166" s="1"/>
      <c r="AIK166" s="1"/>
      <c r="AIL166" s="1"/>
      <c r="AIM166" s="1"/>
      <c r="AIN166" s="1"/>
      <c r="AIO166" s="1"/>
      <c r="AIP166" s="1"/>
      <c r="AIQ166" s="1"/>
      <c r="AIR166" s="1"/>
      <c r="AIS166" s="1"/>
      <c r="AIT166" s="1"/>
      <c r="AIU166" s="1"/>
      <c r="AIV166" s="1"/>
      <c r="AIW166" s="1"/>
      <c r="AIX166" s="1"/>
      <c r="AIY166" s="1"/>
      <c r="AIZ166" s="1"/>
      <c r="AJA166" s="1"/>
      <c r="AJB166" s="1"/>
      <c r="AJC166" s="1"/>
      <c r="AJD166" s="1"/>
      <c r="AJE166" s="1"/>
      <c r="AJF166" s="1"/>
      <c r="AJG166" s="1"/>
      <c r="AJH166" s="1"/>
      <c r="AJI166" s="1"/>
      <c r="AJJ166" s="1"/>
      <c r="AJK166" s="1"/>
      <c r="AJL166" s="1"/>
      <c r="AJM166" s="1"/>
      <c r="AJN166" s="1"/>
      <c r="AJO166" s="1"/>
      <c r="AJP166" s="1"/>
      <c r="AJQ166" s="1"/>
      <c r="AJR166" s="1"/>
      <c r="AJS166" s="1"/>
      <c r="AJT166" s="1"/>
      <c r="AJU166" s="1"/>
      <c r="AJV166" s="1"/>
      <c r="AJW166" s="1"/>
      <c r="AJX166" s="1"/>
      <c r="AJY166" s="1"/>
      <c r="AJZ166" s="1"/>
      <c r="AKA166" s="1"/>
      <c r="AKB166" s="1"/>
      <c r="AKC166" s="1"/>
      <c r="AKD166" s="1"/>
      <c r="AKE166" s="1"/>
      <c r="AKF166" s="1"/>
      <c r="AKG166" s="1"/>
      <c r="AKH166" s="1"/>
      <c r="AKI166" s="1"/>
      <c r="AKJ166" s="1"/>
      <c r="AKK166" s="1"/>
      <c r="AKL166" s="1"/>
      <c r="AKM166" s="1"/>
      <c r="AKN166" s="1"/>
      <c r="AKO166" s="1"/>
      <c r="AKP166" s="1"/>
      <c r="AKQ166" s="1"/>
      <c r="AKR166" s="1"/>
      <c r="AKS166" s="1"/>
      <c r="AKT166" s="1"/>
      <c r="AKU166" s="1"/>
      <c r="AKV166" s="1"/>
      <c r="AKW166" s="1"/>
      <c r="AKX166" s="1"/>
      <c r="AKY166" s="1"/>
      <c r="AKZ166" s="1"/>
      <c r="ALA166" s="1"/>
      <c r="ALB166" s="1"/>
      <c r="ALC166" s="1"/>
      <c r="ALD166" s="1"/>
      <c r="ALE166" s="1"/>
      <c r="ALF166" s="1"/>
      <c r="ALG166" s="1"/>
      <c r="ALH166" s="1"/>
      <c r="ALI166" s="1"/>
      <c r="ALJ166" s="1"/>
      <c r="ALK166" s="1"/>
      <c r="ALL166" s="1"/>
      <c r="ALM166" s="1"/>
      <c r="ALN166" s="1"/>
      <c r="ALO166" s="1"/>
      <c r="ALP166" s="1"/>
      <c r="ALQ166" s="1"/>
      <c r="ALR166" s="1"/>
      <c r="ALS166" s="1"/>
      <c r="ALT166" s="1"/>
      <c r="ALU166" s="1"/>
      <c r="ALV166" s="1"/>
      <c r="ALW166" s="1"/>
      <c r="ALX166" s="1"/>
      <c r="ALY166" s="1"/>
      <c r="ALZ166" s="1"/>
      <c r="AMA166" s="1"/>
      <c r="AMB166" s="1"/>
      <c r="AMC166" s="1"/>
      <c r="AMD166" s="1"/>
      <c r="AME166" s="1"/>
      <c r="AMF166" s="1"/>
      <c r="AMG166" s="1"/>
      <c r="AMH166" s="1"/>
      <c r="AMI166" s="1"/>
      <c r="AMJ166" s="1"/>
    </row>
    <row r="167" customFormat="false" ht="2.25" hidden="false" customHeight="true" outlineLevel="0" collapsed="false">
      <c r="A167" s="38"/>
      <c r="AO167" s="40"/>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c r="IY167" s="1"/>
      <c r="IZ167" s="1"/>
      <c r="JA167" s="1"/>
      <c r="JB167" s="1"/>
      <c r="JC167" s="1"/>
      <c r="JD167" s="1"/>
      <c r="JE167" s="1"/>
      <c r="JF167" s="1"/>
      <c r="JG167" s="1"/>
      <c r="JH167" s="1"/>
      <c r="JI167" s="1"/>
      <c r="JJ167" s="1"/>
      <c r="JK167" s="1"/>
      <c r="JL167" s="1"/>
      <c r="JM167" s="1"/>
      <c r="JN167" s="1"/>
      <c r="JO167" s="1"/>
      <c r="JP167" s="1"/>
      <c r="JQ167" s="1"/>
      <c r="JR167" s="1"/>
      <c r="JS167" s="1"/>
      <c r="JT167" s="1"/>
      <c r="JU167" s="1"/>
      <c r="JV167" s="1"/>
      <c r="JW167" s="1"/>
      <c r="JX167" s="1"/>
      <c r="JY167" s="1"/>
      <c r="JZ167" s="1"/>
      <c r="KA167" s="1"/>
      <c r="KB167" s="1"/>
      <c r="KC167" s="1"/>
      <c r="KD167" s="1"/>
      <c r="KE167" s="1"/>
      <c r="KF167" s="1"/>
      <c r="KG167" s="1"/>
      <c r="KH167" s="1"/>
      <c r="KI167" s="1"/>
      <c r="KJ167" s="1"/>
      <c r="KK167" s="1"/>
      <c r="KL167" s="1"/>
      <c r="KM167" s="1"/>
      <c r="KN167" s="1"/>
      <c r="KO167" s="1"/>
      <c r="KP167" s="1"/>
      <c r="KQ167" s="1"/>
      <c r="KR167" s="1"/>
      <c r="KS167" s="1"/>
      <c r="KT167" s="1"/>
      <c r="KU167" s="1"/>
      <c r="KV167" s="1"/>
      <c r="KW167" s="1"/>
      <c r="KX167" s="1"/>
      <c r="KY167" s="1"/>
      <c r="KZ167" s="1"/>
      <c r="LA167" s="1"/>
      <c r="LB167" s="1"/>
      <c r="LC167" s="1"/>
      <c r="LD167" s="1"/>
      <c r="LE167" s="1"/>
      <c r="LF167" s="1"/>
      <c r="LG167" s="1"/>
      <c r="LH167" s="1"/>
      <c r="LI167" s="1"/>
      <c r="LJ167" s="1"/>
      <c r="LK167" s="1"/>
      <c r="LL167" s="1"/>
      <c r="LM167" s="1"/>
      <c r="LN167" s="1"/>
      <c r="LO167" s="1"/>
      <c r="LP167" s="1"/>
      <c r="LQ167" s="1"/>
      <c r="LR167" s="1"/>
      <c r="LS167" s="1"/>
      <c r="LT167" s="1"/>
      <c r="LU167" s="1"/>
      <c r="LV167" s="1"/>
      <c r="LW167" s="1"/>
      <c r="LX167" s="1"/>
      <c r="LY167" s="1"/>
      <c r="LZ167" s="1"/>
      <c r="MA167" s="1"/>
      <c r="MB167" s="1"/>
      <c r="MC167" s="1"/>
      <c r="MD167" s="1"/>
      <c r="ME167" s="1"/>
      <c r="MF167" s="1"/>
      <c r="MG167" s="1"/>
      <c r="MH167" s="1"/>
      <c r="MI167" s="1"/>
      <c r="MJ167" s="1"/>
      <c r="MK167" s="1"/>
      <c r="ML167" s="1"/>
      <c r="MM167" s="1"/>
      <c r="MN167" s="1"/>
      <c r="MO167" s="1"/>
      <c r="MP167" s="1"/>
      <c r="MQ167" s="1"/>
      <c r="MR167" s="1"/>
      <c r="MS167" s="1"/>
      <c r="MT167" s="1"/>
      <c r="MU167" s="1"/>
      <c r="MV167" s="1"/>
      <c r="MW167" s="1"/>
      <c r="MX167" s="1"/>
      <c r="MY167" s="1"/>
      <c r="MZ167" s="1"/>
      <c r="NA167" s="1"/>
      <c r="NB167" s="1"/>
      <c r="NC167" s="1"/>
      <c r="ND167" s="1"/>
      <c r="NE167" s="1"/>
      <c r="NF167" s="1"/>
      <c r="NG167" s="1"/>
      <c r="NH167" s="1"/>
      <c r="NI167" s="1"/>
      <c r="NJ167" s="1"/>
      <c r="NK167" s="1"/>
      <c r="NL167" s="1"/>
      <c r="NM167" s="1"/>
      <c r="NN167" s="1"/>
      <c r="NO167" s="1"/>
      <c r="NP167" s="1"/>
      <c r="NQ167" s="1"/>
      <c r="NR167" s="1"/>
      <c r="NS167" s="1"/>
      <c r="NT167" s="1"/>
      <c r="NU167" s="1"/>
      <c r="NV167" s="1"/>
      <c r="NW167" s="1"/>
      <c r="NX167" s="1"/>
      <c r="NY167" s="1"/>
      <c r="NZ167" s="1"/>
      <c r="OA167" s="1"/>
      <c r="OB167" s="1"/>
      <c r="OC167" s="1"/>
      <c r="OD167" s="1"/>
      <c r="OE167" s="1"/>
      <c r="OF167" s="1"/>
      <c r="OG167" s="1"/>
      <c r="OH167" s="1"/>
      <c r="OI167" s="1"/>
      <c r="OJ167" s="1"/>
      <c r="OK167" s="1"/>
      <c r="OL167" s="1"/>
      <c r="OM167" s="1"/>
      <c r="ON167" s="1"/>
      <c r="OO167" s="1"/>
      <c r="OP167" s="1"/>
      <c r="OQ167" s="1"/>
      <c r="OR167" s="1"/>
      <c r="OS167" s="1"/>
      <c r="OT167" s="1"/>
      <c r="OU167" s="1"/>
      <c r="OV167" s="1"/>
      <c r="OW167" s="1"/>
      <c r="OX167" s="1"/>
      <c r="OY167" s="1"/>
      <c r="OZ167" s="1"/>
      <c r="PA167" s="1"/>
      <c r="PB167" s="1"/>
      <c r="PC167" s="1"/>
      <c r="PD167" s="1"/>
      <c r="PE167" s="1"/>
      <c r="PF167" s="1"/>
      <c r="PG167" s="1"/>
      <c r="PH167" s="1"/>
      <c r="PI167" s="1"/>
      <c r="PJ167" s="1"/>
      <c r="PK167" s="1"/>
      <c r="PL167" s="1"/>
      <c r="PM167" s="1"/>
      <c r="PN167" s="1"/>
      <c r="PO167" s="1"/>
      <c r="PP167" s="1"/>
      <c r="PQ167" s="1"/>
      <c r="PR167" s="1"/>
      <c r="PS167" s="1"/>
      <c r="PT167" s="1"/>
      <c r="PU167" s="1"/>
      <c r="PV167" s="1"/>
      <c r="PW167" s="1"/>
      <c r="PX167" s="1"/>
      <c r="PY167" s="1"/>
      <c r="PZ167" s="1"/>
      <c r="QA167" s="1"/>
      <c r="QB167" s="1"/>
      <c r="QC167" s="1"/>
      <c r="QD167" s="1"/>
      <c r="QE167" s="1"/>
      <c r="QF167" s="1"/>
      <c r="QG167" s="1"/>
      <c r="QH167" s="1"/>
      <c r="QI167" s="1"/>
      <c r="QJ167" s="1"/>
      <c r="QK167" s="1"/>
      <c r="QL167" s="1"/>
      <c r="QM167" s="1"/>
      <c r="QN167" s="1"/>
      <c r="QO167" s="1"/>
      <c r="QP167" s="1"/>
      <c r="QQ167" s="1"/>
      <c r="QR167" s="1"/>
      <c r="QS167" s="1"/>
      <c r="QT167" s="1"/>
      <c r="QU167" s="1"/>
      <c r="QV167" s="1"/>
      <c r="QW167" s="1"/>
      <c r="QX167" s="1"/>
      <c r="QY167" s="1"/>
      <c r="QZ167" s="1"/>
      <c r="RA167" s="1"/>
      <c r="RB167" s="1"/>
      <c r="RC167" s="1"/>
      <c r="RD167" s="1"/>
      <c r="RE167" s="1"/>
      <c r="RF167" s="1"/>
      <c r="RG167" s="1"/>
      <c r="RH167" s="1"/>
      <c r="RI167" s="1"/>
      <c r="RJ167" s="1"/>
      <c r="RK167" s="1"/>
      <c r="RL167" s="1"/>
      <c r="RM167" s="1"/>
      <c r="RN167" s="1"/>
      <c r="RO167" s="1"/>
      <c r="RP167" s="1"/>
      <c r="RQ167" s="1"/>
      <c r="RR167" s="1"/>
      <c r="RS167" s="1"/>
      <c r="RT167" s="1"/>
      <c r="RU167" s="1"/>
      <c r="RV167" s="1"/>
      <c r="RW167" s="1"/>
      <c r="RX167" s="1"/>
      <c r="RY167" s="1"/>
      <c r="RZ167" s="1"/>
      <c r="SA167" s="1"/>
      <c r="SB167" s="1"/>
      <c r="SC167" s="1"/>
      <c r="SD167" s="1"/>
      <c r="SE167" s="1"/>
      <c r="SF167" s="1"/>
      <c r="SG167" s="1"/>
      <c r="SH167" s="1"/>
      <c r="SI167" s="1"/>
      <c r="SJ167" s="1"/>
      <c r="SK167" s="1"/>
      <c r="SL167" s="1"/>
      <c r="SM167" s="1"/>
      <c r="SN167" s="1"/>
      <c r="SO167" s="1"/>
      <c r="SP167" s="1"/>
      <c r="SQ167" s="1"/>
      <c r="SR167" s="1"/>
      <c r="SS167" s="1"/>
      <c r="ST167" s="1"/>
      <c r="SU167" s="1"/>
      <c r="SV167" s="1"/>
      <c r="SW167" s="1"/>
      <c r="SX167" s="1"/>
      <c r="SY167" s="1"/>
      <c r="SZ167" s="1"/>
      <c r="TA167" s="1"/>
      <c r="TB167" s="1"/>
      <c r="TC167" s="1"/>
      <c r="TD167" s="1"/>
      <c r="TE167" s="1"/>
      <c r="TF167" s="1"/>
      <c r="TG167" s="1"/>
      <c r="TH167" s="1"/>
      <c r="TI167" s="1"/>
      <c r="TJ167" s="1"/>
      <c r="TK167" s="1"/>
      <c r="TL167" s="1"/>
      <c r="TM167" s="1"/>
      <c r="TN167" s="1"/>
      <c r="TO167" s="1"/>
      <c r="TP167" s="1"/>
      <c r="TQ167" s="1"/>
      <c r="TR167" s="1"/>
      <c r="TS167" s="1"/>
      <c r="TT167" s="1"/>
      <c r="TU167" s="1"/>
      <c r="TV167" s="1"/>
      <c r="TW167" s="1"/>
      <c r="TX167" s="1"/>
      <c r="TY167" s="1"/>
      <c r="TZ167" s="1"/>
      <c r="UA167" s="1"/>
      <c r="UB167" s="1"/>
      <c r="UC167" s="1"/>
      <c r="UD167" s="1"/>
      <c r="UE167" s="1"/>
      <c r="UF167" s="1"/>
      <c r="UG167" s="1"/>
      <c r="UH167" s="1"/>
      <c r="UI167" s="1"/>
      <c r="UJ167" s="1"/>
      <c r="UK167" s="1"/>
      <c r="UL167" s="1"/>
      <c r="UM167" s="1"/>
      <c r="UN167" s="1"/>
      <c r="UO167" s="1"/>
      <c r="UP167" s="1"/>
      <c r="UQ167" s="1"/>
      <c r="UR167" s="1"/>
      <c r="US167" s="1"/>
      <c r="UT167" s="1"/>
      <c r="UU167" s="1"/>
      <c r="UV167" s="1"/>
      <c r="UW167" s="1"/>
      <c r="UX167" s="1"/>
      <c r="UY167" s="1"/>
      <c r="UZ167" s="1"/>
      <c r="VA167" s="1"/>
      <c r="VB167" s="1"/>
      <c r="VC167" s="1"/>
      <c r="VD167" s="1"/>
      <c r="VE167" s="1"/>
      <c r="VF167" s="1"/>
      <c r="VG167" s="1"/>
      <c r="VH167" s="1"/>
      <c r="VI167" s="1"/>
      <c r="VJ167" s="1"/>
      <c r="VK167" s="1"/>
      <c r="VL167" s="1"/>
      <c r="VM167" s="1"/>
      <c r="VN167" s="1"/>
      <c r="VO167" s="1"/>
      <c r="VP167" s="1"/>
      <c r="VQ167" s="1"/>
      <c r="VR167" s="1"/>
      <c r="VS167" s="1"/>
      <c r="VT167" s="1"/>
      <c r="VU167" s="1"/>
      <c r="VV167" s="1"/>
      <c r="VW167" s="1"/>
      <c r="VX167" s="1"/>
      <c r="VY167" s="1"/>
      <c r="VZ167" s="1"/>
      <c r="WA167" s="1"/>
      <c r="WB167" s="1"/>
      <c r="WC167" s="1"/>
      <c r="WD167" s="1"/>
      <c r="WE167" s="1"/>
      <c r="WF167" s="1"/>
      <c r="WG167" s="1"/>
      <c r="WH167" s="1"/>
      <c r="WI167" s="1"/>
      <c r="WJ167" s="1"/>
      <c r="WK167" s="1"/>
      <c r="WL167" s="1"/>
      <c r="WM167" s="1"/>
      <c r="WN167" s="1"/>
      <c r="WO167" s="1"/>
      <c r="WP167" s="1"/>
      <c r="WQ167" s="1"/>
      <c r="WR167" s="1"/>
      <c r="WS167" s="1"/>
      <c r="WT167" s="1"/>
      <c r="WU167" s="1"/>
      <c r="WV167" s="1"/>
      <c r="WW167" s="1"/>
      <c r="WX167" s="1"/>
      <c r="WY167" s="1"/>
      <c r="WZ167" s="1"/>
      <c r="XA167" s="1"/>
      <c r="XB167" s="1"/>
      <c r="XC167" s="1"/>
      <c r="XD167" s="1"/>
      <c r="XE167" s="1"/>
      <c r="XF167" s="1"/>
      <c r="XG167" s="1"/>
      <c r="XH167" s="1"/>
      <c r="XI167" s="1"/>
      <c r="XJ167" s="1"/>
      <c r="XK167" s="1"/>
      <c r="XL167" s="1"/>
      <c r="XM167" s="1"/>
      <c r="XN167" s="1"/>
      <c r="XO167" s="1"/>
      <c r="XP167" s="1"/>
      <c r="XQ167" s="1"/>
      <c r="XR167" s="1"/>
      <c r="XS167" s="1"/>
      <c r="XT167" s="1"/>
      <c r="XU167" s="1"/>
      <c r="XV167" s="1"/>
      <c r="XW167" s="1"/>
      <c r="XX167" s="1"/>
      <c r="XY167" s="1"/>
      <c r="XZ167" s="1"/>
      <c r="YA167" s="1"/>
      <c r="YB167" s="1"/>
      <c r="YC167" s="1"/>
      <c r="YD167" s="1"/>
      <c r="YE167" s="1"/>
      <c r="YF167" s="1"/>
      <c r="YG167" s="1"/>
      <c r="YH167" s="1"/>
      <c r="YI167" s="1"/>
      <c r="YJ167" s="1"/>
      <c r="YK167" s="1"/>
      <c r="YL167" s="1"/>
      <c r="YM167" s="1"/>
      <c r="YN167" s="1"/>
      <c r="YO167" s="1"/>
      <c r="YP167" s="1"/>
      <c r="YQ167" s="1"/>
      <c r="YR167" s="1"/>
      <c r="YS167" s="1"/>
      <c r="YT167" s="1"/>
      <c r="YU167" s="1"/>
      <c r="YV167" s="1"/>
      <c r="YW167" s="1"/>
      <c r="YX167" s="1"/>
      <c r="YY167" s="1"/>
      <c r="YZ167" s="1"/>
      <c r="ZA167" s="1"/>
      <c r="ZB167" s="1"/>
      <c r="ZC167" s="1"/>
      <c r="ZD167" s="1"/>
      <c r="ZE167" s="1"/>
      <c r="ZF167" s="1"/>
      <c r="ZG167" s="1"/>
      <c r="ZH167" s="1"/>
      <c r="ZI167" s="1"/>
      <c r="ZJ167" s="1"/>
      <c r="ZK167" s="1"/>
      <c r="ZL167" s="1"/>
      <c r="ZM167" s="1"/>
      <c r="ZN167" s="1"/>
      <c r="ZO167" s="1"/>
      <c r="ZP167" s="1"/>
      <c r="ZQ167" s="1"/>
      <c r="ZR167" s="1"/>
      <c r="ZS167" s="1"/>
      <c r="ZT167" s="1"/>
      <c r="ZU167" s="1"/>
      <c r="ZV167" s="1"/>
      <c r="ZW167" s="1"/>
      <c r="ZX167" s="1"/>
      <c r="ZY167" s="1"/>
      <c r="ZZ167" s="1"/>
      <c r="AAA167" s="1"/>
      <c r="AAB167" s="1"/>
      <c r="AAC167" s="1"/>
      <c r="AAD167" s="1"/>
      <c r="AAE167" s="1"/>
      <c r="AAF167" s="1"/>
      <c r="AAG167" s="1"/>
      <c r="AAH167" s="1"/>
      <c r="AAI167" s="1"/>
      <c r="AAJ167" s="1"/>
      <c r="AAK167" s="1"/>
      <c r="AAL167" s="1"/>
      <c r="AAM167" s="1"/>
      <c r="AAN167" s="1"/>
      <c r="AAO167" s="1"/>
      <c r="AAP167" s="1"/>
      <c r="AAQ167" s="1"/>
      <c r="AAR167" s="1"/>
      <c r="AAS167" s="1"/>
      <c r="AAT167" s="1"/>
      <c r="AAU167" s="1"/>
      <c r="AAV167" s="1"/>
      <c r="AAW167" s="1"/>
      <c r="AAX167" s="1"/>
      <c r="AAY167" s="1"/>
      <c r="AAZ167" s="1"/>
      <c r="ABA167" s="1"/>
      <c r="ABB167" s="1"/>
      <c r="ABC167" s="1"/>
      <c r="ABD167" s="1"/>
      <c r="ABE167" s="1"/>
      <c r="ABF167" s="1"/>
      <c r="ABG167" s="1"/>
      <c r="ABH167" s="1"/>
      <c r="ABI167" s="1"/>
      <c r="ABJ167" s="1"/>
      <c r="ABK167" s="1"/>
      <c r="ABL167" s="1"/>
      <c r="ABM167" s="1"/>
      <c r="ABN167" s="1"/>
      <c r="ABO167" s="1"/>
      <c r="ABP167" s="1"/>
      <c r="ABQ167" s="1"/>
      <c r="ABR167" s="1"/>
      <c r="ABS167" s="1"/>
      <c r="ABT167" s="1"/>
      <c r="ABU167" s="1"/>
      <c r="ABV167" s="1"/>
      <c r="ABW167" s="1"/>
      <c r="ABX167" s="1"/>
      <c r="ABY167" s="1"/>
      <c r="ABZ167" s="1"/>
      <c r="ACA167" s="1"/>
      <c r="ACB167" s="1"/>
      <c r="ACC167" s="1"/>
      <c r="ACD167" s="1"/>
      <c r="ACE167" s="1"/>
      <c r="ACF167" s="1"/>
      <c r="ACG167" s="1"/>
      <c r="ACH167" s="1"/>
      <c r="ACI167" s="1"/>
      <c r="ACJ167" s="1"/>
      <c r="ACK167" s="1"/>
      <c r="ACL167" s="1"/>
      <c r="ACM167" s="1"/>
      <c r="ACN167" s="1"/>
      <c r="ACO167" s="1"/>
      <c r="ACP167" s="1"/>
      <c r="ACQ167" s="1"/>
      <c r="ACR167" s="1"/>
      <c r="ACS167" s="1"/>
      <c r="ACT167" s="1"/>
      <c r="ACU167" s="1"/>
      <c r="ACV167" s="1"/>
      <c r="ACW167" s="1"/>
      <c r="ACX167" s="1"/>
      <c r="ACY167" s="1"/>
      <c r="ACZ167" s="1"/>
      <c r="ADA167" s="1"/>
      <c r="ADB167" s="1"/>
      <c r="ADC167" s="1"/>
      <c r="ADD167" s="1"/>
      <c r="ADE167" s="1"/>
      <c r="ADF167" s="1"/>
      <c r="ADG167" s="1"/>
      <c r="ADH167" s="1"/>
      <c r="ADI167" s="1"/>
      <c r="ADJ167" s="1"/>
      <c r="ADK167" s="1"/>
      <c r="ADL167" s="1"/>
      <c r="ADM167" s="1"/>
      <c r="ADN167" s="1"/>
      <c r="ADO167" s="1"/>
      <c r="ADP167" s="1"/>
      <c r="ADQ167" s="1"/>
      <c r="ADR167" s="1"/>
      <c r="ADS167" s="1"/>
      <c r="ADT167" s="1"/>
      <c r="ADU167" s="1"/>
      <c r="ADV167" s="1"/>
      <c r="ADW167" s="1"/>
      <c r="ADX167" s="1"/>
      <c r="ADY167" s="1"/>
      <c r="ADZ167" s="1"/>
      <c r="AEA167" s="1"/>
      <c r="AEB167" s="1"/>
      <c r="AEC167" s="1"/>
      <c r="AED167" s="1"/>
      <c r="AEE167" s="1"/>
      <c r="AEF167" s="1"/>
      <c r="AEG167" s="1"/>
      <c r="AEH167" s="1"/>
      <c r="AEI167" s="1"/>
      <c r="AEJ167" s="1"/>
      <c r="AEK167" s="1"/>
      <c r="AEL167" s="1"/>
      <c r="AEM167" s="1"/>
      <c r="AEN167" s="1"/>
      <c r="AEO167" s="1"/>
      <c r="AEP167" s="1"/>
      <c r="AEQ167" s="1"/>
      <c r="AER167" s="1"/>
      <c r="AES167" s="1"/>
      <c r="AET167" s="1"/>
      <c r="AEU167" s="1"/>
      <c r="AEV167" s="1"/>
      <c r="AEW167" s="1"/>
      <c r="AEX167" s="1"/>
      <c r="AEY167" s="1"/>
      <c r="AEZ167" s="1"/>
      <c r="AFA167" s="1"/>
      <c r="AFB167" s="1"/>
      <c r="AFC167" s="1"/>
      <c r="AFD167" s="1"/>
      <c r="AFE167" s="1"/>
      <c r="AFF167" s="1"/>
      <c r="AFG167" s="1"/>
      <c r="AFH167" s="1"/>
      <c r="AFI167" s="1"/>
      <c r="AFJ167" s="1"/>
      <c r="AFK167" s="1"/>
      <c r="AFL167" s="1"/>
      <c r="AFM167" s="1"/>
      <c r="AFN167" s="1"/>
      <c r="AFO167" s="1"/>
      <c r="AFP167" s="1"/>
      <c r="AFQ167" s="1"/>
      <c r="AFR167" s="1"/>
      <c r="AFS167" s="1"/>
      <c r="AFT167" s="1"/>
      <c r="AFU167" s="1"/>
      <c r="AFV167" s="1"/>
      <c r="AFW167" s="1"/>
      <c r="AFX167" s="1"/>
      <c r="AFY167" s="1"/>
      <c r="AFZ167" s="1"/>
      <c r="AGA167" s="1"/>
      <c r="AGB167" s="1"/>
      <c r="AGC167" s="1"/>
      <c r="AGD167" s="1"/>
      <c r="AGE167" s="1"/>
      <c r="AGF167" s="1"/>
      <c r="AGG167" s="1"/>
      <c r="AGH167" s="1"/>
      <c r="AGI167" s="1"/>
      <c r="AGJ167" s="1"/>
      <c r="AGK167" s="1"/>
      <c r="AGL167" s="1"/>
      <c r="AGM167" s="1"/>
      <c r="AGN167" s="1"/>
      <c r="AGO167" s="1"/>
      <c r="AGP167" s="1"/>
      <c r="AGQ167" s="1"/>
      <c r="AGR167" s="1"/>
      <c r="AGS167" s="1"/>
      <c r="AGT167" s="1"/>
      <c r="AGU167" s="1"/>
      <c r="AGV167" s="1"/>
      <c r="AGW167" s="1"/>
      <c r="AGX167" s="1"/>
      <c r="AGY167" s="1"/>
      <c r="AGZ167" s="1"/>
      <c r="AHA167" s="1"/>
      <c r="AHB167" s="1"/>
      <c r="AHC167" s="1"/>
      <c r="AHD167" s="1"/>
      <c r="AHE167" s="1"/>
      <c r="AHF167" s="1"/>
      <c r="AHG167" s="1"/>
      <c r="AHH167" s="1"/>
      <c r="AHI167" s="1"/>
      <c r="AHJ167" s="1"/>
      <c r="AHK167" s="1"/>
      <c r="AHL167" s="1"/>
      <c r="AHM167" s="1"/>
      <c r="AHN167" s="1"/>
      <c r="AHO167" s="1"/>
      <c r="AHP167" s="1"/>
      <c r="AHQ167" s="1"/>
      <c r="AHR167" s="1"/>
      <c r="AHS167" s="1"/>
      <c r="AHT167" s="1"/>
      <c r="AHU167" s="1"/>
      <c r="AHV167" s="1"/>
      <c r="AHW167" s="1"/>
      <c r="AHX167" s="1"/>
      <c r="AHY167" s="1"/>
      <c r="AHZ167" s="1"/>
      <c r="AIA167" s="1"/>
      <c r="AIB167" s="1"/>
      <c r="AIC167" s="1"/>
      <c r="AID167" s="1"/>
      <c r="AIE167" s="1"/>
      <c r="AIF167" s="1"/>
      <c r="AIG167" s="1"/>
      <c r="AIH167" s="1"/>
      <c r="AII167" s="1"/>
      <c r="AIJ167" s="1"/>
      <c r="AIK167" s="1"/>
      <c r="AIL167" s="1"/>
      <c r="AIM167" s="1"/>
      <c r="AIN167" s="1"/>
      <c r="AIO167" s="1"/>
      <c r="AIP167" s="1"/>
      <c r="AIQ167" s="1"/>
      <c r="AIR167" s="1"/>
      <c r="AIS167" s="1"/>
      <c r="AIT167" s="1"/>
      <c r="AIU167" s="1"/>
      <c r="AIV167" s="1"/>
      <c r="AIW167" s="1"/>
      <c r="AIX167" s="1"/>
      <c r="AIY167" s="1"/>
      <c r="AIZ167" s="1"/>
      <c r="AJA167" s="1"/>
      <c r="AJB167" s="1"/>
      <c r="AJC167" s="1"/>
      <c r="AJD167" s="1"/>
      <c r="AJE167" s="1"/>
      <c r="AJF167" s="1"/>
      <c r="AJG167" s="1"/>
      <c r="AJH167" s="1"/>
      <c r="AJI167" s="1"/>
      <c r="AJJ167" s="1"/>
      <c r="AJK167" s="1"/>
      <c r="AJL167" s="1"/>
      <c r="AJM167" s="1"/>
      <c r="AJN167" s="1"/>
      <c r="AJO167" s="1"/>
      <c r="AJP167" s="1"/>
      <c r="AJQ167" s="1"/>
      <c r="AJR167" s="1"/>
      <c r="AJS167" s="1"/>
      <c r="AJT167" s="1"/>
      <c r="AJU167" s="1"/>
      <c r="AJV167" s="1"/>
      <c r="AJW167" s="1"/>
      <c r="AJX167" s="1"/>
      <c r="AJY167" s="1"/>
      <c r="AJZ167" s="1"/>
      <c r="AKA167" s="1"/>
      <c r="AKB167" s="1"/>
      <c r="AKC167" s="1"/>
      <c r="AKD167" s="1"/>
      <c r="AKE167" s="1"/>
      <c r="AKF167" s="1"/>
      <c r="AKG167" s="1"/>
      <c r="AKH167" s="1"/>
      <c r="AKI167" s="1"/>
      <c r="AKJ167" s="1"/>
      <c r="AKK167" s="1"/>
      <c r="AKL167" s="1"/>
      <c r="AKM167" s="1"/>
      <c r="AKN167" s="1"/>
      <c r="AKO167" s="1"/>
      <c r="AKP167" s="1"/>
      <c r="AKQ167" s="1"/>
      <c r="AKR167" s="1"/>
      <c r="AKS167" s="1"/>
      <c r="AKT167" s="1"/>
      <c r="AKU167" s="1"/>
      <c r="AKV167" s="1"/>
      <c r="AKW167" s="1"/>
      <c r="AKX167" s="1"/>
      <c r="AKY167" s="1"/>
      <c r="AKZ167" s="1"/>
      <c r="ALA167" s="1"/>
      <c r="ALB167" s="1"/>
      <c r="ALC167" s="1"/>
      <c r="ALD167" s="1"/>
      <c r="ALE167" s="1"/>
      <c r="ALF167" s="1"/>
      <c r="ALG167" s="1"/>
      <c r="ALH167" s="1"/>
      <c r="ALI167" s="1"/>
      <c r="ALJ167" s="1"/>
      <c r="ALK167" s="1"/>
      <c r="ALL167" s="1"/>
      <c r="ALM167" s="1"/>
      <c r="ALN167" s="1"/>
      <c r="ALO167" s="1"/>
      <c r="ALP167" s="1"/>
      <c r="ALQ167" s="1"/>
      <c r="ALR167" s="1"/>
      <c r="ALS167" s="1"/>
      <c r="ALT167" s="1"/>
      <c r="ALU167" s="1"/>
      <c r="ALV167" s="1"/>
      <c r="ALW167" s="1"/>
      <c r="ALX167" s="1"/>
      <c r="ALY167" s="1"/>
      <c r="ALZ167" s="1"/>
      <c r="AMA167" s="1"/>
      <c r="AMB167" s="1"/>
      <c r="AMC167" s="1"/>
      <c r="AMD167" s="1"/>
      <c r="AME167" s="1"/>
      <c r="AMF167" s="1"/>
      <c r="AMG167" s="1"/>
      <c r="AMH167" s="1"/>
      <c r="AMI167" s="1"/>
      <c r="AMJ167" s="1"/>
    </row>
    <row r="168" s="90" customFormat="true" ht="10.5" hidden="false" customHeight="true" outlineLevel="0" collapsed="false">
      <c r="A168" s="223" t="s">
        <v>301</v>
      </c>
      <c r="B168" s="223"/>
      <c r="C168" s="223"/>
      <c r="D168" s="223"/>
      <c r="E168" s="223"/>
      <c r="F168" s="224" t="n">
        <f aca="false">SUM(AH153:AO158)</f>
        <v>0</v>
      </c>
      <c r="G168" s="224"/>
      <c r="H168" s="224"/>
      <c r="I168" s="224"/>
      <c r="J168" s="224"/>
      <c r="K168" s="225"/>
      <c r="L168" s="225"/>
      <c r="M168" s="225"/>
      <c r="N168" s="225"/>
      <c r="O168" s="225"/>
      <c r="P168" s="203" t="s">
        <v>310</v>
      </c>
      <c r="Q168" s="203"/>
      <c r="R168" s="203"/>
      <c r="S168" s="203"/>
      <c r="T168" s="224" t="n">
        <f aca="false">SUM(AI161:AO166)</f>
        <v>0</v>
      </c>
      <c r="U168" s="224"/>
      <c r="V168" s="224"/>
      <c r="W168" s="224"/>
      <c r="X168" s="224"/>
      <c r="Y168" s="94" t="s">
        <v>311</v>
      </c>
      <c r="Z168" s="94"/>
      <c r="AA168" s="94"/>
      <c r="AB168" s="94"/>
      <c r="AC168" s="94"/>
      <c r="AD168" s="94"/>
      <c r="AE168" s="94"/>
      <c r="AF168" s="94"/>
      <c r="AG168" s="94"/>
      <c r="AH168" s="94"/>
      <c r="AI168" s="94"/>
      <c r="AJ168" s="226" t="n">
        <f aca="false">F168-T168</f>
        <v>0</v>
      </c>
      <c r="AK168" s="226"/>
      <c r="AL168" s="226"/>
      <c r="AM168" s="226"/>
      <c r="AN168" s="226"/>
      <c r="AO168" s="226"/>
      <c r="AP168" s="7"/>
      <c r="AQ168" s="7"/>
      <c r="AR168" s="7"/>
      <c r="AS168" s="7"/>
      <c r="AT168" s="7"/>
      <c r="AU168" s="7"/>
      <c r="AV168" s="7"/>
      <c r="AW168" s="7"/>
      <c r="AX168" s="7"/>
      <c r="AY168" s="7"/>
      <c r="AZ168" s="7"/>
      <c r="BA168" s="7"/>
      <c r="BB168" s="7"/>
      <c r="BC168" s="7"/>
    </row>
    <row r="169" customFormat="false" ht="10.5" hidden="false" customHeight="true" outlineLevel="0" collapsed="false">
      <c r="A169" s="227"/>
      <c r="B169" s="227"/>
      <c r="C169" s="227"/>
      <c r="D169" s="227"/>
      <c r="E169" s="227"/>
      <c r="F169" s="227"/>
      <c r="G169" s="227"/>
      <c r="H169" s="227"/>
      <c r="I169" s="227"/>
      <c r="J169" s="227"/>
      <c r="K169" s="227"/>
      <c r="L169" s="227"/>
      <c r="M169" s="227"/>
      <c r="N169" s="227"/>
      <c r="O169" s="227"/>
      <c r="P169" s="227"/>
      <c r="Q169" s="227"/>
      <c r="R169" s="227"/>
      <c r="S169" s="227"/>
      <c r="T169" s="227"/>
      <c r="U169" s="227"/>
      <c r="V169" s="227"/>
      <c r="W169" s="227"/>
      <c r="X169" s="227"/>
      <c r="Y169" s="227"/>
      <c r="Z169" s="227"/>
      <c r="AA169" s="227"/>
      <c r="AB169" s="227"/>
      <c r="AC169" s="227"/>
      <c r="AD169" s="227"/>
      <c r="AE169" s="227"/>
      <c r="AF169" s="227"/>
      <c r="AG169" s="227"/>
      <c r="AH169" s="227"/>
      <c r="AI169" s="227"/>
      <c r="AJ169" s="227"/>
      <c r="AK169" s="227"/>
      <c r="AL169" s="227"/>
      <c r="AM169" s="227"/>
      <c r="AN169" s="227"/>
      <c r="AO169" s="227"/>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c r="IY169" s="1"/>
      <c r="IZ169" s="1"/>
      <c r="JA169" s="1"/>
      <c r="JB169" s="1"/>
      <c r="JC169" s="1"/>
      <c r="JD169" s="1"/>
      <c r="JE169" s="1"/>
      <c r="JF169" s="1"/>
      <c r="JG169" s="1"/>
      <c r="JH169" s="1"/>
      <c r="JI169" s="1"/>
      <c r="JJ169" s="1"/>
      <c r="JK169" s="1"/>
      <c r="JL169" s="1"/>
      <c r="JM169" s="1"/>
      <c r="JN169" s="1"/>
      <c r="JO169" s="1"/>
      <c r="JP169" s="1"/>
      <c r="JQ169" s="1"/>
      <c r="JR169" s="1"/>
      <c r="JS169" s="1"/>
      <c r="JT169" s="1"/>
      <c r="JU169" s="1"/>
      <c r="JV169" s="1"/>
      <c r="JW169" s="1"/>
      <c r="JX169" s="1"/>
      <c r="JY169" s="1"/>
      <c r="JZ169" s="1"/>
      <c r="KA169" s="1"/>
      <c r="KB169" s="1"/>
      <c r="KC169" s="1"/>
      <c r="KD169" s="1"/>
      <c r="KE169" s="1"/>
      <c r="KF169" s="1"/>
      <c r="KG169" s="1"/>
      <c r="KH169" s="1"/>
      <c r="KI169" s="1"/>
      <c r="KJ169" s="1"/>
      <c r="KK169" s="1"/>
      <c r="KL169" s="1"/>
      <c r="KM169" s="1"/>
      <c r="KN169" s="1"/>
      <c r="KO169" s="1"/>
      <c r="KP169" s="1"/>
      <c r="KQ169" s="1"/>
      <c r="KR169" s="1"/>
      <c r="KS169" s="1"/>
      <c r="KT169" s="1"/>
      <c r="KU169" s="1"/>
      <c r="KV169" s="1"/>
      <c r="KW169" s="1"/>
      <c r="KX169" s="1"/>
      <c r="KY169" s="1"/>
      <c r="KZ169" s="1"/>
      <c r="LA169" s="1"/>
      <c r="LB169" s="1"/>
      <c r="LC169" s="1"/>
      <c r="LD169" s="1"/>
      <c r="LE169" s="1"/>
      <c r="LF169" s="1"/>
      <c r="LG169" s="1"/>
      <c r="LH169" s="1"/>
      <c r="LI169" s="1"/>
      <c r="LJ169" s="1"/>
      <c r="LK169" s="1"/>
      <c r="LL169" s="1"/>
      <c r="LM169" s="1"/>
      <c r="LN169" s="1"/>
      <c r="LO169" s="1"/>
      <c r="LP169" s="1"/>
      <c r="LQ169" s="1"/>
      <c r="LR169" s="1"/>
      <c r="LS169" s="1"/>
      <c r="LT169" s="1"/>
      <c r="LU169" s="1"/>
      <c r="LV169" s="1"/>
      <c r="LW169" s="1"/>
      <c r="LX169" s="1"/>
      <c r="LY169" s="1"/>
      <c r="LZ169" s="1"/>
      <c r="MA169" s="1"/>
      <c r="MB169" s="1"/>
      <c r="MC169" s="1"/>
      <c r="MD169" s="1"/>
      <c r="ME169" s="1"/>
      <c r="MF169" s="1"/>
      <c r="MG169" s="1"/>
      <c r="MH169" s="1"/>
      <c r="MI169" s="1"/>
      <c r="MJ169" s="1"/>
      <c r="MK169" s="1"/>
      <c r="ML169" s="1"/>
      <c r="MM169" s="1"/>
      <c r="MN169" s="1"/>
      <c r="MO169" s="1"/>
      <c r="MP169" s="1"/>
      <c r="MQ169" s="1"/>
      <c r="MR169" s="1"/>
      <c r="MS169" s="1"/>
      <c r="MT169" s="1"/>
      <c r="MU169" s="1"/>
      <c r="MV169" s="1"/>
      <c r="MW169" s="1"/>
      <c r="MX169" s="1"/>
      <c r="MY169" s="1"/>
      <c r="MZ169" s="1"/>
      <c r="NA169" s="1"/>
      <c r="NB169" s="1"/>
      <c r="NC169" s="1"/>
      <c r="ND169" s="1"/>
      <c r="NE169" s="1"/>
      <c r="NF169" s="1"/>
      <c r="NG169" s="1"/>
      <c r="NH169" s="1"/>
      <c r="NI169" s="1"/>
      <c r="NJ169" s="1"/>
      <c r="NK169" s="1"/>
      <c r="NL169" s="1"/>
      <c r="NM169" s="1"/>
      <c r="NN169" s="1"/>
      <c r="NO169" s="1"/>
      <c r="NP169" s="1"/>
      <c r="NQ169" s="1"/>
      <c r="NR169" s="1"/>
      <c r="NS169" s="1"/>
      <c r="NT169" s="1"/>
      <c r="NU169" s="1"/>
      <c r="NV169" s="1"/>
      <c r="NW169" s="1"/>
      <c r="NX169" s="1"/>
      <c r="NY169" s="1"/>
      <c r="NZ169" s="1"/>
      <c r="OA169" s="1"/>
      <c r="OB169" s="1"/>
      <c r="OC169" s="1"/>
      <c r="OD169" s="1"/>
      <c r="OE169" s="1"/>
      <c r="OF169" s="1"/>
      <c r="OG169" s="1"/>
      <c r="OH169" s="1"/>
      <c r="OI169" s="1"/>
      <c r="OJ169" s="1"/>
      <c r="OK169" s="1"/>
      <c r="OL169" s="1"/>
      <c r="OM169" s="1"/>
      <c r="ON169" s="1"/>
      <c r="OO169" s="1"/>
      <c r="OP169" s="1"/>
      <c r="OQ169" s="1"/>
      <c r="OR169" s="1"/>
      <c r="OS169" s="1"/>
      <c r="OT169" s="1"/>
      <c r="OU169" s="1"/>
      <c r="OV169" s="1"/>
      <c r="OW169" s="1"/>
      <c r="OX169" s="1"/>
      <c r="OY169" s="1"/>
      <c r="OZ169" s="1"/>
      <c r="PA169" s="1"/>
      <c r="PB169" s="1"/>
      <c r="PC169" s="1"/>
      <c r="PD169" s="1"/>
      <c r="PE169" s="1"/>
      <c r="PF169" s="1"/>
      <c r="PG169" s="1"/>
      <c r="PH169" s="1"/>
      <c r="PI169" s="1"/>
      <c r="PJ169" s="1"/>
      <c r="PK169" s="1"/>
      <c r="PL169" s="1"/>
      <c r="PM169" s="1"/>
      <c r="PN169" s="1"/>
      <c r="PO169" s="1"/>
      <c r="PP169" s="1"/>
      <c r="PQ169" s="1"/>
      <c r="PR169" s="1"/>
      <c r="PS169" s="1"/>
      <c r="PT169" s="1"/>
      <c r="PU169" s="1"/>
      <c r="PV169" s="1"/>
      <c r="PW169" s="1"/>
      <c r="PX169" s="1"/>
      <c r="PY169" s="1"/>
      <c r="PZ169" s="1"/>
      <c r="QA169" s="1"/>
      <c r="QB169" s="1"/>
      <c r="QC169" s="1"/>
      <c r="QD169" s="1"/>
      <c r="QE169" s="1"/>
      <c r="QF169" s="1"/>
      <c r="QG169" s="1"/>
      <c r="QH169" s="1"/>
      <c r="QI169" s="1"/>
      <c r="QJ169" s="1"/>
      <c r="QK169" s="1"/>
      <c r="QL169" s="1"/>
      <c r="QM169" s="1"/>
      <c r="QN169" s="1"/>
      <c r="QO169" s="1"/>
      <c r="QP169" s="1"/>
      <c r="QQ169" s="1"/>
      <c r="QR169" s="1"/>
      <c r="QS169" s="1"/>
      <c r="QT169" s="1"/>
      <c r="QU169" s="1"/>
      <c r="QV169" s="1"/>
      <c r="QW169" s="1"/>
      <c r="QX169" s="1"/>
      <c r="QY169" s="1"/>
      <c r="QZ169" s="1"/>
      <c r="RA169" s="1"/>
      <c r="RB169" s="1"/>
      <c r="RC169" s="1"/>
      <c r="RD169" s="1"/>
      <c r="RE169" s="1"/>
      <c r="RF169" s="1"/>
      <c r="RG169" s="1"/>
      <c r="RH169" s="1"/>
      <c r="RI169" s="1"/>
      <c r="RJ169" s="1"/>
      <c r="RK169" s="1"/>
      <c r="RL169" s="1"/>
      <c r="RM169" s="1"/>
      <c r="RN169" s="1"/>
      <c r="RO169" s="1"/>
      <c r="RP169" s="1"/>
      <c r="RQ169" s="1"/>
      <c r="RR169" s="1"/>
      <c r="RS169" s="1"/>
      <c r="RT169" s="1"/>
      <c r="RU169" s="1"/>
      <c r="RV169" s="1"/>
      <c r="RW169" s="1"/>
      <c r="RX169" s="1"/>
      <c r="RY169" s="1"/>
      <c r="RZ169" s="1"/>
      <c r="SA169" s="1"/>
      <c r="SB169" s="1"/>
      <c r="SC169" s="1"/>
      <c r="SD169" s="1"/>
      <c r="SE169" s="1"/>
      <c r="SF169" s="1"/>
      <c r="SG169" s="1"/>
      <c r="SH169" s="1"/>
      <c r="SI169" s="1"/>
      <c r="SJ169" s="1"/>
      <c r="SK169" s="1"/>
      <c r="SL169" s="1"/>
      <c r="SM169" s="1"/>
      <c r="SN169" s="1"/>
      <c r="SO169" s="1"/>
      <c r="SP169" s="1"/>
      <c r="SQ169" s="1"/>
      <c r="SR169" s="1"/>
      <c r="SS169" s="1"/>
      <c r="ST169" s="1"/>
      <c r="SU169" s="1"/>
      <c r="SV169" s="1"/>
      <c r="SW169" s="1"/>
      <c r="SX169" s="1"/>
      <c r="SY169" s="1"/>
      <c r="SZ169" s="1"/>
      <c r="TA169" s="1"/>
      <c r="TB169" s="1"/>
      <c r="TC169" s="1"/>
      <c r="TD169" s="1"/>
      <c r="TE169" s="1"/>
      <c r="TF169" s="1"/>
      <c r="TG169" s="1"/>
      <c r="TH169" s="1"/>
      <c r="TI169" s="1"/>
      <c r="TJ169" s="1"/>
      <c r="TK169" s="1"/>
      <c r="TL169" s="1"/>
      <c r="TM169" s="1"/>
      <c r="TN169" s="1"/>
      <c r="TO169" s="1"/>
      <c r="TP169" s="1"/>
      <c r="TQ169" s="1"/>
      <c r="TR169" s="1"/>
      <c r="TS169" s="1"/>
      <c r="TT169" s="1"/>
      <c r="TU169" s="1"/>
      <c r="TV169" s="1"/>
      <c r="TW169" s="1"/>
      <c r="TX169" s="1"/>
      <c r="TY169" s="1"/>
      <c r="TZ169" s="1"/>
      <c r="UA169" s="1"/>
      <c r="UB169" s="1"/>
      <c r="UC169" s="1"/>
      <c r="UD169" s="1"/>
      <c r="UE169" s="1"/>
      <c r="UF169" s="1"/>
      <c r="UG169" s="1"/>
      <c r="UH169" s="1"/>
      <c r="UI169" s="1"/>
      <c r="UJ169" s="1"/>
      <c r="UK169" s="1"/>
      <c r="UL169" s="1"/>
      <c r="UM169" s="1"/>
      <c r="UN169" s="1"/>
      <c r="UO169" s="1"/>
      <c r="UP169" s="1"/>
      <c r="UQ169" s="1"/>
      <c r="UR169" s="1"/>
      <c r="US169" s="1"/>
      <c r="UT169" s="1"/>
      <c r="UU169" s="1"/>
      <c r="UV169" s="1"/>
      <c r="UW169" s="1"/>
      <c r="UX169" s="1"/>
      <c r="UY169" s="1"/>
      <c r="UZ169" s="1"/>
      <c r="VA169" s="1"/>
      <c r="VB169" s="1"/>
      <c r="VC169" s="1"/>
      <c r="VD169" s="1"/>
      <c r="VE169" s="1"/>
      <c r="VF169" s="1"/>
      <c r="VG169" s="1"/>
      <c r="VH169" s="1"/>
      <c r="VI169" s="1"/>
      <c r="VJ169" s="1"/>
      <c r="VK169" s="1"/>
      <c r="VL169" s="1"/>
      <c r="VM169" s="1"/>
      <c r="VN169" s="1"/>
      <c r="VO169" s="1"/>
      <c r="VP169" s="1"/>
      <c r="VQ169" s="1"/>
      <c r="VR169" s="1"/>
      <c r="VS169" s="1"/>
      <c r="VT169" s="1"/>
      <c r="VU169" s="1"/>
      <c r="VV169" s="1"/>
      <c r="VW169" s="1"/>
      <c r="VX169" s="1"/>
      <c r="VY169" s="1"/>
      <c r="VZ169" s="1"/>
      <c r="WA169" s="1"/>
      <c r="WB169" s="1"/>
      <c r="WC169" s="1"/>
      <c r="WD169" s="1"/>
      <c r="WE169" s="1"/>
      <c r="WF169" s="1"/>
      <c r="WG169" s="1"/>
      <c r="WH169" s="1"/>
      <c r="WI169" s="1"/>
      <c r="WJ169" s="1"/>
      <c r="WK169" s="1"/>
      <c r="WL169" s="1"/>
      <c r="WM169" s="1"/>
      <c r="WN169" s="1"/>
      <c r="WO169" s="1"/>
      <c r="WP169" s="1"/>
      <c r="WQ169" s="1"/>
      <c r="WR169" s="1"/>
      <c r="WS169" s="1"/>
      <c r="WT169" s="1"/>
      <c r="WU169" s="1"/>
      <c r="WV169" s="1"/>
      <c r="WW169" s="1"/>
      <c r="WX169" s="1"/>
      <c r="WY169" s="1"/>
      <c r="WZ169" s="1"/>
      <c r="XA169" s="1"/>
      <c r="XB169" s="1"/>
      <c r="XC169" s="1"/>
      <c r="XD169" s="1"/>
      <c r="XE169" s="1"/>
      <c r="XF169" s="1"/>
      <c r="XG169" s="1"/>
      <c r="XH169" s="1"/>
      <c r="XI169" s="1"/>
      <c r="XJ169" s="1"/>
      <c r="XK169" s="1"/>
      <c r="XL169" s="1"/>
      <c r="XM169" s="1"/>
      <c r="XN169" s="1"/>
      <c r="XO169" s="1"/>
      <c r="XP169" s="1"/>
      <c r="XQ169" s="1"/>
      <c r="XR169" s="1"/>
      <c r="XS169" s="1"/>
      <c r="XT169" s="1"/>
      <c r="XU169" s="1"/>
      <c r="XV169" s="1"/>
      <c r="XW169" s="1"/>
      <c r="XX169" s="1"/>
      <c r="XY169" s="1"/>
      <c r="XZ169" s="1"/>
      <c r="YA169" s="1"/>
      <c r="YB169" s="1"/>
      <c r="YC169" s="1"/>
      <c r="YD169" s="1"/>
      <c r="YE169" s="1"/>
      <c r="YF169" s="1"/>
      <c r="YG169" s="1"/>
      <c r="YH169" s="1"/>
      <c r="YI169" s="1"/>
      <c r="YJ169" s="1"/>
      <c r="YK169" s="1"/>
      <c r="YL169" s="1"/>
      <c r="YM169" s="1"/>
      <c r="YN169" s="1"/>
      <c r="YO169" s="1"/>
      <c r="YP169" s="1"/>
      <c r="YQ169" s="1"/>
      <c r="YR169" s="1"/>
      <c r="YS169" s="1"/>
      <c r="YT169" s="1"/>
      <c r="YU169" s="1"/>
      <c r="YV169" s="1"/>
      <c r="YW169" s="1"/>
      <c r="YX169" s="1"/>
      <c r="YY169" s="1"/>
      <c r="YZ169" s="1"/>
      <c r="ZA169" s="1"/>
      <c r="ZB169" s="1"/>
      <c r="ZC169" s="1"/>
      <c r="ZD169" s="1"/>
      <c r="ZE169" s="1"/>
      <c r="ZF169" s="1"/>
      <c r="ZG169" s="1"/>
      <c r="ZH169" s="1"/>
      <c r="ZI169" s="1"/>
      <c r="ZJ169" s="1"/>
      <c r="ZK169" s="1"/>
      <c r="ZL169" s="1"/>
      <c r="ZM169" s="1"/>
      <c r="ZN169" s="1"/>
      <c r="ZO169" s="1"/>
      <c r="ZP169" s="1"/>
      <c r="ZQ169" s="1"/>
      <c r="ZR169" s="1"/>
      <c r="ZS169" s="1"/>
      <c r="ZT169" s="1"/>
      <c r="ZU169" s="1"/>
      <c r="ZV169" s="1"/>
      <c r="ZW169" s="1"/>
      <c r="ZX169" s="1"/>
      <c r="ZY169" s="1"/>
      <c r="ZZ169" s="1"/>
      <c r="AAA169" s="1"/>
      <c r="AAB169" s="1"/>
      <c r="AAC169" s="1"/>
      <c r="AAD169" s="1"/>
      <c r="AAE169" s="1"/>
      <c r="AAF169" s="1"/>
      <c r="AAG169" s="1"/>
      <c r="AAH169" s="1"/>
      <c r="AAI169" s="1"/>
      <c r="AAJ169" s="1"/>
      <c r="AAK169" s="1"/>
      <c r="AAL169" s="1"/>
      <c r="AAM169" s="1"/>
      <c r="AAN169" s="1"/>
      <c r="AAO169" s="1"/>
      <c r="AAP169" s="1"/>
      <c r="AAQ169" s="1"/>
      <c r="AAR169" s="1"/>
      <c r="AAS169" s="1"/>
      <c r="AAT169" s="1"/>
      <c r="AAU169" s="1"/>
      <c r="AAV169" s="1"/>
      <c r="AAW169" s="1"/>
      <c r="AAX169" s="1"/>
      <c r="AAY169" s="1"/>
      <c r="AAZ169" s="1"/>
      <c r="ABA169" s="1"/>
      <c r="ABB169" s="1"/>
      <c r="ABC169" s="1"/>
      <c r="ABD169" s="1"/>
      <c r="ABE169" s="1"/>
      <c r="ABF169" s="1"/>
      <c r="ABG169" s="1"/>
      <c r="ABH169" s="1"/>
      <c r="ABI169" s="1"/>
      <c r="ABJ169" s="1"/>
      <c r="ABK169" s="1"/>
      <c r="ABL169" s="1"/>
      <c r="ABM169" s="1"/>
      <c r="ABN169" s="1"/>
      <c r="ABO169" s="1"/>
      <c r="ABP169" s="1"/>
      <c r="ABQ169" s="1"/>
      <c r="ABR169" s="1"/>
      <c r="ABS169" s="1"/>
      <c r="ABT169" s="1"/>
      <c r="ABU169" s="1"/>
      <c r="ABV169" s="1"/>
      <c r="ABW169" s="1"/>
      <c r="ABX169" s="1"/>
      <c r="ABY169" s="1"/>
      <c r="ABZ169" s="1"/>
      <c r="ACA169" s="1"/>
      <c r="ACB169" s="1"/>
      <c r="ACC169" s="1"/>
      <c r="ACD169" s="1"/>
      <c r="ACE169" s="1"/>
      <c r="ACF169" s="1"/>
      <c r="ACG169" s="1"/>
      <c r="ACH169" s="1"/>
      <c r="ACI169" s="1"/>
      <c r="ACJ169" s="1"/>
      <c r="ACK169" s="1"/>
      <c r="ACL169" s="1"/>
      <c r="ACM169" s="1"/>
      <c r="ACN169" s="1"/>
      <c r="ACO169" s="1"/>
      <c r="ACP169" s="1"/>
      <c r="ACQ169" s="1"/>
      <c r="ACR169" s="1"/>
      <c r="ACS169" s="1"/>
      <c r="ACT169" s="1"/>
      <c r="ACU169" s="1"/>
      <c r="ACV169" s="1"/>
      <c r="ACW169" s="1"/>
      <c r="ACX169" s="1"/>
      <c r="ACY169" s="1"/>
      <c r="ACZ169" s="1"/>
      <c r="ADA169" s="1"/>
      <c r="ADB169" s="1"/>
      <c r="ADC169" s="1"/>
      <c r="ADD169" s="1"/>
      <c r="ADE169" s="1"/>
      <c r="ADF169" s="1"/>
      <c r="ADG169" s="1"/>
      <c r="ADH169" s="1"/>
      <c r="ADI169" s="1"/>
      <c r="ADJ169" s="1"/>
      <c r="ADK169" s="1"/>
      <c r="ADL169" s="1"/>
      <c r="ADM169" s="1"/>
      <c r="ADN169" s="1"/>
      <c r="ADO169" s="1"/>
      <c r="ADP169" s="1"/>
      <c r="ADQ169" s="1"/>
      <c r="ADR169" s="1"/>
      <c r="ADS169" s="1"/>
      <c r="ADT169" s="1"/>
      <c r="ADU169" s="1"/>
      <c r="ADV169" s="1"/>
      <c r="ADW169" s="1"/>
      <c r="ADX169" s="1"/>
      <c r="ADY169" s="1"/>
      <c r="ADZ169" s="1"/>
      <c r="AEA169" s="1"/>
      <c r="AEB169" s="1"/>
      <c r="AEC169" s="1"/>
      <c r="AED169" s="1"/>
      <c r="AEE169" s="1"/>
      <c r="AEF169" s="1"/>
      <c r="AEG169" s="1"/>
      <c r="AEH169" s="1"/>
      <c r="AEI169" s="1"/>
      <c r="AEJ169" s="1"/>
      <c r="AEK169" s="1"/>
      <c r="AEL169" s="1"/>
      <c r="AEM169" s="1"/>
      <c r="AEN169" s="1"/>
      <c r="AEO169" s="1"/>
      <c r="AEP169" s="1"/>
      <c r="AEQ169" s="1"/>
      <c r="AER169" s="1"/>
      <c r="AES169" s="1"/>
      <c r="AET169" s="1"/>
      <c r="AEU169" s="1"/>
      <c r="AEV169" s="1"/>
      <c r="AEW169" s="1"/>
      <c r="AEX169" s="1"/>
      <c r="AEY169" s="1"/>
      <c r="AEZ169" s="1"/>
      <c r="AFA169" s="1"/>
      <c r="AFB169" s="1"/>
      <c r="AFC169" s="1"/>
      <c r="AFD169" s="1"/>
      <c r="AFE169" s="1"/>
      <c r="AFF169" s="1"/>
      <c r="AFG169" s="1"/>
      <c r="AFH169" s="1"/>
      <c r="AFI169" s="1"/>
      <c r="AFJ169" s="1"/>
      <c r="AFK169" s="1"/>
      <c r="AFL169" s="1"/>
      <c r="AFM169" s="1"/>
      <c r="AFN169" s="1"/>
      <c r="AFO169" s="1"/>
      <c r="AFP169" s="1"/>
      <c r="AFQ169" s="1"/>
      <c r="AFR169" s="1"/>
      <c r="AFS169" s="1"/>
      <c r="AFT169" s="1"/>
      <c r="AFU169" s="1"/>
      <c r="AFV169" s="1"/>
      <c r="AFW169" s="1"/>
      <c r="AFX169" s="1"/>
      <c r="AFY169" s="1"/>
      <c r="AFZ169" s="1"/>
      <c r="AGA169" s="1"/>
      <c r="AGB169" s="1"/>
      <c r="AGC169" s="1"/>
      <c r="AGD169" s="1"/>
      <c r="AGE169" s="1"/>
      <c r="AGF169" s="1"/>
      <c r="AGG169" s="1"/>
      <c r="AGH169" s="1"/>
      <c r="AGI169" s="1"/>
      <c r="AGJ169" s="1"/>
      <c r="AGK169" s="1"/>
      <c r="AGL169" s="1"/>
      <c r="AGM169" s="1"/>
      <c r="AGN169" s="1"/>
      <c r="AGO169" s="1"/>
      <c r="AGP169" s="1"/>
      <c r="AGQ169" s="1"/>
      <c r="AGR169" s="1"/>
      <c r="AGS169" s="1"/>
      <c r="AGT169" s="1"/>
      <c r="AGU169" s="1"/>
      <c r="AGV169" s="1"/>
      <c r="AGW169" s="1"/>
      <c r="AGX169" s="1"/>
      <c r="AGY169" s="1"/>
      <c r="AGZ169" s="1"/>
      <c r="AHA169" s="1"/>
      <c r="AHB169" s="1"/>
      <c r="AHC169" s="1"/>
      <c r="AHD169" s="1"/>
      <c r="AHE169" s="1"/>
      <c r="AHF169" s="1"/>
      <c r="AHG169" s="1"/>
      <c r="AHH169" s="1"/>
      <c r="AHI169" s="1"/>
      <c r="AHJ169" s="1"/>
      <c r="AHK169" s="1"/>
      <c r="AHL169" s="1"/>
      <c r="AHM169" s="1"/>
      <c r="AHN169" s="1"/>
      <c r="AHO169" s="1"/>
      <c r="AHP169" s="1"/>
      <c r="AHQ169" s="1"/>
      <c r="AHR169" s="1"/>
      <c r="AHS169" s="1"/>
      <c r="AHT169" s="1"/>
      <c r="AHU169" s="1"/>
      <c r="AHV169" s="1"/>
      <c r="AHW169" s="1"/>
      <c r="AHX169" s="1"/>
      <c r="AHY169" s="1"/>
      <c r="AHZ169" s="1"/>
      <c r="AIA169" s="1"/>
      <c r="AIB169" s="1"/>
      <c r="AIC169" s="1"/>
      <c r="AID169" s="1"/>
      <c r="AIE169" s="1"/>
      <c r="AIF169" s="1"/>
      <c r="AIG169" s="1"/>
      <c r="AIH169" s="1"/>
      <c r="AII169" s="1"/>
      <c r="AIJ169" s="1"/>
      <c r="AIK169" s="1"/>
      <c r="AIL169" s="1"/>
      <c r="AIM169" s="1"/>
      <c r="AIN169" s="1"/>
      <c r="AIO169" s="1"/>
      <c r="AIP169" s="1"/>
      <c r="AIQ169" s="1"/>
      <c r="AIR169" s="1"/>
      <c r="AIS169" s="1"/>
      <c r="AIT169" s="1"/>
      <c r="AIU169" s="1"/>
      <c r="AIV169" s="1"/>
      <c r="AIW169" s="1"/>
      <c r="AIX169" s="1"/>
      <c r="AIY169" s="1"/>
      <c r="AIZ169" s="1"/>
      <c r="AJA169" s="1"/>
      <c r="AJB169" s="1"/>
      <c r="AJC169" s="1"/>
      <c r="AJD169" s="1"/>
      <c r="AJE169" s="1"/>
      <c r="AJF169" s="1"/>
      <c r="AJG169" s="1"/>
      <c r="AJH169" s="1"/>
      <c r="AJI169" s="1"/>
      <c r="AJJ169" s="1"/>
      <c r="AJK169" s="1"/>
      <c r="AJL169" s="1"/>
      <c r="AJM169" s="1"/>
      <c r="AJN169" s="1"/>
      <c r="AJO169" s="1"/>
      <c r="AJP169" s="1"/>
      <c r="AJQ169" s="1"/>
      <c r="AJR169" s="1"/>
      <c r="AJS169" s="1"/>
      <c r="AJT169" s="1"/>
      <c r="AJU169" s="1"/>
      <c r="AJV169" s="1"/>
      <c r="AJW169" s="1"/>
      <c r="AJX169" s="1"/>
      <c r="AJY169" s="1"/>
      <c r="AJZ169" s="1"/>
      <c r="AKA169" s="1"/>
      <c r="AKB169" s="1"/>
      <c r="AKC169" s="1"/>
      <c r="AKD169" s="1"/>
      <c r="AKE169" s="1"/>
      <c r="AKF169" s="1"/>
      <c r="AKG169" s="1"/>
      <c r="AKH169" s="1"/>
      <c r="AKI169" s="1"/>
      <c r="AKJ169" s="1"/>
      <c r="AKK169" s="1"/>
      <c r="AKL169" s="1"/>
      <c r="AKM169" s="1"/>
      <c r="AKN169" s="1"/>
      <c r="AKO169" s="1"/>
      <c r="AKP169" s="1"/>
      <c r="AKQ169" s="1"/>
      <c r="AKR169" s="1"/>
      <c r="AKS169" s="1"/>
      <c r="AKT169" s="1"/>
      <c r="AKU169" s="1"/>
      <c r="AKV169" s="1"/>
      <c r="AKW169" s="1"/>
      <c r="AKX169" s="1"/>
      <c r="AKY169" s="1"/>
      <c r="AKZ169" s="1"/>
      <c r="ALA169" s="1"/>
      <c r="ALB169" s="1"/>
      <c r="ALC169" s="1"/>
      <c r="ALD169" s="1"/>
      <c r="ALE169" s="1"/>
      <c r="ALF169" s="1"/>
      <c r="ALG169" s="1"/>
      <c r="ALH169" s="1"/>
      <c r="ALI169" s="1"/>
      <c r="ALJ169" s="1"/>
      <c r="ALK169" s="1"/>
      <c r="ALL169" s="1"/>
      <c r="ALM169" s="1"/>
      <c r="ALN169" s="1"/>
      <c r="ALO169" s="1"/>
      <c r="ALP169" s="1"/>
      <c r="ALQ169" s="1"/>
      <c r="ALR169" s="1"/>
      <c r="ALS169" s="1"/>
      <c r="ALT169" s="1"/>
      <c r="ALU169" s="1"/>
      <c r="ALV169" s="1"/>
      <c r="ALW169" s="1"/>
      <c r="ALX169" s="1"/>
      <c r="ALY169" s="1"/>
      <c r="ALZ169" s="1"/>
      <c r="AMA169" s="1"/>
      <c r="AMB169" s="1"/>
      <c r="AMC169" s="1"/>
      <c r="AMD169" s="1"/>
      <c r="AME169" s="1"/>
      <c r="AMF169" s="1"/>
      <c r="AMG169" s="1"/>
      <c r="AMH169" s="1"/>
      <c r="AMI169" s="1"/>
      <c r="AMJ169" s="1"/>
    </row>
    <row r="170" customFormat="false" ht="12" hidden="false" customHeight="true" outlineLevel="0" collapsed="false">
      <c r="A170" s="48" t="s">
        <v>312</v>
      </c>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8"/>
      <c r="AN170" s="48"/>
      <c r="AO170" s="48"/>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c r="IY170" s="1"/>
      <c r="IZ170" s="1"/>
      <c r="JA170" s="1"/>
      <c r="JB170" s="1"/>
      <c r="JC170" s="1"/>
      <c r="JD170" s="1"/>
      <c r="JE170" s="1"/>
      <c r="JF170" s="1"/>
      <c r="JG170" s="1"/>
      <c r="JH170" s="1"/>
      <c r="JI170" s="1"/>
      <c r="JJ170" s="1"/>
      <c r="JK170" s="1"/>
      <c r="JL170" s="1"/>
      <c r="JM170" s="1"/>
      <c r="JN170" s="1"/>
      <c r="JO170" s="1"/>
      <c r="JP170" s="1"/>
      <c r="JQ170" s="1"/>
      <c r="JR170" s="1"/>
      <c r="JS170" s="1"/>
      <c r="JT170" s="1"/>
      <c r="JU170" s="1"/>
      <c r="JV170" s="1"/>
      <c r="JW170" s="1"/>
      <c r="JX170" s="1"/>
      <c r="JY170" s="1"/>
      <c r="JZ170" s="1"/>
      <c r="KA170" s="1"/>
      <c r="KB170" s="1"/>
      <c r="KC170" s="1"/>
      <c r="KD170" s="1"/>
      <c r="KE170" s="1"/>
      <c r="KF170" s="1"/>
      <c r="KG170" s="1"/>
      <c r="KH170" s="1"/>
      <c r="KI170" s="1"/>
      <c r="KJ170" s="1"/>
      <c r="KK170" s="1"/>
      <c r="KL170" s="1"/>
      <c r="KM170" s="1"/>
      <c r="KN170" s="1"/>
      <c r="KO170" s="1"/>
      <c r="KP170" s="1"/>
      <c r="KQ170" s="1"/>
      <c r="KR170" s="1"/>
      <c r="KS170" s="1"/>
      <c r="KT170" s="1"/>
      <c r="KU170" s="1"/>
      <c r="KV170" s="1"/>
      <c r="KW170" s="1"/>
      <c r="KX170" s="1"/>
      <c r="KY170" s="1"/>
      <c r="KZ170" s="1"/>
      <c r="LA170" s="1"/>
      <c r="LB170" s="1"/>
      <c r="LC170" s="1"/>
      <c r="LD170" s="1"/>
      <c r="LE170" s="1"/>
      <c r="LF170" s="1"/>
      <c r="LG170" s="1"/>
      <c r="LH170" s="1"/>
      <c r="LI170" s="1"/>
      <c r="LJ170" s="1"/>
      <c r="LK170" s="1"/>
      <c r="LL170" s="1"/>
      <c r="LM170" s="1"/>
      <c r="LN170" s="1"/>
      <c r="LO170" s="1"/>
      <c r="LP170" s="1"/>
      <c r="LQ170" s="1"/>
      <c r="LR170" s="1"/>
      <c r="LS170" s="1"/>
      <c r="LT170" s="1"/>
      <c r="LU170" s="1"/>
      <c r="LV170" s="1"/>
      <c r="LW170" s="1"/>
      <c r="LX170" s="1"/>
      <c r="LY170" s="1"/>
      <c r="LZ170" s="1"/>
      <c r="MA170" s="1"/>
      <c r="MB170" s="1"/>
      <c r="MC170" s="1"/>
      <c r="MD170" s="1"/>
      <c r="ME170" s="1"/>
      <c r="MF170" s="1"/>
      <c r="MG170" s="1"/>
      <c r="MH170" s="1"/>
      <c r="MI170" s="1"/>
      <c r="MJ170" s="1"/>
      <c r="MK170" s="1"/>
      <c r="ML170" s="1"/>
      <c r="MM170" s="1"/>
      <c r="MN170" s="1"/>
      <c r="MO170" s="1"/>
      <c r="MP170" s="1"/>
      <c r="MQ170" s="1"/>
      <c r="MR170" s="1"/>
      <c r="MS170" s="1"/>
      <c r="MT170" s="1"/>
      <c r="MU170" s="1"/>
      <c r="MV170" s="1"/>
      <c r="MW170" s="1"/>
      <c r="MX170" s="1"/>
      <c r="MY170" s="1"/>
      <c r="MZ170" s="1"/>
      <c r="NA170" s="1"/>
      <c r="NB170" s="1"/>
      <c r="NC170" s="1"/>
      <c r="ND170" s="1"/>
      <c r="NE170" s="1"/>
      <c r="NF170" s="1"/>
      <c r="NG170" s="1"/>
      <c r="NH170" s="1"/>
      <c r="NI170" s="1"/>
      <c r="NJ170" s="1"/>
      <c r="NK170" s="1"/>
      <c r="NL170" s="1"/>
      <c r="NM170" s="1"/>
      <c r="NN170" s="1"/>
      <c r="NO170" s="1"/>
      <c r="NP170" s="1"/>
      <c r="NQ170" s="1"/>
      <c r="NR170" s="1"/>
      <c r="NS170" s="1"/>
      <c r="NT170" s="1"/>
      <c r="NU170" s="1"/>
      <c r="NV170" s="1"/>
      <c r="NW170" s="1"/>
      <c r="NX170" s="1"/>
      <c r="NY170" s="1"/>
      <c r="NZ170" s="1"/>
      <c r="OA170" s="1"/>
      <c r="OB170" s="1"/>
      <c r="OC170" s="1"/>
      <c r="OD170" s="1"/>
      <c r="OE170" s="1"/>
      <c r="OF170" s="1"/>
      <c r="OG170" s="1"/>
      <c r="OH170" s="1"/>
      <c r="OI170" s="1"/>
      <c r="OJ170" s="1"/>
      <c r="OK170" s="1"/>
      <c r="OL170" s="1"/>
      <c r="OM170" s="1"/>
      <c r="ON170" s="1"/>
      <c r="OO170" s="1"/>
      <c r="OP170" s="1"/>
      <c r="OQ170" s="1"/>
      <c r="OR170" s="1"/>
      <c r="OS170" s="1"/>
      <c r="OT170" s="1"/>
      <c r="OU170" s="1"/>
      <c r="OV170" s="1"/>
      <c r="OW170" s="1"/>
      <c r="OX170" s="1"/>
      <c r="OY170" s="1"/>
      <c r="OZ170" s="1"/>
      <c r="PA170" s="1"/>
      <c r="PB170" s="1"/>
      <c r="PC170" s="1"/>
      <c r="PD170" s="1"/>
      <c r="PE170" s="1"/>
      <c r="PF170" s="1"/>
      <c r="PG170" s="1"/>
      <c r="PH170" s="1"/>
      <c r="PI170" s="1"/>
      <c r="PJ170" s="1"/>
      <c r="PK170" s="1"/>
      <c r="PL170" s="1"/>
      <c r="PM170" s="1"/>
      <c r="PN170" s="1"/>
      <c r="PO170" s="1"/>
      <c r="PP170" s="1"/>
      <c r="PQ170" s="1"/>
      <c r="PR170" s="1"/>
      <c r="PS170" s="1"/>
      <c r="PT170" s="1"/>
      <c r="PU170" s="1"/>
      <c r="PV170" s="1"/>
      <c r="PW170" s="1"/>
      <c r="PX170" s="1"/>
      <c r="PY170" s="1"/>
      <c r="PZ170" s="1"/>
      <c r="QA170" s="1"/>
      <c r="QB170" s="1"/>
      <c r="QC170" s="1"/>
      <c r="QD170" s="1"/>
      <c r="QE170" s="1"/>
      <c r="QF170" s="1"/>
      <c r="QG170" s="1"/>
      <c r="QH170" s="1"/>
      <c r="QI170" s="1"/>
      <c r="QJ170" s="1"/>
      <c r="QK170" s="1"/>
      <c r="QL170" s="1"/>
      <c r="QM170" s="1"/>
      <c r="QN170" s="1"/>
      <c r="QO170" s="1"/>
      <c r="QP170" s="1"/>
      <c r="QQ170" s="1"/>
      <c r="QR170" s="1"/>
      <c r="QS170" s="1"/>
      <c r="QT170" s="1"/>
      <c r="QU170" s="1"/>
      <c r="QV170" s="1"/>
      <c r="QW170" s="1"/>
      <c r="QX170" s="1"/>
      <c r="QY170" s="1"/>
      <c r="QZ170" s="1"/>
      <c r="RA170" s="1"/>
      <c r="RB170" s="1"/>
      <c r="RC170" s="1"/>
      <c r="RD170" s="1"/>
      <c r="RE170" s="1"/>
      <c r="RF170" s="1"/>
      <c r="RG170" s="1"/>
      <c r="RH170" s="1"/>
      <c r="RI170" s="1"/>
      <c r="RJ170" s="1"/>
      <c r="RK170" s="1"/>
      <c r="RL170" s="1"/>
      <c r="RM170" s="1"/>
      <c r="RN170" s="1"/>
      <c r="RO170" s="1"/>
      <c r="RP170" s="1"/>
      <c r="RQ170" s="1"/>
      <c r="RR170" s="1"/>
      <c r="RS170" s="1"/>
      <c r="RT170" s="1"/>
      <c r="RU170" s="1"/>
      <c r="RV170" s="1"/>
      <c r="RW170" s="1"/>
      <c r="RX170" s="1"/>
      <c r="RY170" s="1"/>
      <c r="RZ170" s="1"/>
      <c r="SA170" s="1"/>
      <c r="SB170" s="1"/>
      <c r="SC170" s="1"/>
      <c r="SD170" s="1"/>
      <c r="SE170" s="1"/>
      <c r="SF170" s="1"/>
      <c r="SG170" s="1"/>
      <c r="SH170" s="1"/>
      <c r="SI170" s="1"/>
      <c r="SJ170" s="1"/>
      <c r="SK170" s="1"/>
      <c r="SL170" s="1"/>
      <c r="SM170" s="1"/>
      <c r="SN170" s="1"/>
      <c r="SO170" s="1"/>
      <c r="SP170" s="1"/>
      <c r="SQ170" s="1"/>
      <c r="SR170" s="1"/>
      <c r="SS170" s="1"/>
      <c r="ST170" s="1"/>
      <c r="SU170" s="1"/>
      <c r="SV170" s="1"/>
      <c r="SW170" s="1"/>
      <c r="SX170" s="1"/>
      <c r="SY170" s="1"/>
      <c r="SZ170" s="1"/>
      <c r="TA170" s="1"/>
      <c r="TB170" s="1"/>
      <c r="TC170" s="1"/>
      <c r="TD170" s="1"/>
      <c r="TE170" s="1"/>
      <c r="TF170" s="1"/>
      <c r="TG170" s="1"/>
      <c r="TH170" s="1"/>
      <c r="TI170" s="1"/>
      <c r="TJ170" s="1"/>
      <c r="TK170" s="1"/>
      <c r="TL170" s="1"/>
      <c r="TM170" s="1"/>
      <c r="TN170" s="1"/>
      <c r="TO170" s="1"/>
      <c r="TP170" s="1"/>
      <c r="TQ170" s="1"/>
      <c r="TR170" s="1"/>
      <c r="TS170" s="1"/>
      <c r="TT170" s="1"/>
      <c r="TU170" s="1"/>
      <c r="TV170" s="1"/>
      <c r="TW170" s="1"/>
      <c r="TX170" s="1"/>
      <c r="TY170" s="1"/>
      <c r="TZ170" s="1"/>
      <c r="UA170" s="1"/>
      <c r="UB170" s="1"/>
      <c r="UC170" s="1"/>
      <c r="UD170" s="1"/>
      <c r="UE170" s="1"/>
      <c r="UF170" s="1"/>
      <c r="UG170" s="1"/>
      <c r="UH170" s="1"/>
      <c r="UI170" s="1"/>
      <c r="UJ170" s="1"/>
      <c r="UK170" s="1"/>
      <c r="UL170" s="1"/>
      <c r="UM170" s="1"/>
      <c r="UN170" s="1"/>
      <c r="UO170" s="1"/>
      <c r="UP170" s="1"/>
      <c r="UQ170" s="1"/>
      <c r="UR170" s="1"/>
      <c r="US170" s="1"/>
      <c r="UT170" s="1"/>
      <c r="UU170" s="1"/>
      <c r="UV170" s="1"/>
      <c r="UW170" s="1"/>
      <c r="UX170" s="1"/>
      <c r="UY170" s="1"/>
      <c r="UZ170" s="1"/>
      <c r="VA170" s="1"/>
      <c r="VB170" s="1"/>
      <c r="VC170" s="1"/>
      <c r="VD170" s="1"/>
      <c r="VE170" s="1"/>
      <c r="VF170" s="1"/>
      <c r="VG170" s="1"/>
      <c r="VH170" s="1"/>
      <c r="VI170" s="1"/>
      <c r="VJ170" s="1"/>
      <c r="VK170" s="1"/>
      <c r="VL170" s="1"/>
      <c r="VM170" s="1"/>
      <c r="VN170" s="1"/>
      <c r="VO170" s="1"/>
      <c r="VP170" s="1"/>
      <c r="VQ170" s="1"/>
      <c r="VR170" s="1"/>
      <c r="VS170" s="1"/>
      <c r="VT170" s="1"/>
      <c r="VU170" s="1"/>
      <c r="VV170" s="1"/>
      <c r="VW170" s="1"/>
      <c r="VX170" s="1"/>
      <c r="VY170" s="1"/>
      <c r="VZ170" s="1"/>
      <c r="WA170" s="1"/>
      <c r="WB170" s="1"/>
      <c r="WC170" s="1"/>
      <c r="WD170" s="1"/>
      <c r="WE170" s="1"/>
      <c r="WF170" s="1"/>
      <c r="WG170" s="1"/>
      <c r="WH170" s="1"/>
      <c r="WI170" s="1"/>
      <c r="WJ170" s="1"/>
      <c r="WK170" s="1"/>
      <c r="WL170" s="1"/>
      <c r="WM170" s="1"/>
      <c r="WN170" s="1"/>
      <c r="WO170" s="1"/>
      <c r="WP170" s="1"/>
      <c r="WQ170" s="1"/>
      <c r="WR170" s="1"/>
      <c r="WS170" s="1"/>
      <c r="WT170" s="1"/>
      <c r="WU170" s="1"/>
      <c r="WV170" s="1"/>
      <c r="WW170" s="1"/>
      <c r="WX170" s="1"/>
      <c r="WY170" s="1"/>
      <c r="WZ170" s="1"/>
      <c r="XA170" s="1"/>
      <c r="XB170" s="1"/>
      <c r="XC170" s="1"/>
      <c r="XD170" s="1"/>
      <c r="XE170" s="1"/>
      <c r="XF170" s="1"/>
      <c r="XG170" s="1"/>
      <c r="XH170" s="1"/>
      <c r="XI170" s="1"/>
      <c r="XJ170" s="1"/>
      <c r="XK170" s="1"/>
      <c r="XL170" s="1"/>
      <c r="XM170" s="1"/>
      <c r="XN170" s="1"/>
      <c r="XO170" s="1"/>
      <c r="XP170" s="1"/>
      <c r="XQ170" s="1"/>
      <c r="XR170" s="1"/>
      <c r="XS170" s="1"/>
      <c r="XT170" s="1"/>
      <c r="XU170" s="1"/>
      <c r="XV170" s="1"/>
      <c r="XW170" s="1"/>
      <c r="XX170" s="1"/>
      <c r="XY170" s="1"/>
      <c r="XZ170" s="1"/>
      <c r="YA170" s="1"/>
      <c r="YB170" s="1"/>
      <c r="YC170" s="1"/>
      <c r="YD170" s="1"/>
      <c r="YE170" s="1"/>
      <c r="YF170" s="1"/>
      <c r="YG170" s="1"/>
      <c r="YH170" s="1"/>
      <c r="YI170" s="1"/>
      <c r="YJ170" s="1"/>
      <c r="YK170" s="1"/>
      <c r="YL170" s="1"/>
      <c r="YM170" s="1"/>
      <c r="YN170" s="1"/>
      <c r="YO170" s="1"/>
      <c r="YP170" s="1"/>
      <c r="YQ170" s="1"/>
      <c r="YR170" s="1"/>
      <c r="YS170" s="1"/>
      <c r="YT170" s="1"/>
      <c r="YU170" s="1"/>
      <c r="YV170" s="1"/>
      <c r="YW170" s="1"/>
      <c r="YX170" s="1"/>
      <c r="YY170" s="1"/>
      <c r="YZ170" s="1"/>
      <c r="ZA170" s="1"/>
      <c r="ZB170" s="1"/>
      <c r="ZC170" s="1"/>
      <c r="ZD170" s="1"/>
      <c r="ZE170" s="1"/>
      <c r="ZF170" s="1"/>
      <c r="ZG170" s="1"/>
      <c r="ZH170" s="1"/>
      <c r="ZI170" s="1"/>
      <c r="ZJ170" s="1"/>
      <c r="ZK170" s="1"/>
      <c r="ZL170" s="1"/>
      <c r="ZM170" s="1"/>
      <c r="ZN170" s="1"/>
      <c r="ZO170" s="1"/>
      <c r="ZP170" s="1"/>
      <c r="ZQ170" s="1"/>
      <c r="ZR170" s="1"/>
      <c r="ZS170" s="1"/>
      <c r="ZT170" s="1"/>
      <c r="ZU170" s="1"/>
      <c r="ZV170" s="1"/>
      <c r="ZW170" s="1"/>
      <c r="ZX170" s="1"/>
      <c r="ZY170" s="1"/>
      <c r="ZZ170" s="1"/>
      <c r="AAA170" s="1"/>
      <c r="AAB170" s="1"/>
      <c r="AAC170" s="1"/>
      <c r="AAD170" s="1"/>
      <c r="AAE170" s="1"/>
      <c r="AAF170" s="1"/>
      <c r="AAG170" s="1"/>
      <c r="AAH170" s="1"/>
      <c r="AAI170" s="1"/>
      <c r="AAJ170" s="1"/>
      <c r="AAK170" s="1"/>
      <c r="AAL170" s="1"/>
      <c r="AAM170" s="1"/>
      <c r="AAN170" s="1"/>
      <c r="AAO170" s="1"/>
      <c r="AAP170" s="1"/>
      <c r="AAQ170" s="1"/>
      <c r="AAR170" s="1"/>
      <c r="AAS170" s="1"/>
      <c r="AAT170" s="1"/>
      <c r="AAU170" s="1"/>
      <c r="AAV170" s="1"/>
      <c r="AAW170" s="1"/>
      <c r="AAX170" s="1"/>
      <c r="AAY170" s="1"/>
      <c r="AAZ170" s="1"/>
      <c r="ABA170" s="1"/>
      <c r="ABB170" s="1"/>
      <c r="ABC170" s="1"/>
      <c r="ABD170" s="1"/>
      <c r="ABE170" s="1"/>
      <c r="ABF170" s="1"/>
      <c r="ABG170" s="1"/>
      <c r="ABH170" s="1"/>
      <c r="ABI170" s="1"/>
      <c r="ABJ170" s="1"/>
      <c r="ABK170" s="1"/>
      <c r="ABL170" s="1"/>
      <c r="ABM170" s="1"/>
      <c r="ABN170" s="1"/>
      <c r="ABO170" s="1"/>
      <c r="ABP170" s="1"/>
      <c r="ABQ170" s="1"/>
      <c r="ABR170" s="1"/>
      <c r="ABS170" s="1"/>
      <c r="ABT170" s="1"/>
      <c r="ABU170" s="1"/>
      <c r="ABV170" s="1"/>
      <c r="ABW170" s="1"/>
      <c r="ABX170" s="1"/>
      <c r="ABY170" s="1"/>
      <c r="ABZ170" s="1"/>
      <c r="ACA170" s="1"/>
      <c r="ACB170" s="1"/>
      <c r="ACC170" s="1"/>
      <c r="ACD170" s="1"/>
      <c r="ACE170" s="1"/>
      <c r="ACF170" s="1"/>
      <c r="ACG170" s="1"/>
      <c r="ACH170" s="1"/>
      <c r="ACI170" s="1"/>
      <c r="ACJ170" s="1"/>
      <c r="ACK170" s="1"/>
      <c r="ACL170" s="1"/>
      <c r="ACM170" s="1"/>
      <c r="ACN170" s="1"/>
      <c r="ACO170" s="1"/>
      <c r="ACP170" s="1"/>
      <c r="ACQ170" s="1"/>
      <c r="ACR170" s="1"/>
      <c r="ACS170" s="1"/>
      <c r="ACT170" s="1"/>
      <c r="ACU170" s="1"/>
      <c r="ACV170" s="1"/>
      <c r="ACW170" s="1"/>
      <c r="ACX170" s="1"/>
      <c r="ACY170" s="1"/>
      <c r="ACZ170" s="1"/>
      <c r="ADA170" s="1"/>
      <c r="ADB170" s="1"/>
      <c r="ADC170" s="1"/>
      <c r="ADD170" s="1"/>
      <c r="ADE170" s="1"/>
      <c r="ADF170" s="1"/>
      <c r="ADG170" s="1"/>
      <c r="ADH170" s="1"/>
      <c r="ADI170" s="1"/>
      <c r="ADJ170" s="1"/>
      <c r="ADK170" s="1"/>
      <c r="ADL170" s="1"/>
      <c r="ADM170" s="1"/>
      <c r="ADN170" s="1"/>
      <c r="ADO170" s="1"/>
      <c r="ADP170" s="1"/>
      <c r="ADQ170" s="1"/>
      <c r="ADR170" s="1"/>
      <c r="ADS170" s="1"/>
      <c r="ADT170" s="1"/>
      <c r="ADU170" s="1"/>
      <c r="ADV170" s="1"/>
      <c r="ADW170" s="1"/>
      <c r="ADX170" s="1"/>
      <c r="ADY170" s="1"/>
      <c r="ADZ170" s="1"/>
      <c r="AEA170" s="1"/>
      <c r="AEB170" s="1"/>
      <c r="AEC170" s="1"/>
      <c r="AED170" s="1"/>
      <c r="AEE170" s="1"/>
      <c r="AEF170" s="1"/>
      <c r="AEG170" s="1"/>
      <c r="AEH170" s="1"/>
      <c r="AEI170" s="1"/>
      <c r="AEJ170" s="1"/>
      <c r="AEK170" s="1"/>
      <c r="AEL170" s="1"/>
      <c r="AEM170" s="1"/>
      <c r="AEN170" s="1"/>
      <c r="AEO170" s="1"/>
      <c r="AEP170" s="1"/>
      <c r="AEQ170" s="1"/>
      <c r="AER170" s="1"/>
      <c r="AES170" s="1"/>
      <c r="AET170" s="1"/>
      <c r="AEU170" s="1"/>
      <c r="AEV170" s="1"/>
      <c r="AEW170" s="1"/>
      <c r="AEX170" s="1"/>
      <c r="AEY170" s="1"/>
      <c r="AEZ170" s="1"/>
      <c r="AFA170" s="1"/>
      <c r="AFB170" s="1"/>
      <c r="AFC170" s="1"/>
      <c r="AFD170" s="1"/>
      <c r="AFE170" s="1"/>
      <c r="AFF170" s="1"/>
      <c r="AFG170" s="1"/>
      <c r="AFH170" s="1"/>
      <c r="AFI170" s="1"/>
      <c r="AFJ170" s="1"/>
      <c r="AFK170" s="1"/>
      <c r="AFL170" s="1"/>
      <c r="AFM170" s="1"/>
      <c r="AFN170" s="1"/>
      <c r="AFO170" s="1"/>
      <c r="AFP170" s="1"/>
      <c r="AFQ170" s="1"/>
      <c r="AFR170" s="1"/>
      <c r="AFS170" s="1"/>
      <c r="AFT170" s="1"/>
      <c r="AFU170" s="1"/>
      <c r="AFV170" s="1"/>
      <c r="AFW170" s="1"/>
      <c r="AFX170" s="1"/>
      <c r="AFY170" s="1"/>
      <c r="AFZ170" s="1"/>
      <c r="AGA170" s="1"/>
      <c r="AGB170" s="1"/>
      <c r="AGC170" s="1"/>
      <c r="AGD170" s="1"/>
      <c r="AGE170" s="1"/>
      <c r="AGF170" s="1"/>
      <c r="AGG170" s="1"/>
      <c r="AGH170" s="1"/>
      <c r="AGI170" s="1"/>
      <c r="AGJ170" s="1"/>
      <c r="AGK170" s="1"/>
      <c r="AGL170" s="1"/>
      <c r="AGM170" s="1"/>
      <c r="AGN170" s="1"/>
      <c r="AGO170" s="1"/>
      <c r="AGP170" s="1"/>
      <c r="AGQ170" s="1"/>
      <c r="AGR170" s="1"/>
      <c r="AGS170" s="1"/>
      <c r="AGT170" s="1"/>
      <c r="AGU170" s="1"/>
      <c r="AGV170" s="1"/>
      <c r="AGW170" s="1"/>
      <c r="AGX170" s="1"/>
      <c r="AGY170" s="1"/>
      <c r="AGZ170" s="1"/>
      <c r="AHA170" s="1"/>
      <c r="AHB170" s="1"/>
      <c r="AHC170" s="1"/>
      <c r="AHD170" s="1"/>
      <c r="AHE170" s="1"/>
      <c r="AHF170" s="1"/>
      <c r="AHG170" s="1"/>
      <c r="AHH170" s="1"/>
      <c r="AHI170" s="1"/>
      <c r="AHJ170" s="1"/>
      <c r="AHK170" s="1"/>
      <c r="AHL170" s="1"/>
      <c r="AHM170" s="1"/>
      <c r="AHN170" s="1"/>
      <c r="AHO170" s="1"/>
      <c r="AHP170" s="1"/>
      <c r="AHQ170" s="1"/>
      <c r="AHR170" s="1"/>
      <c r="AHS170" s="1"/>
      <c r="AHT170" s="1"/>
      <c r="AHU170" s="1"/>
      <c r="AHV170" s="1"/>
      <c r="AHW170" s="1"/>
      <c r="AHX170" s="1"/>
      <c r="AHY170" s="1"/>
      <c r="AHZ170" s="1"/>
      <c r="AIA170" s="1"/>
      <c r="AIB170" s="1"/>
      <c r="AIC170" s="1"/>
      <c r="AID170" s="1"/>
      <c r="AIE170" s="1"/>
      <c r="AIF170" s="1"/>
      <c r="AIG170" s="1"/>
      <c r="AIH170" s="1"/>
      <c r="AII170" s="1"/>
      <c r="AIJ170" s="1"/>
      <c r="AIK170" s="1"/>
      <c r="AIL170" s="1"/>
      <c r="AIM170" s="1"/>
      <c r="AIN170" s="1"/>
      <c r="AIO170" s="1"/>
      <c r="AIP170" s="1"/>
      <c r="AIQ170" s="1"/>
      <c r="AIR170" s="1"/>
      <c r="AIS170" s="1"/>
      <c r="AIT170" s="1"/>
      <c r="AIU170" s="1"/>
      <c r="AIV170" s="1"/>
      <c r="AIW170" s="1"/>
      <c r="AIX170" s="1"/>
      <c r="AIY170" s="1"/>
      <c r="AIZ170" s="1"/>
      <c r="AJA170" s="1"/>
      <c r="AJB170" s="1"/>
      <c r="AJC170" s="1"/>
      <c r="AJD170" s="1"/>
      <c r="AJE170" s="1"/>
      <c r="AJF170" s="1"/>
      <c r="AJG170" s="1"/>
      <c r="AJH170" s="1"/>
      <c r="AJI170" s="1"/>
      <c r="AJJ170" s="1"/>
      <c r="AJK170" s="1"/>
      <c r="AJL170" s="1"/>
      <c r="AJM170" s="1"/>
      <c r="AJN170" s="1"/>
      <c r="AJO170" s="1"/>
      <c r="AJP170" s="1"/>
      <c r="AJQ170" s="1"/>
      <c r="AJR170" s="1"/>
      <c r="AJS170" s="1"/>
      <c r="AJT170" s="1"/>
      <c r="AJU170" s="1"/>
      <c r="AJV170" s="1"/>
      <c r="AJW170" s="1"/>
      <c r="AJX170" s="1"/>
      <c r="AJY170" s="1"/>
      <c r="AJZ170" s="1"/>
      <c r="AKA170" s="1"/>
      <c r="AKB170" s="1"/>
      <c r="AKC170" s="1"/>
      <c r="AKD170" s="1"/>
      <c r="AKE170" s="1"/>
      <c r="AKF170" s="1"/>
      <c r="AKG170" s="1"/>
      <c r="AKH170" s="1"/>
      <c r="AKI170" s="1"/>
      <c r="AKJ170" s="1"/>
      <c r="AKK170" s="1"/>
      <c r="AKL170" s="1"/>
      <c r="AKM170" s="1"/>
      <c r="AKN170" s="1"/>
      <c r="AKO170" s="1"/>
      <c r="AKP170" s="1"/>
      <c r="AKQ170" s="1"/>
      <c r="AKR170" s="1"/>
      <c r="AKS170" s="1"/>
      <c r="AKT170" s="1"/>
      <c r="AKU170" s="1"/>
      <c r="AKV170" s="1"/>
      <c r="AKW170" s="1"/>
      <c r="AKX170" s="1"/>
      <c r="AKY170" s="1"/>
      <c r="AKZ170" s="1"/>
      <c r="ALA170" s="1"/>
      <c r="ALB170" s="1"/>
      <c r="ALC170" s="1"/>
      <c r="ALD170" s="1"/>
      <c r="ALE170" s="1"/>
      <c r="ALF170" s="1"/>
      <c r="ALG170" s="1"/>
      <c r="ALH170" s="1"/>
      <c r="ALI170" s="1"/>
      <c r="ALJ170" s="1"/>
      <c r="ALK170" s="1"/>
      <c r="ALL170" s="1"/>
      <c r="ALM170" s="1"/>
      <c r="ALN170" s="1"/>
      <c r="ALO170" s="1"/>
      <c r="ALP170" s="1"/>
      <c r="ALQ170" s="1"/>
      <c r="ALR170" s="1"/>
      <c r="ALS170" s="1"/>
      <c r="ALT170" s="1"/>
      <c r="ALU170" s="1"/>
      <c r="ALV170" s="1"/>
      <c r="ALW170" s="1"/>
      <c r="ALX170" s="1"/>
      <c r="ALY170" s="1"/>
      <c r="ALZ170" s="1"/>
      <c r="AMA170" s="1"/>
      <c r="AMB170" s="1"/>
      <c r="AMC170" s="1"/>
      <c r="AMD170" s="1"/>
      <c r="AME170" s="1"/>
      <c r="AMF170" s="1"/>
      <c r="AMG170" s="1"/>
      <c r="AMH170" s="1"/>
      <c r="AMI170" s="1"/>
      <c r="AMJ170" s="1"/>
    </row>
    <row r="171" customFormat="false" ht="10.5" hidden="false" customHeight="true" outlineLevel="0" collapsed="false">
      <c r="A171" s="48" t="s">
        <v>313</v>
      </c>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c r="IY171" s="1"/>
      <c r="IZ171" s="1"/>
      <c r="JA171" s="1"/>
      <c r="JB171" s="1"/>
      <c r="JC171" s="1"/>
      <c r="JD171" s="1"/>
      <c r="JE171" s="1"/>
      <c r="JF171" s="1"/>
      <c r="JG171" s="1"/>
      <c r="JH171" s="1"/>
      <c r="JI171" s="1"/>
      <c r="JJ171" s="1"/>
      <c r="JK171" s="1"/>
      <c r="JL171" s="1"/>
      <c r="JM171" s="1"/>
      <c r="JN171" s="1"/>
      <c r="JO171" s="1"/>
      <c r="JP171" s="1"/>
      <c r="JQ171" s="1"/>
      <c r="JR171" s="1"/>
      <c r="JS171" s="1"/>
      <c r="JT171" s="1"/>
      <c r="JU171" s="1"/>
      <c r="JV171" s="1"/>
      <c r="JW171" s="1"/>
      <c r="JX171" s="1"/>
      <c r="JY171" s="1"/>
      <c r="JZ171" s="1"/>
      <c r="KA171" s="1"/>
      <c r="KB171" s="1"/>
      <c r="KC171" s="1"/>
      <c r="KD171" s="1"/>
      <c r="KE171" s="1"/>
      <c r="KF171" s="1"/>
      <c r="KG171" s="1"/>
      <c r="KH171" s="1"/>
      <c r="KI171" s="1"/>
      <c r="KJ171" s="1"/>
      <c r="KK171" s="1"/>
      <c r="KL171" s="1"/>
      <c r="KM171" s="1"/>
      <c r="KN171" s="1"/>
      <c r="KO171" s="1"/>
      <c r="KP171" s="1"/>
      <c r="KQ171" s="1"/>
      <c r="KR171" s="1"/>
      <c r="KS171" s="1"/>
      <c r="KT171" s="1"/>
      <c r="KU171" s="1"/>
      <c r="KV171" s="1"/>
      <c r="KW171" s="1"/>
      <c r="KX171" s="1"/>
      <c r="KY171" s="1"/>
      <c r="KZ171" s="1"/>
      <c r="LA171" s="1"/>
      <c r="LB171" s="1"/>
      <c r="LC171" s="1"/>
      <c r="LD171" s="1"/>
      <c r="LE171" s="1"/>
      <c r="LF171" s="1"/>
      <c r="LG171" s="1"/>
      <c r="LH171" s="1"/>
      <c r="LI171" s="1"/>
      <c r="LJ171" s="1"/>
      <c r="LK171" s="1"/>
      <c r="LL171" s="1"/>
      <c r="LM171" s="1"/>
      <c r="LN171" s="1"/>
      <c r="LO171" s="1"/>
      <c r="LP171" s="1"/>
      <c r="LQ171" s="1"/>
      <c r="LR171" s="1"/>
      <c r="LS171" s="1"/>
      <c r="LT171" s="1"/>
      <c r="LU171" s="1"/>
      <c r="LV171" s="1"/>
      <c r="LW171" s="1"/>
      <c r="LX171" s="1"/>
      <c r="LY171" s="1"/>
      <c r="LZ171" s="1"/>
      <c r="MA171" s="1"/>
      <c r="MB171" s="1"/>
      <c r="MC171" s="1"/>
      <c r="MD171" s="1"/>
      <c r="ME171" s="1"/>
      <c r="MF171" s="1"/>
      <c r="MG171" s="1"/>
      <c r="MH171" s="1"/>
      <c r="MI171" s="1"/>
      <c r="MJ171" s="1"/>
      <c r="MK171" s="1"/>
      <c r="ML171" s="1"/>
      <c r="MM171" s="1"/>
      <c r="MN171" s="1"/>
      <c r="MO171" s="1"/>
      <c r="MP171" s="1"/>
      <c r="MQ171" s="1"/>
      <c r="MR171" s="1"/>
      <c r="MS171" s="1"/>
      <c r="MT171" s="1"/>
      <c r="MU171" s="1"/>
      <c r="MV171" s="1"/>
      <c r="MW171" s="1"/>
      <c r="MX171" s="1"/>
      <c r="MY171" s="1"/>
      <c r="MZ171" s="1"/>
      <c r="NA171" s="1"/>
      <c r="NB171" s="1"/>
      <c r="NC171" s="1"/>
      <c r="ND171" s="1"/>
      <c r="NE171" s="1"/>
      <c r="NF171" s="1"/>
      <c r="NG171" s="1"/>
      <c r="NH171" s="1"/>
      <c r="NI171" s="1"/>
      <c r="NJ171" s="1"/>
      <c r="NK171" s="1"/>
      <c r="NL171" s="1"/>
      <c r="NM171" s="1"/>
      <c r="NN171" s="1"/>
      <c r="NO171" s="1"/>
      <c r="NP171" s="1"/>
      <c r="NQ171" s="1"/>
      <c r="NR171" s="1"/>
      <c r="NS171" s="1"/>
      <c r="NT171" s="1"/>
      <c r="NU171" s="1"/>
      <c r="NV171" s="1"/>
      <c r="NW171" s="1"/>
      <c r="NX171" s="1"/>
      <c r="NY171" s="1"/>
      <c r="NZ171" s="1"/>
      <c r="OA171" s="1"/>
      <c r="OB171" s="1"/>
      <c r="OC171" s="1"/>
      <c r="OD171" s="1"/>
      <c r="OE171" s="1"/>
      <c r="OF171" s="1"/>
      <c r="OG171" s="1"/>
      <c r="OH171" s="1"/>
      <c r="OI171" s="1"/>
      <c r="OJ171" s="1"/>
      <c r="OK171" s="1"/>
      <c r="OL171" s="1"/>
      <c r="OM171" s="1"/>
      <c r="ON171" s="1"/>
      <c r="OO171" s="1"/>
      <c r="OP171" s="1"/>
      <c r="OQ171" s="1"/>
      <c r="OR171" s="1"/>
      <c r="OS171" s="1"/>
      <c r="OT171" s="1"/>
      <c r="OU171" s="1"/>
      <c r="OV171" s="1"/>
      <c r="OW171" s="1"/>
      <c r="OX171" s="1"/>
      <c r="OY171" s="1"/>
      <c r="OZ171" s="1"/>
      <c r="PA171" s="1"/>
      <c r="PB171" s="1"/>
      <c r="PC171" s="1"/>
      <c r="PD171" s="1"/>
      <c r="PE171" s="1"/>
      <c r="PF171" s="1"/>
      <c r="PG171" s="1"/>
      <c r="PH171" s="1"/>
      <c r="PI171" s="1"/>
      <c r="PJ171" s="1"/>
      <c r="PK171" s="1"/>
      <c r="PL171" s="1"/>
      <c r="PM171" s="1"/>
      <c r="PN171" s="1"/>
      <c r="PO171" s="1"/>
      <c r="PP171" s="1"/>
      <c r="PQ171" s="1"/>
      <c r="PR171" s="1"/>
      <c r="PS171" s="1"/>
      <c r="PT171" s="1"/>
      <c r="PU171" s="1"/>
      <c r="PV171" s="1"/>
      <c r="PW171" s="1"/>
      <c r="PX171" s="1"/>
      <c r="PY171" s="1"/>
      <c r="PZ171" s="1"/>
      <c r="QA171" s="1"/>
      <c r="QB171" s="1"/>
      <c r="QC171" s="1"/>
      <c r="QD171" s="1"/>
      <c r="QE171" s="1"/>
      <c r="QF171" s="1"/>
      <c r="QG171" s="1"/>
      <c r="QH171" s="1"/>
      <c r="QI171" s="1"/>
      <c r="QJ171" s="1"/>
      <c r="QK171" s="1"/>
      <c r="QL171" s="1"/>
      <c r="QM171" s="1"/>
      <c r="QN171" s="1"/>
      <c r="QO171" s="1"/>
      <c r="QP171" s="1"/>
      <c r="QQ171" s="1"/>
      <c r="QR171" s="1"/>
      <c r="QS171" s="1"/>
      <c r="QT171" s="1"/>
      <c r="QU171" s="1"/>
      <c r="QV171" s="1"/>
      <c r="QW171" s="1"/>
      <c r="QX171" s="1"/>
      <c r="QY171" s="1"/>
      <c r="QZ171" s="1"/>
      <c r="RA171" s="1"/>
      <c r="RB171" s="1"/>
      <c r="RC171" s="1"/>
      <c r="RD171" s="1"/>
      <c r="RE171" s="1"/>
      <c r="RF171" s="1"/>
      <c r="RG171" s="1"/>
      <c r="RH171" s="1"/>
      <c r="RI171" s="1"/>
      <c r="RJ171" s="1"/>
      <c r="RK171" s="1"/>
      <c r="RL171" s="1"/>
      <c r="RM171" s="1"/>
      <c r="RN171" s="1"/>
      <c r="RO171" s="1"/>
      <c r="RP171" s="1"/>
      <c r="RQ171" s="1"/>
      <c r="RR171" s="1"/>
      <c r="RS171" s="1"/>
      <c r="RT171" s="1"/>
      <c r="RU171" s="1"/>
      <c r="RV171" s="1"/>
      <c r="RW171" s="1"/>
      <c r="RX171" s="1"/>
      <c r="RY171" s="1"/>
      <c r="RZ171" s="1"/>
      <c r="SA171" s="1"/>
      <c r="SB171" s="1"/>
      <c r="SC171" s="1"/>
      <c r="SD171" s="1"/>
      <c r="SE171" s="1"/>
      <c r="SF171" s="1"/>
      <c r="SG171" s="1"/>
      <c r="SH171" s="1"/>
      <c r="SI171" s="1"/>
      <c r="SJ171" s="1"/>
      <c r="SK171" s="1"/>
      <c r="SL171" s="1"/>
      <c r="SM171" s="1"/>
      <c r="SN171" s="1"/>
      <c r="SO171" s="1"/>
      <c r="SP171" s="1"/>
      <c r="SQ171" s="1"/>
      <c r="SR171" s="1"/>
      <c r="SS171" s="1"/>
      <c r="ST171" s="1"/>
      <c r="SU171" s="1"/>
      <c r="SV171" s="1"/>
      <c r="SW171" s="1"/>
      <c r="SX171" s="1"/>
      <c r="SY171" s="1"/>
      <c r="SZ171" s="1"/>
      <c r="TA171" s="1"/>
      <c r="TB171" s="1"/>
      <c r="TC171" s="1"/>
      <c r="TD171" s="1"/>
      <c r="TE171" s="1"/>
      <c r="TF171" s="1"/>
      <c r="TG171" s="1"/>
      <c r="TH171" s="1"/>
      <c r="TI171" s="1"/>
      <c r="TJ171" s="1"/>
      <c r="TK171" s="1"/>
      <c r="TL171" s="1"/>
      <c r="TM171" s="1"/>
      <c r="TN171" s="1"/>
      <c r="TO171" s="1"/>
      <c r="TP171" s="1"/>
      <c r="TQ171" s="1"/>
      <c r="TR171" s="1"/>
      <c r="TS171" s="1"/>
      <c r="TT171" s="1"/>
      <c r="TU171" s="1"/>
      <c r="TV171" s="1"/>
      <c r="TW171" s="1"/>
      <c r="TX171" s="1"/>
      <c r="TY171" s="1"/>
      <c r="TZ171" s="1"/>
      <c r="UA171" s="1"/>
      <c r="UB171" s="1"/>
      <c r="UC171" s="1"/>
      <c r="UD171" s="1"/>
      <c r="UE171" s="1"/>
      <c r="UF171" s="1"/>
      <c r="UG171" s="1"/>
      <c r="UH171" s="1"/>
      <c r="UI171" s="1"/>
      <c r="UJ171" s="1"/>
      <c r="UK171" s="1"/>
      <c r="UL171" s="1"/>
      <c r="UM171" s="1"/>
      <c r="UN171" s="1"/>
      <c r="UO171" s="1"/>
      <c r="UP171" s="1"/>
      <c r="UQ171" s="1"/>
      <c r="UR171" s="1"/>
      <c r="US171" s="1"/>
      <c r="UT171" s="1"/>
      <c r="UU171" s="1"/>
      <c r="UV171" s="1"/>
      <c r="UW171" s="1"/>
      <c r="UX171" s="1"/>
      <c r="UY171" s="1"/>
      <c r="UZ171" s="1"/>
      <c r="VA171" s="1"/>
      <c r="VB171" s="1"/>
      <c r="VC171" s="1"/>
      <c r="VD171" s="1"/>
      <c r="VE171" s="1"/>
      <c r="VF171" s="1"/>
      <c r="VG171" s="1"/>
      <c r="VH171" s="1"/>
      <c r="VI171" s="1"/>
      <c r="VJ171" s="1"/>
      <c r="VK171" s="1"/>
      <c r="VL171" s="1"/>
      <c r="VM171" s="1"/>
      <c r="VN171" s="1"/>
      <c r="VO171" s="1"/>
      <c r="VP171" s="1"/>
      <c r="VQ171" s="1"/>
      <c r="VR171" s="1"/>
      <c r="VS171" s="1"/>
      <c r="VT171" s="1"/>
      <c r="VU171" s="1"/>
      <c r="VV171" s="1"/>
      <c r="VW171" s="1"/>
      <c r="VX171" s="1"/>
      <c r="VY171" s="1"/>
      <c r="VZ171" s="1"/>
      <c r="WA171" s="1"/>
      <c r="WB171" s="1"/>
      <c r="WC171" s="1"/>
      <c r="WD171" s="1"/>
      <c r="WE171" s="1"/>
      <c r="WF171" s="1"/>
      <c r="WG171" s="1"/>
      <c r="WH171" s="1"/>
      <c r="WI171" s="1"/>
      <c r="WJ171" s="1"/>
      <c r="WK171" s="1"/>
      <c r="WL171" s="1"/>
      <c r="WM171" s="1"/>
      <c r="WN171" s="1"/>
      <c r="WO171" s="1"/>
      <c r="WP171" s="1"/>
      <c r="WQ171" s="1"/>
      <c r="WR171" s="1"/>
      <c r="WS171" s="1"/>
      <c r="WT171" s="1"/>
      <c r="WU171" s="1"/>
      <c r="WV171" s="1"/>
      <c r="WW171" s="1"/>
      <c r="WX171" s="1"/>
      <c r="WY171" s="1"/>
      <c r="WZ171" s="1"/>
      <c r="XA171" s="1"/>
      <c r="XB171" s="1"/>
      <c r="XC171" s="1"/>
      <c r="XD171" s="1"/>
      <c r="XE171" s="1"/>
      <c r="XF171" s="1"/>
      <c r="XG171" s="1"/>
      <c r="XH171" s="1"/>
      <c r="XI171" s="1"/>
      <c r="XJ171" s="1"/>
      <c r="XK171" s="1"/>
      <c r="XL171" s="1"/>
      <c r="XM171" s="1"/>
      <c r="XN171" s="1"/>
      <c r="XO171" s="1"/>
      <c r="XP171" s="1"/>
      <c r="XQ171" s="1"/>
      <c r="XR171" s="1"/>
      <c r="XS171" s="1"/>
      <c r="XT171" s="1"/>
      <c r="XU171" s="1"/>
      <c r="XV171" s="1"/>
      <c r="XW171" s="1"/>
      <c r="XX171" s="1"/>
      <c r="XY171" s="1"/>
      <c r="XZ171" s="1"/>
      <c r="YA171" s="1"/>
      <c r="YB171" s="1"/>
      <c r="YC171" s="1"/>
      <c r="YD171" s="1"/>
      <c r="YE171" s="1"/>
      <c r="YF171" s="1"/>
      <c r="YG171" s="1"/>
      <c r="YH171" s="1"/>
      <c r="YI171" s="1"/>
      <c r="YJ171" s="1"/>
      <c r="YK171" s="1"/>
      <c r="YL171" s="1"/>
      <c r="YM171" s="1"/>
      <c r="YN171" s="1"/>
      <c r="YO171" s="1"/>
      <c r="YP171" s="1"/>
      <c r="YQ171" s="1"/>
      <c r="YR171" s="1"/>
      <c r="YS171" s="1"/>
      <c r="YT171" s="1"/>
      <c r="YU171" s="1"/>
      <c r="YV171" s="1"/>
      <c r="YW171" s="1"/>
      <c r="YX171" s="1"/>
      <c r="YY171" s="1"/>
      <c r="YZ171" s="1"/>
      <c r="ZA171" s="1"/>
      <c r="ZB171" s="1"/>
      <c r="ZC171" s="1"/>
      <c r="ZD171" s="1"/>
      <c r="ZE171" s="1"/>
      <c r="ZF171" s="1"/>
      <c r="ZG171" s="1"/>
      <c r="ZH171" s="1"/>
      <c r="ZI171" s="1"/>
      <c r="ZJ171" s="1"/>
      <c r="ZK171" s="1"/>
      <c r="ZL171" s="1"/>
      <c r="ZM171" s="1"/>
      <c r="ZN171" s="1"/>
      <c r="ZO171" s="1"/>
      <c r="ZP171" s="1"/>
      <c r="ZQ171" s="1"/>
      <c r="ZR171" s="1"/>
      <c r="ZS171" s="1"/>
      <c r="ZT171" s="1"/>
      <c r="ZU171" s="1"/>
      <c r="ZV171" s="1"/>
      <c r="ZW171" s="1"/>
      <c r="ZX171" s="1"/>
      <c r="ZY171" s="1"/>
      <c r="ZZ171" s="1"/>
      <c r="AAA171" s="1"/>
      <c r="AAB171" s="1"/>
      <c r="AAC171" s="1"/>
      <c r="AAD171" s="1"/>
      <c r="AAE171" s="1"/>
      <c r="AAF171" s="1"/>
      <c r="AAG171" s="1"/>
      <c r="AAH171" s="1"/>
      <c r="AAI171" s="1"/>
      <c r="AAJ171" s="1"/>
      <c r="AAK171" s="1"/>
      <c r="AAL171" s="1"/>
      <c r="AAM171" s="1"/>
      <c r="AAN171" s="1"/>
      <c r="AAO171" s="1"/>
      <c r="AAP171" s="1"/>
      <c r="AAQ171" s="1"/>
      <c r="AAR171" s="1"/>
      <c r="AAS171" s="1"/>
      <c r="AAT171" s="1"/>
      <c r="AAU171" s="1"/>
      <c r="AAV171" s="1"/>
      <c r="AAW171" s="1"/>
      <c r="AAX171" s="1"/>
      <c r="AAY171" s="1"/>
      <c r="AAZ171" s="1"/>
      <c r="ABA171" s="1"/>
      <c r="ABB171" s="1"/>
      <c r="ABC171" s="1"/>
      <c r="ABD171" s="1"/>
      <c r="ABE171" s="1"/>
      <c r="ABF171" s="1"/>
      <c r="ABG171" s="1"/>
      <c r="ABH171" s="1"/>
      <c r="ABI171" s="1"/>
      <c r="ABJ171" s="1"/>
      <c r="ABK171" s="1"/>
      <c r="ABL171" s="1"/>
      <c r="ABM171" s="1"/>
      <c r="ABN171" s="1"/>
      <c r="ABO171" s="1"/>
      <c r="ABP171" s="1"/>
      <c r="ABQ171" s="1"/>
      <c r="ABR171" s="1"/>
      <c r="ABS171" s="1"/>
      <c r="ABT171" s="1"/>
      <c r="ABU171" s="1"/>
      <c r="ABV171" s="1"/>
      <c r="ABW171" s="1"/>
      <c r="ABX171" s="1"/>
      <c r="ABY171" s="1"/>
      <c r="ABZ171" s="1"/>
      <c r="ACA171" s="1"/>
      <c r="ACB171" s="1"/>
      <c r="ACC171" s="1"/>
      <c r="ACD171" s="1"/>
      <c r="ACE171" s="1"/>
      <c r="ACF171" s="1"/>
      <c r="ACG171" s="1"/>
      <c r="ACH171" s="1"/>
      <c r="ACI171" s="1"/>
      <c r="ACJ171" s="1"/>
      <c r="ACK171" s="1"/>
      <c r="ACL171" s="1"/>
      <c r="ACM171" s="1"/>
      <c r="ACN171" s="1"/>
      <c r="ACO171" s="1"/>
      <c r="ACP171" s="1"/>
      <c r="ACQ171" s="1"/>
      <c r="ACR171" s="1"/>
      <c r="ACS171" s="1"/>
      <c r="ACT171" s="1"/>
      <c r="ACU171" s="1"/>
      <c r="ACV171" s="1"/>
      <c r="ACW171" s="1"/>
      <c r="ACX171" s="1"/>
      <c r="ACY171" s="1"/>
      <c r="ACZ171" s="1"/>
      <c r="ADA171" s="1"/>
      <c r="ADB171" s="1"/>
      <c r="ADC171" s="1"/>
      <c r="ADD171" s="1"/>
      <c r="ADE171" s="1"/>
      <c r="ADF171" s="1"/>
      <c r="ADG171" s="1"/>
      <c r="ADH171" s="1"/>
      <c r="ADI171" s="1"/>
      <c r="ADJ171" s="1"/>
      <c r="ADK171" s="1"/>
      <c r="ADL171" s="1"/>
      <c r="ADM171" s="1"/>
      <c r="ADN171" s="1"/>
      <c r="ADO171" s="1"/>
      <c r="ADP171" s="1"/>
      <c r="ADQ171" s="1"/>
      <c r="ADR171" s="1"/>
      <c r="ADS171" s="1"/>
      <c r="ADT171" s="1"/>
      <c r="ADU171" s="1"/>
      <c r="ADV171" s="1"/>
      <c r="ADW171" s="1"/>
      <c r="ADX171" s="1"/>
      <c r="ADY171" s="1"/>
      <c r="ADZ171" s="1"/>
      <c r="AEA171" s="1"/>
      <c r="AEB171" s="1"/>
      <c r="AEC171" s="1"/>
      <c r="AED171" s="1"/>
      <c r="AEE171" s="1"/>
      <c r="AEF171" s="1"/>
      <c r="AEG171" s="1"/>
      <c r="AEH171" s="1"/>
      <c r="AEI171" s="1"/>
      <c r="AEJ171" s="1"/>
      <c r="AEK171" s="1"/>
      <c r="AEL171" s="1"/>
      <c r="AEM171" s="1"/>
      <c r="AEN171" s="1"/>
      <c r="AEO171" s="1"/>
      <c r="AEP171" s="1"/>
      <c r="AEQ171" s="1"/>
      <c r="AER171" s="1"/>
      <c r="AES171" s="1"/>
      <c r="AET171" s="1"/>
      <c r="AEU171" s="1"/>
      <c r="AEV171" s="1"/>
      <c r="AEW171" s="1"/>
      <c r="AEX171" s="1"/>
      <c r="AEY171" s="1"/>
      <c r="AEZ171" s="1"/>
      <c r="AFA171" s="1"/>
      <c r="AFB171" s="1"/>
      <c r="AFC171" s="1"/>
      <c r="AFD171" s="1"/>
      <c r="AFE171" s="1"/>
      <c r="AFF171" s="1"/>
      <c r="AFG171" s="1"/>
      <c r="AFH171" s="1"/>
      <c r="AFI171" s="1"/>
      <c r="AFJ171" s="1"/>
      <c r="AFK171" s="1"/>
      <c r="AFL171" s="1"/>
      <c r="AFM171" s="1"/>
      <c r="AFN171" s="1"/>
      <c r="AFO171" s="1"/>
      <c r="AFP171" s="1"/>
      <c r="AFQ171" s="1"/>
      <c r="AFR171" s="1"/>
      <c r="AFS171" s="1"/>
      <c r="AFT171" s="1"/>
      <c r="AFU171" s="1"/>
      <c r="AFV171" s="1"/>
      <c r="AFW171" s="1"/>
      <c r="AFX171" s="1"/>
      <c r="AFY171" s="1"/>
      <c r="AFZ171" s="1"/>
      <c r="AGA171" s="1"/>
      <c r="AGB171" s="1"/>
      <c r="AGC171" s="1"/>
      <c r="AGD171" s="1"/>
      <c r="AGE171" s="1"/>
      <c r="AGF171" s="1"/>
      <c r="AGG171" s="1"/>
      <c r="AGH171" s="1"/>
      <c r="AGI171" s="1"/>
      <c r="AGJ171" s="1"/>
      <c r="AGK171" s="1"/>
      <c r="AGL171" s="1"/>
      <c r="AGM171" s="1"/>
      <c r="AGN171" s="1"/>
      <c r="AGO171" s="1"/>
      <c r="AGP171" s="1"/>
      <c r="AGQ171" s="1"/>
      <c r="AGR171" s="1"/>
      <c r="AGS171" s="1"/>
      <c r="AGT171" s="1"/>
      <c r="AGU171" s="1"/>
      <c r="AGV171" s="1"/>
      <c r="AGW171" s="1"/>
      <c r="AGX171" s="1"/>
      <c r="AGY171" s="1"/>
      <c r="AGZ171" s="1"/>
      <c r="AHA171" s="1"/>
      <c r="AHB171" s="1"/>
      <c r="AHC171" s="1"/>
      <c r="AHD171" s="1"/>
      <c r="AHE171" s="1"/>
      <c r="AHF171" s="1"/>
      <c r="AHG171" s="1"/>
      <c r="AHH171" s="1"/>
      <c r="AHI171" s="1"/>
      <c r="AHJ171" s="1"/>
      <c r="AHK171" s="1"/>
      <c r="AHL171" s="1"/>
      <c r="AHM171" s="1"/>
      <c r="AHN171" s="1"/>
      <c r="AHO171" s="1"/>
      <c r="AHP171" s="1"/>
      <c r="AHQ171" s="1"/>
      <c r="AHR171" s="1"/>
      <c r="AHS171" s="1"/>
      <c r="AHT171" s="1"/>
      <c r="AHU171" s="1"/>
      <c r="AHV171" s="1"/>
      <c r="AHW171" s="1"/>
      <c r="AHX171" s="1"/>
      <c r="AHY171" s="1"/>
      <c r="AHZ171" s="1"/>
      <c r="AIA171" s="1"/>
      <c r="AIB171" s="1"/>
      <c r="AIC171" s="1"/>
      <c r="AID171" s="1"/>
      <c r="AIE171" s="1"/>
      <c r="AIF171" s="1"/>
      <c r="AIG171" s="1"/>
      <c r="AIH171" s="1"/>
      <c r="AII171" s="1"/>
      <c r="AIJ171" s="1"/>
      <c r="AIK171" s="1"/>
      <c r="AIL171" s="1"/>
      <c r="AIM171" s="1"/>
      <c r="AIN171" s="1"/>
      <c r="AIO171" s="1"/>
      <c r="AIP171" s="1"/>
      <c r="AIQ171" s="1"/>
      <c r="AIR171" s="1"/>
      <c r="AIS171" s="1"/>
      <c r="AIT171" s="1"/>
      <c r="AIU171" s="1"/>
      <c r="AIV171" s="1"/>
      <c r="AIW171" s="1"/>
      <c r="AIX171" s="1"/>
      <c r="AIY171" s="1"/>
      <c r="AIZ171" s="1"/>
      <c r="AJA171" s="1"/>
      <c r="AJB171" s="1"/>
      <c r="AJC171" s="1"/>
      <c r="AJD171" s="1"/>
      <c r="AJE171" s="1"/>
      <c r="AJF171" s="1"/>
      <c r="AJG171" s="1"/>
      <c r="AJH171" s="1"/>
      <c r="AJI171" s="1"/>
      <c r="AJJ171" s="1"/>
      <c r="AJK171" s="1"/>
      <c r="AJL171" s="1"/>
      <c r="AJM171" s="1"/>
      <c r="AJN171" s="1"/>
      <c r="AJO171" s="1"/>
      <c r="AJP171" s="1"/>
      <c r="AJQ171" s="1"/>
      <c r="AJR171" s="1"/>
      <c r="AJS171" s="1"/>
      <c r="AJT171" s="1"/>
      <c r="AJU171" s="1"/>
      <c r="AJV171" s="1"/>
      <c r="AJW171" s="1"/>
      <c r="AJX171" s="1"/>
      <c r="AJY171" s="1"/>
      <c r="AJZ171" s="1"/>
      <c r="AKA171" s="1"/>
      <c r="AKB171" s="1"/>
      <c r="AKC171" s="1"/>
      <c r="AKD171" s="1"/>
      <c r="AKE171" s="1"/>
      <c r="AKF171" s="1"/>
      <c r="AKG171" s="1"/>
      <c r="AKH171" s="1"/>
      <c r="AKI171" s="1"/>
      <c r="AKJ171" s="1"/>
      <c r="AKK171" s="1"/>
      <c r="AKL171" s="1"/>
      <c r="AKM171" s="1"/>
      <c r="AKN171" s="1"/>
      <c r="AKO171" s="1"/>
      <c r="AKP171" s="1"/>
      <c r="AKQ171" s="1"/>
      <c r="AKR171" s="1"/>
      <c r="AKS171" s="1"/>
      <c r="AKT171" s="1"/>
      <c r="AKU171" s="1"/>
      <c r="AKV171" s="1"/>
      <c r="AKW171" s="1"/>
      <c r="AKX171" s="1"/>
      <c r="AKY171" s="1"/>
      <c r="AKZ171" s="1"/>
      <c r="ALA171" s="1"/>
      <c r="ALB171" s="1"/>
      <c r="ALC171" s="1"/>
      <c r="ALD171" s="1"/>
      <c r="ALE171" s="1"/>
      <c r="ALF171" s="1"/>
      <c r="ALG171" s="1"/>
      <c r="ALH171" s="1"/>
      <c r="ALI171" s="1"/>
      <c r="ALJ171" s="1"/>
      <c r="ALK171" s="1"/>
      <c r="ALL171" s="1"/>
      <c r="ALM171" s="1"/>
      <c r="ALN171" s="1"/>
      <c r="ALO171" s="1"/>
      <c r="ALP171" s="1"/>
      <c r="ALQ171" s="1"/>
      <c r="ALR171" s="1"/>
      <c r="ALS171" s="1"/>
      <c r="ALT171" s="1"/>
      <c r="ALU171" s="1"/>
      <c r="ALV171" s="1"/>
      <c r="ALW171" s="1"/>
      <c r="ALX171" s="1"/>
      <c r="ALY171" s="1"/>
      <c r="ALZ171" s="1"/>
      <c r="AMA171" s="1"/>
      <c r="AMB171" s="1"/>
      <c r="AMC171" s="1"/>
      <c r="AMD171" s="1"/>
      <c r="AME171" s="1"/>
      <c r="AMF171" s="1"/>
      <c r="AMG171" s="1"/>
      <c r="AMH171" s="1"/>
      <c r="AMI171" s="1"/>
      <c r="AMJ171" s="1"/>
    </row>
    <row r="172" customFormat="false" ht="10.5" hidden="false" customHeight="true" outlineLevel="0" collapsed="false">
      <c r="A172" s="136" t="s">
        <v>290</v>
      </c>
      <c r="B172" s="136"/>
      <c r="C172" s="136"/>
      <c r="D172" s="136"/>
      <c r="E172" s="136"/>
      <c r="F172" s="219" t="s">
        <v>314</v>
      </c>
      <c r="G172" s="219"/>
      <c r="H172" s="219"/>
      <c r="I172" s="219"/>
      <c r="J172" s="219"/>
      <c r="K172" s="219"/>
      <c r="L172" s="219"/>
      <c r="M172" s="219"/>
      <c r="N172" s="219"/>
      <c r="O172" s="219"/>
      <c r="P172" s="219" t="s">
        <v>315</v>
      </c>
      <c r="Q172" s="219"/>
      <c r="R172" s="219"/>
      <c r="S172" s="219"/>
      <c r="T172" s="219"/>
      <c r="U172" s="219"/>
      <c r="V172" s="219"/>
      <c r="W172" s="219"/>
      <c r="X172" s="219"/>
      <c r="Y172" s="219"/>
      <c r="Z172" s="219" t="s">
        <v>316</v>
      </c>
      <c r="AA172" s="219"/>
      <c r="AB172" s="219"/>
      <c r="AC172" s="219"/>
      <c r="AD172" s="219" t="s">
        <v>317</v>
      </c>
      <c r="AE172" s="219"/>
      <c r="AF172" s="219"/>
      <c r="AG172" s="220" t="s">
        <v>318</v>
      </c>
      <c r="AH172" s="220"/>
      <c r="AI172" s="220"/>
      <c r="AJ172" s="220"/>
      <c r="AK172" s="220"/>
      <c r="AL172" s="220"/>
      <c r="AM172" s="220"/>
      <c r="AN172" s="220"/>
      <c r="AO172" s="220"/>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c r="IY172" s="1"/>
      <c r="IZ172" s="1"/>
      <c r="JA172" s="1"/>
      <c r="JB172" s="1"/>
      <c r="JC172" s="1"/>
      <c r="JD172" s="1"/>
      <c r="JE172" s="1"/>
      <c r="JF172" s="1"/>
      <c r="JG172" s="1"/>
      <c r="JH172" s="1"/>
      <c r="JI172" s="1"/>
      <c r="JJ172" s="1"/>
      <c r="JK172" s="1"/>
      <c r="JL172" s="1"/>
      <c r="JM172" s="1"/>
      <c r="JN172" s="1"/>
      <c r="JO172" s="1"/>
      <c r="JP172" s="1"/>
      <c r="JQ172" s="1"/>
      <c r="JR172" s="1"/>
      <c r="JS172" s="1"/>
      <c r="JT172" s="1"/>
      <c r="JU172" s="1"/>
      <c r="JV172" s="1"/>
      <c r="JW172" s="1"/>
      <c r="JX172" s="1"/>
      <c r="JY172" s="1"/>
      <c r="JZ172" s="1"/>
      <c r="KA172" s="1"/>
      <c r="KB172" s="1"/>
      <c r="KC172" s="1"/>
      <c r="KD172" s="1"/>
      <c r="KE172" s="1"/>
      <c r="KF172" s="1"/>
      <c r="KG172" s="1"/>
      <c r="KH172" s="1"/>
      <c r="KI172" s="1"/>
      <c r="KJ172" s="1"/>
      <c r="KK172" s="1"/>
      <c r="KL172" s="1"/>
      <c r="KM172" s="1"/>
      <c r="KN172" s="1"/>
      <c r="KO172" s="1"/>
      <c r="KP172" s="1"/>
      <c r="KQ172" s="1"/>
      <c r="KR172" s="1"/>
      <c r="KS172" s="1"/>
      <c r="KT172" s="1"/>
      <c r="KU172" s="1"/>
      <c r="KV172" s="1"/>
      <c r="KW172" s="1"/>
      <c r="KX172" s="1"/>
      <c r="KY172" s="1"/>
      <c r="KZ172" s="1"/>
      <c r="LA172" s="1"/>
      <c r="LB172" s="1"/>
      <c r="LC172" s="1"/>
      <c r="LD172" s="1"/>
      <c r="LE172" s="1"/>
      <c r="LF172" s="1"/>
      <c r="LG172" s="1"/>
      <c r="LH172" s="1"/>
      <c r="LI172" s="1"/>
      <c r="LJ172" s="1"/>
      <c r="LK172" s="1"/>
      <c r="LL172" s="1"/>
      <c r="LM172" s="1"/>
      <c r="LN172" s="1"/>
      <c r="LO172" s="1"/>
      <c r="LP172" s="1"/>
      <c r="LQ172" s="1"/>
      <c r="LR172" s="1"/>
      <c r="LS172" s="1"/>
      <c r="LT172" s="1"/>
      <c r="LU172" s="1"/>
      <c r="LV172" s="1"/>
      <c r="LW172" s="1"/>
      <c r="LX172" s="1"/>
      <c r="LY172" s="1"/>
      <c r="LZ172" s="1"/>
      <c r="MA172" s="1"/>
      <c r="MB172" s="1"/>
      <c r="MC172" s="1"/>
      <c r="MD172" s="1"/>
      <c r="ME172" s="1"/>
      <c r="MF172" s="1"/>
      <c r="MG172" s="1"/>
      <c r="MH172" s="1"/>
      <c r="MI172" s="1"/>
      <c r="MJ172" s="1"/>
      <c r="MK172" s="1"/>
      <c r="ML172" s="1"/>
      <c r="MM172" s="1"/>
      <c r="MN172" s="1"/>
      <c r="MO172" s="1"/>
      <c r="MP172" s="1"/>
      <c r="MQ172" s="1"/>
      <c r="MR172" s="1"/>
      <c r="MS172" s="1"/>
      <c r="MT172" s="1"/>
      <c r="MU172" s="1"/>
      <c r="MV172" s="1"/>
      <c r="MW172" s="1"/>
      <c r="MX172" s="1"/>
      <c r="MY172" s="1"/>
      <c r="MZ172" s="1"/>
      <c r="NA172" s="1"/>
      <c r="NB172" s="1"/>
      <c r="NC172" s="1"/>
      <c r="ND172" s="1"/>
      <c r="NE172" s="1"/>
      <c r="NF172" s="1"/>
      <c r="NG172" s="1"/>
      <c r="NH172" s="1"/>
      <c r="NI172" s="1"/>
      <c r="NJ172" s="1"/>
      <c r="NK172" s="1"/>
      <c r="NL172" s="1"/>
      <c r="NM172" s="1"/>
      <c r="NN172" s="1"/>
      <c r="NO172" s="1"/>
      <c r="NP172" s="1"/>
      <c r="NQ172" s="1"/>
      <c r="NR172" s="1"/>
      <c r="NS172" s="1"/>
      <c r="NT172" s="1"/>
      <c r="NU172" s="1"/>
      <c r="NV172" s="1"/>
      <c r="NW172" s="1"/>
      <c r="NX172" s="1"/>
      <c r="NY172" s="1"/>
      <c r="NZ172" s="1"/>
      <c r="OA172" s="1"/>
      <c r="OB172" s="1"/>
      <c r="OC172" s="1"/>
      <c r="OD172" s="1"/>
      <c r="OE172" s="1"/>
      <c r="OF172" s="1"/>
      <c r="OG172" s="1"/>
      <c r="OH172" s="1"/>
      <c r="OI172" s="1"/>
      <c r="OJ172" s="1"/>
      <c r="OK172" s="1"/>
      <c r="OL172" s="1"/>
      <c r="OM172" s="1"/>
      <c r="ON172" s="1"/>
      <c r="OO172" s="1"/>
      <c r="OP172" s="1"/>
      <c r="OQ172" s="1"/>
      <c r="OR172" s="1"/>
      <c r="OS172" s="1"/>
      <c r="OT172" s="1"/>
      <c r="OU172" s="1"/>
      <c r="OV172" s="1"/>
      <c r="OW172" s="1"/>
      <c r="OX172" s="1"/>
      <c r="OY172" s="1"/>
      <c r="OZ172" s="1"/>
      <c r="PA172" s="1"/>
      <c r="PB172" s="1"/>
      <c r="PC172" s="1"/>
      <c r="PD172" s="1"/>
      <c r="PE172" s="1"/>
      <c r="PF172" s="1"/>
      <c r="PG172" s="1"/>
      <c r="PH172" s="1"/>
      <c r="PI172" s="1"/>
      <c r="PJ172" s="1"/>
      <c r="PK172" s="1"/>
      <c r="PL172" s="1"/>
      <c r="PM172" s="1"/>
      <c r="PN172" s="1"/>
      <c r="PO172" s="1"/>
      <c r="PP172" s="1"/>
      <c r="PQ172" s="1"/>
      <c r="PR172" s="1"/>
      <c r="PS172" s="1"/>
      <c r="PT172" s="1"/>
      <c r="PU172" s="1"/>
      <c r="PV172" s="1"/>
      <c r="PW172" s="1"/>
      <c r="PX172" s="1"/>
      <c r="PY172" s="1"/>
      <c r="PZ172" s="1"/>
      <c r="QA172" s="1"/>
      <c r="QB172" s="1"/>
      <c r="QC172" s="1"/>
      <c r="QD172" s="1"/>
      <c r="QE172" s="1"/>
      <c r="QF172" s="1"/>
      <c r="QG172" s="1"/>
      <c r="QH172" s="1"/>
      <c r="QI172" s="1"/>
      <c r="QJ172" s="1"/>
      <c r="QK172" s="1"/>
      <c r="QL172" s="1"/>
      <c r="QM172" s="1"/>
      <c r="QN172" s="1"/>
      <c r="QO172" s="1"/>
      <c r="QP172" s="1"/>
      <c r="QQ172" s="1"/>
      <c r="QR172" s="1"/>
      <c r="QS172" s="1"/>
      <c r="QT172" s="1"/>
      <c r="QU172" s="1"/>
      <c r="QV172" s="1"/>
      <c r="QW172" s="1"/>
      <c r="QX172" s="1"/>
      <c r="QY172" s="1"/>
      <c r="QZ172" s="1"/>
      <c r="RA172" s="1"/>
      <c r="RB172" s="1"/>
      <c r="RC172" s="1"/>
      <c r="RD172" s="1"/>
      <c r="RE172" s="1"/>
      <c r="RF172" s="1"/>
      <c r="RG172" s="1"/>
      <c r="RH172" s="1"/>
      <c r="RI172" s="1"/>
      <c r="RJ172" s="1"/>
      <c r="RK172" s="1"/>
      <c r="RL172" s="1"/>
      <c r="RM172" s="1"/>
      <c r="RN172" s="1"/>
      <c r="RO172" s="1"/>
      <c r="RP172" s="1"/>
      <c r="RQ172" s="1"/>
      <c r="RR172" s="1"/>
      <c r="RS172" s="1"/>
      <c r="RT172" s="1"/>
      <c r="RU172" s="1"/>
      <c r="RV172" s="1"/>
      <c r="RW172" s="1"/>
      <c r="RX172" s="1"/>
      <c r="RY172" s="1"/>
      <c r="RZ172" s="1"/>
      <c r="SA172" s="1"/>
      <c r="SB172" s="1"/>
      <c r="SC172" s="1"/>
      <c r="SD172" s="1"/>
      <c r="SE172" s="1"/>
      <c r="SF172" s="1"/>
      <c r="SG172" s="1"/>
      <c r="SH172" s="1"/>
      <c r="SI172" s="1"/>
      <c r="SJ172" s="1"/>
      <c r="SK172" s="1"/>
      <c r="SL172" s="1"/>
      <c r="SM172" s="1"/>
      <c r="SN172" s="1"/>
      <c r="SO172" s="1"/>
      <c r="SP172" s="1"/>
      <c r="SQ172" s="1"/>
      <c r="SR172" s="1"/>
      <c r="SS172" s="1"/>
      <c r="ST172" s="1"/>
      <c r="SU172" s="1"/>
      <c r="SV172" s="1"/>
      <c r="SW172" s="1"/>
      <c r="SX172" s="1"/>
      <c r="SY172" s="1"/>
      <c r="SZ172" s="1"/>
      <c r="TA172" s="1"/>
      <c r="TB172" s="1"/>
      <c r="TC172" s="1"/>
      <c r="TD172" s="1"/>
      <c r="TE172" s="1"/>
      <c r="TF172" s="1"/>
      <c r="TG172" s="1"/>
      <c r="TH172" s="1"/>
      <c r="TI172" s="1"/>
      <c r="TJ172" s="1"/>
      <c r="TK172" s="1"/>
      <c r="TL172" s="1"/>
      <c r="TM172" s="1"/>
      <c r="TN172" s="1"/>
      <c r="TO172" s="1"/>
      <c r="TP172" s="1"/>
      <c r="TQ172" s="1"/>
      <c r="TR172" s="1"/>
      <c r="TS172" s="1"/>
      <c r="TT172" s="1"/>
      <c r="TU172" s="1"/>
      <c r="TV172" s="1"/>
      <c r="TW172" s="1"/>
      <c r="TX172" s="1"/>
      <c r="TY172" s="1"/>
      <c r="TZ172" s="1"/>
      <c r="UA172" s="1"/>
      <c r="UB172" s="1"/>
      <c r="UC172" s="1"/>
      <c r="UD172" s="1"/>
      <c r="UE172" s="1"/>
      <c r="UF172" s="1"/>
      <c r="UG172" s="1"/>
      <c r="UH172" s="1"/>
      <c r="UI172" s="1"/>
      <c r="UJ172" s="1"/>
      <c r="UK172" s="1"/>
      <c r="UL172" s="1"/>
      <c r="UM172" s="1"/>
      <c r="UN172" s="1"/>
      <c r="UO172" s="1"/>
      <c r="UP172" s="1"/>
      <c r="UQ172" s="1"/>
      <c r="UR172" s="1"/>
      <c r="US172" s="1"/>
      <c r="UT172" s="1"/>
      <c r="UU172" s="1"/>
      <c r="UV172" s="1"/>
      <c r="UW172" s="1"/>
      <c r="UX172" s="1"/>
      <c r="UY172" s="1"/>
      <c r="UZ172" s="1"/>
      <c r="VA172" s="1"/>
      <c r="VB172" s="1"/>
      <c r="VC172" s="1"/>
      <c r="VD172" s="1"/>
      <c r="VE172" s="1"/>
      <c r="VF172" s="1"/>
      <c r="VG172" s="1"/>
      <c r="VH172" s="1"/>
      <c r="VI172" s="1"/>
      <c r="VJ172" s="1"/>
      <c r="VK172" s="1"/>
      <c r="VL172" s="1"/>
      <c r="VM172" s="1"/>
      <c r="VN172" s="1"/>
      <c r="VO172" s="1"/>
      <c r="VP172" s="1"/>
      <c r="VQ172" s="1"/>
      <c r="VR172" s="1"/>
      <c r="VS172" s="1"/>
      <c r="VT172" s="1"/>
      <c r="VU172" s="1"/>
      <c r="VV172" s="1"/>
      <c r="VW172" s="1"/>
      <c r="VX172" s="1"/>
      <c r="VY172" s="1"/>
      <c r="VZ172" s="1"/>
      <c r="WA172" s="1"/>
      <c r="WB172" s="1"/>
      <c r="WC172" s="1"/>
      <c r="WD172" s="1"/>
      <c r="WE172" s="1"/>
      <c r="WF172" s="1"/>
      <c r="WG172" s="1"/>
      <c r="WH172" s="1"/>
      <c r="WI172" s="1"/>
      <c r="WJ172" s="1"/>
      <c r="WK172" s="1"/>
      <c r="WL172" s="1"/>
      <c r="WM172" s="1"/>
      <c r="WN172" s="1"/>
      <c r="WO172" s="1"/>
      <c r="WP172" s="1"/>
      <c r="WQ172" s="1"/>
      <c r="WR172" s="1"/>
      <c r="WS172" s="1"/>
      <c r="WT172" s="1"/>
      <c r="WU172" s="1"/>
      <c r="WV172" s="1"/>
      <c r="WW172" s="1"/>
      <c r="WX172" s="1"/>
      <c r="WY172" s="1"/>
      <c r="WZ172" s="1"/>
      <c r="XA172" s="1"/>
      <c r="XB172" s="1"/>
      <c r="XC172" s="1"/>
      <c r="XD172" s="1"/>
      <c r="XE172" s="1"/>
      <c r="XF172" s="1"/>
      <c r="XG172" s="1"/>
      <c r="XH172" s="1"/>
      <c r="XI172" s="1"/>
      <c r="XJ172" s="1"/>
      <c r="XK172" s="1"/>
      <c r="XL172" s="1"/>
      <c r="XM172" s="1"/>
      <c r="XN172" s="1"/>
      <c r="XO172" s="1"/>
      <c r="XP172" s="1"/>
      <c r="XQ172" s="1"/>
      <c r="XR172" s="1"/>
      <c r="XS172" s="1"/>
      <c r="XT172" s="1"/>
      <c r="XU172" s="1"/>
      <c r="XV172" s="1"/>
      <c r="XW172" s="1"/>
      <c r="XX172" s="1"/>
      <c r="XY172" s="1"/>
      <c r="XZ172" s="1"/>
      <c r="YA172" s="1"/>
      <c r="YB172" s="1"/>
      <c r="YC172" s="1"/>
      <c r="YD172" s="1"/>
      <c r="YE172" s="1"/>
      <c r="YF172" s="1"/>
      <c r="YG172" s="1"/>
      <c r="YH172" s="1"/>
      <c r="YI172" s="1"/>
      <c r="YJ172" s="1"/>
      <c r="YK172" s="1"/>
      <c r="YL172" s="1"/>
      <c r="YM172" s="1"/>
      <c r="YN172" s="1"/>
      <c r="YO172" s="1"/>
      <c r="YP172" s="1"/>
      <c r="YQ172" s="1"/>
      <c r="YR172" s="1"/>
      <c r="YS172" s="1"/>
      <c r="YT172" s="1"/>
      <c r="YU172" s="1"/>
      <c r="YV172" s="1"/>
      <c r="YW172" s="1"/>
      <c r="YX172" s="1"/>
      <c r="YY172" s="1"/>
      <c r="YZ172" s="1"/>
      <c r="ZA172" s="1"/>
      <c r="ZB172" s="1"/>
      <c r="ZC172" s="1"/>
      <c r="ZD172" s="1"/>
      <c r="ZE172" s="1"/>
      <c r="ZF172" s="1"/>
      <c r="ZG172" s="1"/>
      <c r="ZH172" s="1"/>
      <c r="ZI172" s="1"/>
      <c r="ZJ172" s="1"/>
      <c r="ZK172" s="1"/>
      <c r="ZL172" s="1"/>
      <c r="ZM172" s="1"/>
      <c r="ZN172" s="1"/>
      <c r="ZO172" s="1"/>
      <c r="ZP172" s="1"/>
      <c r="ZQ172" s="1"/>
      <c r="ZR172" s="1"/>
      <c r="ZS172" s="1"/>
      <c r="ZT172" s="1"/>
      <c r="ZU172" s="1"/>
      <c r="ZV172" s="1"/>
      <c r="ZW172" s="1"/>
      <c r="ZX172" s="1"/>
      <c r="ZY172" s="1"/>
      <c r="ZZ172" s="1"/>
      <c r="AAA172" s="1"/>
      <c r="AAB172" s="1"/>
      <c r="AAC172" s="1"/>
      <c r="AAD172" s="1"/>
      <c r="AAE172" s="1"/>
      <c r="AAF172" s="1"/>
      <c r="AAG172" s="1"/>
      <c r="AAH172" s="1"/>
      <c r="AAI172" s="1"/>
      <c r="AAJ172" s="1"/>
      <c r="AAK172" s="1"/>
      <c r="AAL172" s="1"/>
      <c r="AAM172" s="1"/>
      <c r="AAN172" s="1"/>
      <c r="AAO172" s="1"/>
      <c r="AAP172" s="1"/>
      <c r="AAQ172" s="1"/>
      <c r="AAR172" s="1"/>
      <c r="AAS172" s="1"/>
      <c r="AAT172" s="1"/>
      <c r="AAU172" s="1"/>
      <c r="AAV172" s="1"/>
      <c r="AAW172" s="1"/>
      <c r="AAX172" s="1"/>
      <c r="AAY172" s="1"/>
      <c r="AAZ172" s="1"/>
      <c r="ABA172" s="1"/>
      <c r="ABB172" s="1"/>
      <c r="ABC172" s="1"/>
      <c r="ABD172" s="1"/>
      <c r="ABE172" s="1"/>
      <c r="ABF172" s="1"/>
      <c r="ABG172" s="1"/>
      <c r="ABH172" s="1"/>
      <c r="ABI172" s="1"/>
      <c r="ABJ172" s="1"/>
      <c r="ABK172" s="1"/>
      <c r="ABL172" s="1"/>
      <c r="ABM172" s="1"/>
      <c r="ABN172" s="1"/>
      <c r="ABO172" s="1"/>
      <c r="ABP172" s="1"/>
      <c r="ABQ172" s="1"/>
      <c r="ABR172" s="1"/>
      <c r="ABS172" s="1"/>
      <c r="ABT172" s="1"/>
      <c r="ABU172" s="1"/>
      <c r="ABV172" s="1"/>
      <c r="ABW172" s="1"/>
      <c r="ABX172" s="1"/>
      <c r="ABY172" s="1"/>
      <c r="ABZ172" s="1"/>
      <c r="ACA172" s="1"/>
      <c r="ACB172" s="1"/>
      <c r="ACC172" s="1"/>
      <c r="ACD172" s="1"/>
      <c r="ACE172" s="1"/>
      <c r="ACF172" s="1"/>
      <c r="ACG172" s="1"/>
      <c r="ACH172" s="1"/>
      <c r="ACI172" s="1"/>
      <c r="ACJ172" s="1"/>
      <c r="ACK172" s="1"/>
      <c r="ACL172" s="1"/>
      <c r="ACM172" s="1"/>
      <c r="ACN172" s="1"/>
      <c r="ACO172" s="1"/>
      <c r="ACP172" s="1"/>
      <c r="ACQ172" s="1"/>
      <c r="ACR172" s="1"/>
      <c r="ACS172" s="1"/>
      <c r="ACT172" s="1"/>
      <c r="ACU172" s="1"/>
      <c r="ACV172" s="1"/>
      <c r="ACW172" s="1"/>
      <c r="ACX172" s="1"/>
      <c r="ACY172" s="1"/>
      <c r="ACZ172" s="1"/>
      <c r="ADA172" s="1"/>
      <c r="ADB172" s="1"/>
      <c r="ADC172" s="1"/>
      <c r="ADD172" s="1"/>
      <c r="ADE172" s="1"/>
      <c r="ADF172" s="1"/>
      <c r="ADG172" s="1"/>
      <c r="ADH172" s="1"/>
      <c r="ADI172" s="1"/>
      <c r="ADJ172" s="1"/>
      <c r="ADK172" s="1"/>
      <c r="ADL172" s="1"/>
      <c r="ADM172" s="1"/>
      <c r="ADN172" s="1"/>
      <c r="ADO172" s="1"/>
      <c r="ADP172" s="1"/>
      <c r="ADQ172" s="1"/>
      <c r="ADR172" s="1"/>
      <c r="ADS172" s="1"/>
      <c r="ADT172" s="1"/>
      <c r="ADU172" s="1"/>
      <c r="ADV172" s="1"/>
      <c r="ADW172" s="1"/>
      <c r="ADX172" s="1"/>
      <c r="ADY172" s="1"/>
      <c r="ADZ172" s="1"/>
      <c r="AEA172" s="1"/>
      <c r="AEB172" s="1"/>
      <c r="AEC172" s="1"/>
      <c r="AED172" s="1"/>
      <c r="AEE172" s="1"/>
      <c r="AEF172" s="1"/>
      <c r="AEG172" s="1"/>
      <c r="AEH172" s="1"/>
      <c r="AEI172" s="1"/>
      <c r="AEJ172" s="1"/>
      <c r="AEK172" s="1"/>
      <c r="AEL172" s="1"/>
      <c r="AEM172" s="1"/>
      <c r="AEN172" s="1"/>
      <c r="AEO172" s="1"/>
      <c r="AEP172" s="1"/>
      <c r="AEQ172" s="1"/>
      <c r="AER172" s="1"/>
      <c r="AES172" s="1"/>
      <c r="AET172" s="1"/>
      <c r="AEU172" s="1"/>
      <c r="AEV172" s="1"/>
      <c r="AEW172" s="1"/>
      <c r="AEX172" s="1"/>
      <c r="AEY172" s="1"/>
      <c r="AEZ172" s="1"/>
      <c r="AFA172" s="1"/>
      <c r="AFB172" s="1"/>
      <c r="AFC172" s="1"/>
      <c r="AFD172" s="1"/>
      <c r="AFE172" s="1"/>
      <c r="AFF172" s="1"/>
      <c r="AFG172" s="1"/>
      <c r="AFH172" s="1"/>
      <c r="AFI172" s="1"/>
      <c r="AFJ172" s="1"/>
      <c r="AFK172" s="1"/>
      <c r="AFL172" s="1"/>
      <c r="AFM172" s="1"/>
      <c r="AFN172" s="1"/>
      <c r="AFO172" s="1"/>
      <c r="AFP172" s="1"/>
      <c r="AFQ172" s="1"/>
      <c r="AFR172" s="1"/>
      <c r="AFS172" s="1"/>
      <c r="AFT172" s="1"/>
      <c r="AFU172" s="1"/>
      <c r="AFV172" s="1"/>
      <c r="AFW172" s="1"/>
      <c r="AFX172" s="1"/>
      <c r="AFY172" s="1"/>
      <c r="AFZ172" s="1"/>
      <c r="AGA172" s="1"/>
      <c r="AGB172" s="1"/>
      <c r="AGC172" s="1"/>
      <c r="AGD172" s="1"/>
      <c r="AGE172" s="1"/>
      <c r="AGF172" s="1"/>
      <c r="AGG172" s="1"/>
      <c r="AGH172" s="1"/>
      <c r="AGI172" s="1"/>
      <c r="AGJ172" s="1"/>
      <c r="AGK172" s="1"/>
      <c r="AGL172" s="1"/>
      <c r="AGM172" s="1"/>
      <c r="AGN172" s="1"/>
      <c r="AGO172" s="1"/>
      <c r="AGP172" s="1"/>
      <c r="AGQ172" s="1"/>
      <c r="AGR172" s="1"/>
      <c r="AGS172" s="1"/>
      <c r="AGT172" s="1"/>
      <c r="AGU172" s="1"/>
      <c r="AGV172" s="1"/>
      <c r="AGW172" s="1"/>
      <c r="AGX172" s="1"/>
      <c r="AGY172" s="1"/>
      <c r="AGZ172" s="1"/>
      <c r="AHA172" s="1"/>
      <c r="AHB172" s="1"/>
      <c r="AHC172" s="1"/>
      <c r="AHD172" s="1"/>
      <c r="AHE172" s="1"/>
      <c r="AHF172" s="1"/>
      <c r="AHG172" s="1"/>
      <c r="AHH172" s="1"/>
      <c r="AHI172" s="1"/>
      <c r="AHJ172" s="1"/>
      <c r="AHK172" s="1"/>
      <c r="AHL172" s="1"/>
      <c r="AHM172" s="1"/>
      <c r="AHN172" s="1"/>
      <c r="AHO172" s="1"/>
      <c r="AHP172" s="1"/>
      <c r="AHQ172" s="1"/>
      <c r="AHR172" s="1"/>
      <c r="AHS172" s="1"/>
      <c r="AHT172" s="1"/>
      <c r="AHU172" s="1"/>
      <c r="AHV172" s="1"/>
      <c r="AHW172" s="1"/>
      <c r="AHX172" s="1"/>
      <c r="AHY172" s="1"/>
      <c r="AHZ172" s="1"/>
      <c r="AIA172" s="1"/>
      <c r="AIB172" s="1"/>
      <c r="AIC172" s="1"/>
      <c r="AID172" s="1"/>
      <c r="AIE172" s="1"/>
      <c r="AIF172" s="1"/>
      <c r="AIG172" s="1"/>
      <c r="AIH172" s="1"/>
      <c r="AII172" s="1"/>
      <c r="AIJ172" s="1"/>
      <c r="AIK172" s="1"/>
      <c r="AIL172" s="1"/>
      <c r="AIM172" s="1"/>
      <c r="AIN172" s="1"/>
      <c r="AIO172" s="1"/>
      <c r="AIP172" s="1"/>
      <c r="AIQ172" s="1"/>
      <c r="AIR172" s="1"/>
      <c r="AIS172" s="1"/>
      <c r="AIT172" s="1"/>
      <c r="AIU172" s="1"/>
      <c r="AIV172" s="1"/>
      <c r="AIW172" s="1"/>
      <c r="AIX172" s="1"/>
      <c r="AIY172" s="1"/>
      <c r="AIZ172" s="1"/>
      <c r="AJA172" s="1"/>
      <c r="AJB172" s="1"/>
      <c r="AJC172" s="1"/>
      <c r="AJD172" s="1"/>
      <c r="AJE172" s="1"/>
      <c r="AJF172" s="1"/>
      <c r="AJG172" s="1"/>
      <c r="AJH172" s="1"/>
      <c r="AJI172" s="1"/>
      <c r="AJJ172" s="1"/>
      <c r="AJK172" s="1"/>
      <c r="AJL172" s="1"/>
      <c r="AJM172" s="1"/>
      <c r="AJN172" s="1"/>
      <c r="AJO172" s="1"/>
      <c r="AJP172" s="1"/>
      <c r="AJQ172" s="1"/>
      <c r="AJR172" s="1"/>
      <c r="AJS172" s="1"/>
      <c r="AJT172" s="1"/>
      <c r="AJU172" s="1"/>
      <c r="AJV172" s="1"/>
      <c r="AJW172" s="1"/>
      <c r="AJX172" s="1"/>
      <c r="AJY172" s="1"/>
      <c r="AJZ172" s="1"/>
      <c r="AKA172" s="1"/>
      <c r="AKB172" s="1"/>
      <c r="AKC172" s="1"/>
      <c r="AKD172" s="1"/>
      <c r="AKE172" s="1"/>
      <c r="AKF172" s="1"/>
      <c r="AKG172" s="1"/>
      <c r="AKH172" s="1"/>
      <c r="AKI172" s="1"/>
      <c r="AKJ172" s="1"/>
      <c r="AKK172" s="1"/>
      <c r="AKL172" s="1"/>
      <c r="AKM172" s="1"/>
      <c r="AKN172" s="1"/>
      <c r="AKO172" s="1"/>
      <c r="AKP172" s="1"/>
      <c r="AKQ172" s="1"/>
      <c r="AKR172" s="1"/>
      <c r="AKS172" s="1"/>
      <c r="AKT172" s="1"/>
      <c r="AKU172" s="1"/>
      <c r="AKV172" s="1"/>
      <c r="AKW172" s="1"/>
      <c r="AKX172" s="1"/>
      <c r="AKY172" s="1"/>
      <c r="AKZ172" s="1"/>
      <c r="ALA172" s="1"/>
      <c r="ALB172" s="1"/>
      <c r="ALC172" s="1"/>
      <c r="ALD172" s="1"/>
      <c r="ALE172" s="1"/>
      <c r="ALF172" s="1"/>
      <c r="ALG172" s="1"/>
      <c r="ALH172" s="1"/>
      <c r="ALI172" s="1"/>
      <c r="ALJ172" s="1"/>
      <c r="ALK172" s="1"/>
      <c r="ALL172" s="1"/>
      <c r="ALM172" s="1"/>
      <c r="ALN172" s="1"/>
      <c r="ALO172" s="1"/>
      <c r="ALP172" s="1"/>
      <c r="ALQ172" s="1"/>
      <c r="ALR172" s="1"/>
      <c r="ALS172" s="1"/>
      <c r="ALT172" s="1"/>
      <c r="ALU172" s="1"/>
      <c r="ALV172" s="1"/>
      <c r="ALW172" s="1"/>
      <c r="ALX172" s="1"/>
      <c r="ALY172" s="1"/>
      <c r="ALZ172" s="1"/>
      <c r="AMA172" s="1"/>
      <c r="AMB172" s="1"/>
      <c r="AMC172" s="1"/>
      <c r="AMD172" s="1"/>
      <c r="AME172" s="1"/>
      <c r="AMF172" s="1"/>
      <c r="AMG172" s="1"/>
      <c r="AMH172" s="1"/>
      <c r="AMI172" s="1"/>
      <c r="AMJ172" s="1"/>
    </row>
    <row r="173" customFormat="false" ht="10.5" hidden="false" customHeight="true" outlineLevel="0" collapsed="false">
      <c r="A173" s="217" t="s">
        <v>319</v>
      </c>
      <c r="B173" s="217"/>
      <c r="C173" s="217"/>
      <c r="D173" s="217"/>
      <c r="E173" s="217"/>
      <c r="F173" s="168" t="s">
        <v>320</v>
      </c>
      <c r="G173" s="168"/>
      <c r="H173" s="168"/>
      <c r="I173" s="168"/>
      <c r="J173" s="168"/>
      <c r="K173" s="168"/>
      <c r="L173" s="168"/>
      <c r="M173" s="168"/>
      <c r="N173" s="168"/>
      <c r="O173" s="168"/>
      <c r="P173" s="168" t="s">
        <v>74</v>
      </c>
      <c r="Q173" s="168"/>
      <c r="R173" s="168"/>
      <c r="S173" s="168"/>
      <c r="T173" s="168"/>
      <c r="U173" s="168"/>
      <c r="V173" s="168"/>
      <c r="W173" s="168"/>
      <c r="X173" s="168"/>
      <c r="Y173" s="168"/>
      <c r="Z173" s="170" t="n">
        <v>150000</v>
      </c>
      <c r="AA173" s="170"/>
      <c r="AB173" s="170"/>
      <c r="AC173" s="170"/>
      <c r="AD173" s="23" t="s">
        <v>69</v>
      </c>
      <c r="AE173" s="23"/>
      <c r="AF173" s="23"/>
      <c r="AG173" s="228" t="s">
        <v>321</v>
      </c>
      <c r="AH173" s="228"/>
      <c r="AI173" s="228"/>
      <c r="AJ173" s="228"/>
      <c r="AK173" s="228"/>
      <c r="AL173" s="228"/>
      <c r="AM173" s="228"/>
      <c r="AN173" s="228"/>
      <c r="AO173" s="228"/>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c r="IY173" s="1"/>
      <c r="IZ173" s="1"/>
      <c r="JA173" s="1"/>
      <c r="JB173" s="1"/>
      <c r="JC173" s="1"/>
      <c r="JD173" s="1"/>
      <c r="JE173" s="1"/>
      <c r="JF173" s="1"/>
      <c r="JG173" s="1"/>
      <c r="JH173" s="1"/>
      <c r="JI173" s="1"/>
      <c r="JJ173" s="1"/>
      <c r="JK173" s="1"/>
      <c r="JL173" s="1"/>
      <c r="JM173" s="1"/>
      <c r="JN173" s="1"/>
      <c r="JO173" s="1"/>
      <c r="JP173" s="1"/>
      <c r="JQ173" s="1"/>
      <c r="JR173" s="1"/>
      <c r="JS173" s="1"/>
      <c r="JT173" s="1"/>
      <c r="JU173" s="1"/>
      <c r="JV173" s="1"/>
      <c r="JW173" s="1"/>
      <c r="JX173" s="1"/>
      <c r="JY173" s="1"/>
      <c r="JZ173" s="1"/>
      <c r="KA173" s="1"/>
      <c r="KB173" s="1"/>
      <c r="KC173" s="1"/>
      <c r="KD173" s="1"/>
      <c r="KE173" s="1"/>
      <c r="KF173" s="1"/>
      <c r="KG173" s="1"/>
      <c r="KH173" s="1"/>
      <c r="KI173" s="1"/>
      <c r="KJ173" s="1"/>
      <c r="KK173" s="1"/>
      <c r="KL173" s="1"/>
      <c r="KM173" s="1"/>
      <c r="KN173" s="1"/>
      <c r="KO173" s="1"/>
      <c r="KP173" s="1"/>
      <c r="KQ173" s="1"/>
      <c r="KR173" s="1"/>
      <c r="KS173" s="1"/>
      <c r="KT173" s="1"/>
      <c r="KU173" s="1"/>
      <c r="KV173" s="1"/>
      <c r="KW173" s="1"/>
      <c r="KX173" s="1"/>
      <c r="KY173" s="1"/>
      <c r="KZ173" s="1"/>
      <c r="LA173" s="1"/>
      <c r="LB173" s="1"/>
      <c r="LC173" s="1"/>
      <c r="LD173" s="1"/>
      <c r="LE173" s="1"/>
      <c r="LF173" s="1"/>
      <c r="LG173" s="1"/>
      <c r="LH173" s="1"/>
      <c r="LI173" s="1"/>
      <c r="LJ173" s="1"/>
      <c r="LK173" s="1"/>
      <c r="LL173" s="1"/>
      <c r="LM173" s="1"/>
      <c r="LN173" s="1"/>
      <c r="LO173" s="1"/>
      <c r="LP173" s="1"/>
      <c r="LQ173" s="1"/>
      <c r="LR173" s="1"/>
      <c r="LS173" s="1"/>
      <c r="LT173" s="1"/>
      <c r="LU173" s="1"/>
      <c r="LV173" s="1"/>
      <c r="LW173" s="1"/>
      <c r="LX173" s="1"/>
      <c r="LY173" s="1"/>
      <c r="LZ173" s="1"/>
      <c r="MA173" s="1"/>
      <c r="MB173" s="1"/>
      <c r="MC173" s="1"/>
      <c r="MD173" s="1"/>
      <c r="ME173" s="1"/>
      <c r="MF173" s="1"/>
      <c r="MG173" s="1"/>
      <c r="MH173" s="1"/>
      <c r="MI173" s="1"/>
      <c r="MJ173" s="1"/>
      <c r="MK173" s="1"/>
      <c r="ML173" s="1"/>
      <c r="MM173" s="1"/>
      <c r="MN173" s="1"/>
      <c r="MO173" s="1"/>
      <c r="MP173" s="1"/>
      <c r="MQ173" s="1"/>
      <c r="MR173" s="1"/>
      <c r="MS173" s="1"/>
      <c r="MT173" s="1"/>
      <c r="MU173" s="1"/>
      <c r="MV173" s="1"/>
      <c r="MW173" s="1"/>
      <c r="MX173" s="1"/>
      <c r="MY173" s="1"/>
      <c r="MZ173" s="1"/>
      <c r="NA173" s="1"/>
      <c r="NB173" s="1"/>
      <c r="NC173" s="1"/>
      <c r="ND173" s="1"/>
      <c r="NE173" s="1"/>
      <c r="NF173" s="1"/>
      <c r="NG173" s="1"/>
      <c r="NH173" s="1"/>
      <c r="NI173" s="1"/>
      <c r="NJ173" s="1"/>
      <c r="NK173" s="1"/>
      <c r="NL173" s="1"/>
      <c r="NM173" s="1"/>
      <c r="NN173" s="1"/>
      <c r="NO173" s="1"/>
      <c r="NP173" s="1"/>
      <c r="NQ173" s="1"/>
      <c r="NR173" s="1"/>
      <c r="NS173" s="1"/>
      <c r="NT173" s="1"/>
      <c r="NU173" s="1"/>
      <c r="NV173" s="1"/>
      <c r="NW173" s="1"/>
      <c r="NX173" s="1"/>
      <c r="NY173" s="1"/>
      <c r="NZ173" s="1"/>
      <c r="OA173" s="1"/>
      <c r="OB173" s="1"/>
      <c r="OC173" s="1"/>
      <c r="OD173" s="1"/>
      <c r="OE173" s="1"/>
      <c r="OF173" s="1"/>
      <c r="OG173" s="1"/>
      <c r="OH173" s="1"/>
      <c r="OI173" s="1"/>
      <c r="OJ173" s="1"/>
      <c r="OK173" s="1"/>
      <c r="OL173" s="1"/>
      <c r="OM173" s="1"/>
      <c r="ON173" s="1"/>
      <c r="OO173" s="1"/>
      <c r="OP173" s="1"/>
      <c r="OQ173" s="1"/>
      <c r="OR173" s="1"/>
      <c r="OS173" s="1"/>
      <c r="OT173" s="1"/>
      <c r="OU173" s="1"/>
      <c r="OV173" s="1"/>
      <c r="OW173" s="1"/>
      <c r="OX173" s="1"/>
      <c r="OY173" s="1"/>
      <c r="OZ173" s="1"/>
      <c r="PA173" s="1"/>
      <c r="PB173" s="1"/>
      <c r="PC173" s="1"/>
      <c r="PD173" s="1"/>
      <c r="PE173" s="1"/>
      <c r="PF173" s="1"/>
      <c r="PG173" s="1"/>
      <c r="PH173" s="1"/>
      <c r="PI173" s="1"/>
      <c r="PJ173" s="1"/>
      <c r="PK173" s="1"/>
      <c r="PL173" s="1"/>
      <c r="PM173" s="1"/>
      <c r="PN173" s="1"/>
      <c r="PO173" s="1"/>
      <c r="PP173" s="1"/>
      <c r="PQ173" s="1"/>
      <c r="PR173" s="1"/>
      <c r="PS173" s="1"/>
      <c r="PT173" s="1"/>
      <c r="PU173" s="1"/>
      <c r="PV173" s="1"/>
      <c r="PW173" s="1"/>
      <c r="PX173" s="1"/>
      <c r="PY173" s="1"/>
      <c r="PZ173" s="1"/>
      <c r="QA173" s="1"/>
      <c r="QB173" s="1"/>
      <c r="QC173" s="1"/>
      <c r="QD173" s="1"/>
      <c r="QE173" s="1"/>
      <c r="QF173" s="1"/>
      <c r="QG173" s="1"/>
      <c r="QH173" s="1"/>
      <c r="QI173" s="1"/>
      <c r="QJ173" s="1"/>
      <c r="QK173" s="1"/>
      <c r="QL173" s="1"/>
      <c r="QM173" s="1"/>
      <c r="QN173" s="1"/>
      <c r="QO173" s="1"/>
      <c r="QP173" s="1"/>
      <c r="QQ173" s="1"/>
      <c r="QR173" s="1"/>
      <c r="QS173" s="1"/>
      <c r="QT173" s="1"/>
      <c r="QU173" s="1"/>
      <c r="QV173" s="1"/>
      <c r="QW173" s="1"/>
      <c r="QX173" s="1"/>
      <c r="QY173" s="1"/>
      <c r="QZ173" s="1"/>
      <c r="RA173" s="1"/>
      <c r="RB173" s="1"/>
      <c r="RC173" s="1"/>
      <c r="RD173" s="1"/>
      <c r="RE173" s="1"/>
      <c r="RF173" s="1"/>
      <c r="RG173" s="1"/>
      <c r="RH173" s="1"/>
      <c r="RI173" s="1"/>
      <c r="RJ173" s="1"/>
      <c r="RK173" s="1"/>
      <c r="RL173" s="1"/>
      <c r="RM173" s="1"/>
      <c r="RN173" s="1"/>
      <c r="RO173" s="1"/>
      <c r="RP173" s="1"/>
      <c r="RQ173" s="1"/>
      <c r="RR173" s="1"/>
      <c r="RS173" s="1"/>
      <c r="RT173" s="1"/>
      <c r="RU173" s="1"/>
      <c r="RV173" s="1"/>
      <c r="RW173" s="1"/>
      <c r="RX173" s="1"/>
      <c r="RY173" s="1"/>
      <c r="RZ173" s="1"/>
      <c r="SA173" s="1"/>
      <c r="SB173" s="1"/>
      <c r="SC173" s="1"/>
      <c r="SD173" s="1"/>
      <c r="SE173" s="1"/>
      <c r="SF173" s="1"/>
      <c r="SG173" s="1"/>
      <c r="SH173" s="1"/>
      <c r="SI173" s="1"/>
      <c r="SJ173" s="1"/>
      <c r="SK173" s="1"/>
      <c r="SL173" s="1"/>
      <c r="SM173" s="1"/>
      <c r="SN173" s="1"/>
      <c r="SO173" s="1"/>
      <c r="SP173" s="1"/>
      <c r="SQ173" s="1"/>
      <c r="SR173" s="1"/>
      <c r="SS173" s="1"/>
      <c r="ST173" s="1"/>
      <c r="SU173" s="1"/>
      <c r="SV173" s="1"/>
      <c r="SW173" s="1"/>
      <c r="SX173" s="1"/>
      <c r="SY173" s="1"/>
      <c r="SZ173" s="1"/>
      <c r="TA173" s="1"/>
      <c r="TB173" s="1"/>
      <c r="TC173" s="1"/>
      <c r="TD173" s="1"/>
      <c r="TE173" s="1"/>
      <c r="TF173" s="1"/>
      <c r="TG173" s="1"/>
      <c r="TH173" s="1"/>
      <c r="TI173" s="1"/>
      <c r="TJ173" s="1"/>
      <c r="TK173" s="1"/>
      <c r="TL173" s="1"/>
      <c r="TM173" s="1"/>
      <c r="TN173" s="1"/>
      <c r="TO173" s="1"/>
      <c r="TP173" s="1"/>
      <c r="TQ173" s="1"/>
      <c r="TR173" s="1"/>
      <c r="TS173" s="1"/>
      <c r="TT173" s="1"/>
      <c r="TU173" s="1"/>
      <c r="TV173" s="1"/>
      <c r="TW173" s="1"/>
      <c r="TX173" s="1"/>
      <c r="TY173" s="1"/>
      <c r="TZ173" s="1"/>
      <c r="UA173" s="1"/>
      <c r="UB173" s="1"/>
      <c r="UC173" s="1"/>
      <c r="UD173" s="1"/>
      <c r="UE173" s="1"/>
      <c r="UF173" s="1"/>
      <c r="UG173" s="1"/>
      <c r="UH173" s="1"/>
      <c r="UI173" s="1"/>
      <c r="UJ173" s="1"/>
      <c r="UK173" s="1"/>
      <c r="UL173" s="1"/>
      <c r="UM173" s="1"/>
      <c r="UN173" s="1"/>
      <c r="UO173" s="1"/>
      <c r="UP173" s="1"/>
      <c r="UQ173" s="1"/>
      <c r="UR173" s="1"/>
      <c r="US173" s="1"/>
      <c r="UT173" s="1"/>
      <c r="UU173" s="1"/>
      <c r="UV173" s="1"/>
      <c r="UW173" s="1"/>
      <c r="UX173" s="1"/>
      <c r="UY173" s="1"/>
      <c r="UZ173" s="1"/>
      <c r="VA173" s="1"/>
      <c r="VB173" s="1"/>
      <c r="VC173" s="1"/>
      <c r="VD173" s="1"/>
      <c r="VE173" s="1"/>
      <c r="VF173" s="1"/>
      <c r="VG173" s="1"/>
      <c r="VH173" s="1"/>
      <c r="VI173" s="1"/>
      <c r="VJ173" s="1"/>
      <c r="VK173" s="1"/>
      <c r="VL173" s="1"/>
      <c r="VM173" s="1"/>
      <c r="VN173" s="1"/>
      <c r="VO173" s="1"/>
      <c r="VP173" s="1"/>
      <c r="VQ173" s="1"/>
      <c r="VR173" s="1"/>
      <c r="VS173" s="1"/>
      <c r="VT173" s="1"/>
      <c r="VU173" s="1"/>
      <c r="VV173" s="1"/>
      <c r="VW173" s="1"/>
      <c r="VX173" s="1"/>
      <c r="VY173" s="1"/>
      <c r="VZ173" s="1"/>
      <c r="WA173" s="1"/>
      <c r="WB173" s="1"/>
      <c r="WC173" s="1"/>
      <c r="WD173" s="1"/>
      <c r="WE173" s="1"/>
      <c r="WF173" s="1"/>
      <c r="WG173" s="1"/>
      <c r="WH173" s="1"/>
      <c r="WI173" s="1"/>
      <c r="WJ173" s="1"/>
      <c r="WK173" s="1"/>
      <c r="WL173" s="1"/>
      <c r="WM173" s="1"/>
      <c r="WN173" s="1"/>
      <c r="WO173" s="1"/>
      <c r="WP173" s="1"/>
      <c r="WQ173" s="1"/>
      <c r="WR173" s="1"/>
      <c r="WS173" s="1"/>
      <c r="WT173" s="1"/>
      <c r="WU173" s="1"/>
      <c r="WV173" s="1"/>
      <c r="WW173" s="1"/>
      <c r="WX173" s="1"/>
      <c r="WY173" s="1"/>
      <c r="WZ173" s="1"/>
      <c r="XA173" s="1"/>
      <c r="XB173" s="1"/>
      <c r="XC173" s="1"/>
      <c r="XD173" s="1"/>
      <c r="XE173" s="1"/>
      <c r="XF173" s="1"/>
      <c r="XG173" s="1"/>
      <c r="XH173" s="1"/>
      <c r="XI173" s="1"/>
      <c r="XJ173" s="1"/>
      <c r="XK173" s="1"/>
      <c r="XL173" s="1"/>
      <c r="XM173" s="1"/>
      <c r="XN173" s="1"/>
      <c r="XO173" s="1"/>
      <c r="XP173" s="1"/>
      <c r="XQ173" s="1"/>
      <c r="XR173" s="1"/>
      <c r="XS173" s="1"/>
      <c r="XT173" s="1"/>
      <c r="XU173" s="1"/>
      <c r="XV173" s="1"/>
      <c r="XW173" s="1"/>
      <c r="XX173" s="1"/>
      <c r="XY173" s="1"/>
      <c r="XZ173" s="1"/>
      <c r="YA173" s="1"/>
      <c r="YB173" s="1"/>
      <c r="YC173" s="1"/>
      <c r="YD173" s="1"/>
      <c r="YE173" s="1"/>
      <c r="YF173" s="1"/>
      <c r="YG173" s="1"/>
      <c r="YH173" s="1"/>
      <c r="YI173" s="1"/>
      <c r="YJ173" s="1"/>
      <c r="YK173" s="1"/>
      <c r="YL173" s="1"/>
      <c r="YM173" s="1"/>
      <c r="YN173" s="1"/>
      <c r="YO173" s="1"/>
      <c r="YP173" s="1"/>
      <c r="YQ173" s="1"/>
      <c r="YR173" s="1"/>
      <c r="YS173" s="1"/>
      <c r="YT173" s="1"/>
      <c r="YU173" s="1"/>
      <c r="YV173" s="1"/>
      <c r="YW173" s="1"/>
      <c r="YX173" s="1"/>
      <c r="YY173" s="1"/>
      <c r="YZ173" s="1"/>
      <c r="ZA173" s="1"/>
      <c r="ZB173" s="1"/>
      <c r="ZC173" s="1"/>
      <c r="ZD173" s="1"/>
      <c r="ZE173" s="1"/>
      <c r="ZF173" s="1"/>
      <c r="ZG173" s="1"/>
      <c r="ZH173" s="1"/>
      <c r="ZI173" s="1"/>
      <c r="ZJ173" s="1"/>
      <c r="ZK173" s="1"/>
      <c r="ZL173" s="1"/>
      <c r="ZM173" s="1"/>
      <c r="ZN173" s="1"/>
      <c r="ZO173" s="1"/>
      <c r="ZP173" s="1"/>
      <c r="ZQ173" s="1"/>
      <c r="ZR173" s="1"/>
      <c r="ZS173" s="1"/>
      <c r="ZT173" s="1"/>
      <c r="ZU173" s="1"/>
      <c r="ZV173" s="1"/>
      <c r="ZW173" s="1"/>
      <c r="ZX173" s="1"/>
      <c r="ZY173" s="1"/>
      <c r="ZZ173" s="1"/>
      <c r="AAA173" s="1"/>
      <c r="AAB173" s="1"/>
      <c r="AAC173" s="1"/>
      <c r="AAD173" s="1"/>
      <c r="AAE173" s="1"/>
      <c r="AAF173" s="1"/>
      <c r="AAG173" s="1"/>
      <c r="AAH173" s="1"/>
      <c r="AAI173" s="1"/>
      <c r="AAJ173" s="1"/>
      <c r="AAK173" s="1"/>
      <c r="AAL173" s="1"/>
      <c r="AAM173" s="1"/>
      <c r="AAN173" s="1"/>
      <c r="AAO173" s="1"/>
      <c r="AAP173" s="1"/>
      <c r="AAQ173" s="1"/>
      <c r="AAR173" s="1"/>
      <c r="AAS173" s="1"/>
      <c r="AAT173" s="1"/>
      <c r="AAU173" s="1"/>
      <c r="AAV173" s="1"/>
      <c r="AAW173" s="1"/>
      <c r="AAX173" s="1"/>
      <c r="AAY173" s="1"/>
      <c r="AAZ173" s="1"/>
      <c r="ABA173" s="1"/>
      <c r="ABB173" s="1"/>
      <c r="ABC173" s="1"/>
      <c r="ABD173" s="1"/>
      <c r="ABE173" s="1"/>
      <c r="ABF173" s="1"/>
      <c r="ABG173" s="1"/>
      <c r="ABH173" s="1"/>
      <c r="ABI173" s="1"/>
      <c r="ABJ173" s="1"/>
      <c r="ABK173" s="1"/>
      <c r="ABL173" s="1"/>
      <c r="ABM173" s="1"/>
      <c r="ABN173" s="1"/>
      <c r="ABO173" s="1"/>
      <c r="ABP173" s="1"/>
      <c r="ABQ173" s="1"/>
      <c r="ABR173" s="1"/>
      <c r="ABS173" s="1"/>
      <c r="ABT173" s="1"/>
      <c r="ABU173" s="1"/>
      <c r="ABV173" s="1"/>
      <c r="ABW173" s="1"/>
      <c r="ABX173" s="1"/>
      <c r="ABY173" s="1"/>
      <c r="ABZ173" s="1"/>
      <c r="ACA173" s="1"/>
      <c r="ACB173" s="1"/>
      <c r="ACC173" s="1"/>
      <c r="ACD173" s="1"/>
      <c r="ACE173" s="1"/>
      <c r="ACF173" s="1"/>
      <c r="ACG173" s="1"/>
      <c r="ACH173" s="1"/>
      <c r="ACI173" s="1"/>
      <c r="ACJ173" s="1"/>
      <c r="ACK173" s="1"/>
      <c r="ACL173" s="1"/>
      <c r="ACM173" s="1"/>
      <c r="ACN173" s="1"/>
      <c r="ACO173" s="1"/>
      <c r="ACP173" s="1"/>
      <c r="ACQ173" s="1"/>
      <c r="ACR173" s="1"/>
      <c r="ACS173" s="1"/>
      <c r="ACT173" s="1"/>
      <c r="ACU173" s="1"/>
      <c r="ACV173" s="1"/>
      <c r="ACW173" s="1"/>
      <c r="ACX173" s="1"/>
      <c r="ACY173" s="1"/>
      <c r="ACZ173" s="1"/>
      <c r="ADA173" s="1"/>
      <c r="ADB173" s="1"/>
      <c r="ADC173" s="1"/>
      <c r="ADD173" s="1"/>
      <c r="ADE173" s="1"/>
      <c r="ADF173" s="1"/>
      <c r="ADG173" s="1"/>
      <c r="ADH173" s="1"/>
      <c r="ADI173" s="1"/>
      <c r="ADJ173" s="1"/>
      <c r="ADK173" s="1"/>
      <c r="ADL173" s="1"/>
      <c r="ADM173" s="1"/>
      <c r="ADN173" s="1"/>
      <c r="ADO173" s="1"/>
      <c r="ADP173" s="1"/>
      <c r="ADQ173" s="1"/>
      <c r="ADR173" s="1"/>
      <c r="ADS173" s="1"/>
      <c r="ADT173" s="1"/>
      <c r="ADU173" s="1"/>
      <c r="ADV173" s="1"/>
      <c r="ADW173" s="1"/>
      <c r="ADX173" s="1"/>
      <c r="ADY173" s="1"/>
      <c r="ADZ173" s="1"/>
      <c r="AEA173" s="1"/>
      <c r="AEB173" s="1"/>
      <c r="AEC173" s="1"/>
      <c r="AED173" s="1"/>
      <c r="AEE173" s="1"/>
      <c r="AEF173" s="1"/>
      <c r="AEG173" s="1"/>
      <c r="AEH173" s="1"/>
      <c r="AEI173" s="1"/>
      <c r="AEJ173" s="1"/>
      <c r="AEK173" s="1"/>
      <c r="AEL173" s="1"/>
      <c r="AEM173" s="1"/>
      <c r="AEN173" s="1"/>
      <c r="AEO173" s="1"/>
      <c r="AEP173" s="1"/>
      <c r="AEQ173" s="1"/>
      <c r="AER173" s="1"/>
      <c r="AES173" s="1"/>
      <c r="AET173" s="1"/>
      <c r="AEU173" s="1"/>
      <c r="AEV173" s="1"/>
      <c r="AEW173" s="1"/>
      <c r="AEX173" s="1"/>
      <c r="AEY173" s="1"/>
      <c r="AEZ173" s="1"/>
      <c r="AFA173" s="1"/>
      <c r="AFB173" s="1"/>
      <c r="AFC173" s="1"/>
      <c r="AFD173" s="1"/>
      <c r="AFE173" s="1"/>
      <c r="AFF173" s="1"/>
      <c r="AFG173" s="1"/>
      <c r="AFH173" s="1"/>
      <c r="AFI173" s="1"/>
      <c r="AFJ173" s="1"/>
      <c r="AFK173" s="1"/>
      <c r="AFL173" s="1"/>
      <c r="AFM173" s="1"/>
      <c r="AFN173" s="1"/>
      <c r="AFO173" s="1"/>
      <c r="AFP173" s="1"/>
      <c r="AFQ173" s="1"/>
      <c r="AFR173" s="1"/>
      <c r="AFS173" s="1"/>
      <c r="AFT173" s="1"/>
      <c r="AFU173" s="1"/>
      <c r="AFV173" s="1"/>
      <c r="AFW173" s="1"/>
      <c r="AFX173" s="1"/>
      <c r="AFY173" s="1"/>
      <c r="AFZ173" s="1"/>
      <c r="AGA173" s="1"/>
      <c r="AGB173" s="1"/>
      <c r="AGC173" s="1"/>
      <c r="AGD173" s="1"/>
      <c r="AGE173" s="1"/>
      <c r="AGF173" s="1"/>
      <c r="AGG173" s="1"/>
      <c r="AGH173" s="1"/>
      <c r="AGI173" s="1"/>
      <c r="AGJ173" s="1"/>
      <c r="AGK173" s="1"/>
      <c r="AGL173" s="1"/>
      <c r="AGM173" s="1"/>
      <c r="AGN173" s="1"/>
      <c r="AGO173" s="1"/>
      <c r="AGP173" s="1"/>
      <c r="AGQ173" s="1"/>
      <c r="AGR173" s="1"/>
      <c r="AGS173" s="1"/>
      <c r="AGT173" s="1"/>
      <c r="AGU173" s="1"/>
      <c r="AGV173" s="1"/>
      <c r="AGW173" s="1"/>
      <c r="AGX173" s="1"/>
      <c r="AGY173" s="1"/>
      <c r="AGZ173" s="1"/>
      <c r="AHA173" s="1"/>
      <c r="AHB173" s="1"/>
      <c r="AHC173" s="1"/>
      <c r="AHD173" s="1"/>
      <c r="AHE173" s="1"/>
      <c r="AHF173" s="1"/>
      <c r="AHG173" s="1"/>
      <c r="AHH173" s="1"/>
      <c r="AHI173" s="1"/>
      <c r="AHJ173" s="1"/>
      <c r="AHK173" s="1"/>
      <c r="AHL173" s="1"/>
      <c r="AHM173" s="1"/>
      <c r="AHN173" s="1"/>
      <c r="AHO173" s="1"/>
      <c r="AHP173" s="1"/>
      <c r="AHQ173" s="1"/>
      <c r="AHR173" s="1"/>
      <c r="AHS173" s="1"/>
      <c r="AHT173" s="1"/>
      <c r="AHU173" s="1"/>
      <c r="AHV173" s="1"/>
      <c r="AHW173" s="1"/>
      <c r="AHX173" s="1"/>
      <c r="AHY173" s="1"/>
      <c r="AHZ173" s="1"/>
      <c r="AIA173" s="1"/>
      <c r="AIB173" s="1"/>
      <c r="AIC173" s="1"/>
      <c r="AID173" s="1"/>
      <c r="AIE173" s="1"/>
      <c r="AIF173" s="1"/>
      <c r="AIG173" s="1"/>
      <c r="AIH173" s="1"/>
      <c r="AII173" s="1"/>
      <c r="AIJ173" s="1"/>
      <c r="AIK173" s="1"/>
      <c r="AIL173" s="1"/>
      <c r="AIM173" s="1"/>
      <c r="AIN173" s="1"/>
      <c r="AIO173" s="1"/>
      <c r="AIP173" s="1"/>
      <c r="AIQ173" s="1"/>
      <c r="AIR173" s="1"/>
      <c r="AIS173" s="1"/>
      <c r="AIT173" s="1"/>
      <c r="AIU173" s="1"/>
      <c r="AIV173" s="1"/>
      <c r="AIW173" s="1"/>
      <c r="AIX173" s="1"/>
      <c r="AIY173" s="1"/>
      <c r="AIZ173" s="1"/>
      <c r="AJA173" s="1"/>
      <c r="AJB173" s="1"/>
      <c r="AJC173" s="1"/>
      <c r="AJD173" s="1"/>
      <c r="AJE173" s="1"/>
      <c r="AJF173" s="1"/>
      <c r="AJG173" s="1"/>
      <c r="AJH173" s="1"/>
      <c r="AJI173" s="1"/>
      <c r="AJJ173" s="1"/>
      <c r="AJK173" s="1"/>
      <c r="AJL173" s="1"/>
      <c r="AJM173" s="1"/>
      <c r="AJN173" s="1"/>
      <c r="AJO173" s="1"/>
      <c r="AJP173" s="1"/>
      <c r="AJQ173" s="1"/>
      <c r="AJR173" s="1"/>
      <c r="AJS173" s="1"/>
      <c r="AJT173" s="1"/>
      <c r="AJU173" s="1"/>
      <c r="AJV173" s="1"/>
      <c r="AJW173" s="1"/>
      <c r="AJX173" s="1"/>
      <c r="AJY173" s="1"/>
      <c r="AJZ173" s="1"/>
      <c r="AKA173" s="1"/>
      <c r="AKB173" s="1"/>
      <c r="AKC173" s="1"/>
      <c r="AKD173" s="1"/>
      <c r="AKE173" s="1"/>
      <c r="AKF173" s="1"/>
      <c r="AKG173" s="1"/>
      <c r="AKH173" s="1"/>
      <c r="AKI173" s="1"/>
      <c r="AKJ173" s="1"/>
      <c r="AKK173" s="1"/>
      <c r="AKL173" s="1"/>
      <c r="AKM173" s="1"/>
      <c r="AKN173" s="1"/>
      <c r="AKO173" s="1"/>
      <c r="AKP173" s="1"/>
      <c r="AKQ173" s="1"/>
      <c r="AKR173" s="1"/>
      <c r="AKS173" s="1"/>
      <c r="AKT173" s="1"/>
      <c r="AKU173" s="1"/>
      <c r="AKV173" s="1"/>
      <c r="AKW173" s="1"/>
      <c r="AKX173" s="1"/>
      <c r="AKY173" s="1"/>
      <c r="AKZ173" s="1"/>
      <c r="ALA173" s="1"/>
      <c r="ALB173" s="1"/>
      <c r="ALC173" s="1"/>
      <c r="ALD173" s="1"/>
      <c r="ALE173" s="1"/>
      <c r="ALF173" s="1"/>
      <c r="ALG173" s="1"/>
      <c r="ALH173" s="1"/>
      <c r="ALI173" s="1"/>
      <c r="ALJ173" s="1"/>
      <c r="ALK173" s="1"/>
      <c r="ALL173" s="1"/>
      <c r="ALM173" s="1"/>
      <c r="ALN173" s="1"/>
      <c r="ALO173" s="1"/>
      <c r="ALP173" s="1"/>
      <c r="ALQ173" s="1"/>
      <c r="ALR173" s="1"/>
      <c r="ALS173" s="1"/>
      <c r="ALT173" s="1"/>
      <c r="ALU173" s="1"/>
      <c r="ALV173" s="1"/>
      <c r="ALW173" s="1"/>
      <c r="ALX173" s="1"/>
      <c r="ALY173" s="1"/>
      <c r="ALZ173" s="1"/>
      <c r="AMA173" s="1"/>
      <c r="AMB173" s="1"/>
      <c r="AMC173" s="1"/>
      <c r="AMD173" s="1"/>
      <c r="AME173" s="1"/>
      <c r="AMF173" s="1"/>
      <c r="AMG173" s="1"/>
      <c r="AMH173" s="1"/>
      <c r="AMI173" s="1"/>
      <c r="AMJ173" s="1"/>
    </row>
    <row r="174" customFormat="false" ht="10.5" hidden="false" customHeight="true" outlineLevel="0" collapsed="false">
      <c r="A174" s="217"/>
      <c r="B174" s="217"/>
      <c r="C174" s="217"/>
      <c r="D174" s="217"/>
      <c r="E174" s="217"/>
      <c r="F174" s="168"/>
      <c r="G174" s="168"/>
      <c r="H174" s="168"/>
      <c r="I174" s="168"/>
      <c r="J174" s="168"/>
      <c r="K174" s="168"/>
      <c r="L174" s="168"/>
      <c r="M174" s="168"/>
      <c r="N174" s="168"/>
      <c r="O174" s="168"/>
      <c r="P174" s="168"/>
      <c r="Q174" s="168"/>
      <c r="R174" s="168"/>
      <c r="S174" s="168"/>
      <c r="T174" s="168"/>
      <c r="U174" s="168"/>
      <c r="V174" s="168"/>
      <c r="W174" s="168"/>
      <c r="X174" s="168"/>
      <c r="Y174" s="168"/>
      <c r="Z174" s="170"/>
      <c r="AA174" s="170"/>
      <c r="AB174" s="170"/>
      <c r="AC174" s="170"/>
      <c r="AD174" s="229"/>
      <c r="AE174" s="229"/>
      <c r="AF174" s="229"/>
      <c r="AG174" s="228"/>
      <c r="AH174" s="228"/>
      <c r="AI174" s="228"/>
      <c r="AJ174" s="228"/>
      <c r="AK174" s="228"/>
      <c r="AL174" s="228"/>
      <c r="AM174" s="228"/>
      <c r="AN174" s="228"/>
      <c r="AO174" s="228"/>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c r="IY174" s="1"/>
      <c r="IZ174" s="1"/>
      <c r="JA174" s="1"/>
      <c r="JB174" s="1"/>
      <c r="JC174" s="1"/>
      <c r="JD174" s="1"/>
      <c r="JE174" s="1"/>
      <c r="JF174" s="1"/>
      <c r="JG174" s="1"/>
      <c r="JH174" s="1"/>
      <c r="JI174" s="1"/>
      <c r="JJ174" s="1"/>
      <c r="JK174" s="1"/>
      <c r="JL174" s="1"/>
      <c r="JM174" s="1"/>
      <c r="JN174" s="1"/>
      <c r="JO174" s="1"/>
      <c r="JP174" s="1"/>
      <c r="JQ174" s="1"/>
      <c r="JR174" s="1"/>
      <c r="JS174" s="1"/>
      <c r="JT174" s="1"/>
      <c r="JU174" s="1"/>
      <c r="JV174" s="1"/>
      <c r="JW174" s="1"/>
      <c r="JX174" s="1"/>
      <c r="JY174" s="1"/>
      <c r="JZ174" s="1"/>
      <c r="KA174" s="1"/>
      <c r="KB174" s="1"/>
      <c r="KC174" s="1"/>
      <c r="KD174" s="1"/>
      <c r="KE174" s="1"/>
      <c r="KF174" s="1"/>
      <c r="KG174" s="1"/>
      <c r="KH174" s="1"/>
      <c r="KI174" s="1"/>
      <c r="KJ174" s="1"/>
      <c r="KK174" s="1"/>
      <c r="KL174" s="1"/>
      <c r="KM174" s="1"/>
      <c r="KN174" s="1"/>
      <c r="KO174" s="1"/>
      <c r="KP174" s="1"/>
      <c r="KQ174" s="1"/>
      <c r="KR174" s="1"/>
      <c r="KS174" s="1"/>
      <c r="KT174" s="1"/>
      <c r="KU174" s="1"/>
      <c r="KV174" s="1"/>
      <c r="KW174" s="1"/>
      <c r="KX174" s="1"/>
      <c r="KY174" s="1"/>
      <c r="KZ174" s="1"/>
      <c r="LA174" s="1"/>
      <c r="LB174" s="1"/>
      <c r="LC174" s="1"/>
      <c r="LD174" s="1"/>
      <c r="LE174" s="1"/>
      <c r="LF174" s="1"/>
      <c r="LG174" s="1"/>
      <c r="LH174" s="1"/>
      <c r="LI174" s="1"/>
      <c r="LJ174" s="1"/>
      <c r="LK174" s="1"/>
      <c r="LL174" s="1"/>
      <c r="LM174" s="1"/>
      <c r="LN174" s="1"/>
      <c r="LO174" s="1"/>
      <c r="LP174" s="1"/>
      <c r="LQ174" s="1"/>
      <c r="LR174" s="1"/>
      <c r="LS174" s="1"/>
      <c r="LT174" s="1"/>
      <c r="LU174" s="1"/>
      <c r="LV174" s="1"/>
      <c r="LW174" s="1"/>
      <c r="LX174" s="1"/>
      <c r="LY174" s="1"/>
      <c r="LZ174" s="1"/>
      <c r="MA174" s="1"/>
      <c r="MB174" s="1"/>
      <c r="MC174" s="1"/>
      <c r="MD174" s="1"/>
      <c r="ME174" s="1"/>
      <c r="MF174" s="1"/>
      <c r="MG174" s="1"/>
      <c r="MH174" s="1"/>
      <c r="MI174" s="1"/>
      <c r="MJ174" s="1"/>
      <c r="MK174" s="1"/>
      <c r="ML174" s="1"/>
      <c r="MM174" s="1"/>
      <c r="MN174" s="1"/>
      <c r="MO174" s="1"/>
      <c r="MP174" s="1"/>
      <c r="MQ174" s="1"/>
      <c r="MR174" s="1"/>
      <c r="MS174" s="1"/>
      <c r="MT174" s="1"/>
      <c r="MU174" s="1"/>
      <c r="MV174" s="1"/>
      <c r="MW174" s="1"/>
      <c r="MX174" s="1"/>
      <c r="MY174" s="1"/>
      <c r="MZ174" s="1"/>
      <c r="NA174" s="1"/>
      <c r="NB174" s="1"/>
      <c r="NC174" s="1"/>
      <c r="ND174" s="1"/>
      <c r="NE174" s="1"/>
      <c r="NF174" s="1"/>
      <c r="NG174" s="1"/>
      <c r="NH174" s="1"/>
      <c r="NI174" s="1"/>
      <c r="NJ174" s="1"/>
      <c r="NK174" s="1"/>
      <c r="NL174" s="1"/>
      <c r="NM174" s="1"/>
      <c r="NN174" s="1"/>
      <c r="NO174" s="1"/>
      <c r="NP174" s="1"/>
      <c r="NQ174" s="1"/>
      <c r="NR174" s="1"/>
      <c r="NS174" s="1"/>
      <c r="NT174" s="1"/>
      <c r="NU174" s="1"/>
      <c r="NV174" s="1"/>
      <c r="NW174" s="1"/>
      <c r="NX174" s="1"/>
      <c r="NY174" s="1"/>
      <c r="NZ174" s="1"/>
      <c r="OA174" s="1"/>
      <c r="OB174" s="1"/>
      <c r="OC174" s="1"/>
      <c r="OD174" s="1"/>
      <c r="OE174" s="1"/>
      <c r="OF174" s="1"/>
      <c r="OG174" s="1"/>
      <c r="OH174" s="1"/>
      <c r="OI174" s="1"/>
      <c r="OJ174" s="1"/>
      <c r="OK174" s="1"/>
      <c r="OL174" s="1"/>
      <c r="OM174" s="1"/>
      <c r="ON174" s="1"/>
      <c r="OO174" s="1"/>
      <c r="OP174" s="1"/>
      <c r="OQ174" s="1"/>
      <c r="OR174" s="1"/>
      <c r="OS174" s="1"/>
      <c r="OT174" s="1"/>
      <c r="OU174" s="1"/>
      <c r="OV174" s="1"/>
      <c r="OW174" s="1"/>
      <c r="OX174" s="1"/>
      <c r="OY174" s="1"/>
      <c r="OZ174" s="1"/>
      <c r="PA174" s="1"/>
      <c r="PB174" s="1"/>
      <c r="PC174" s="1"/>
      <c r="PD174" s="1"/>
      <c r="PE174" s="1"/>
      <c r="PF174" s="1"/>
      <c r="PG174" s="1"/>
      <c r="PH174" s="1"/>
      <c r="PI174" s="1"/>
      <c r="PJ174" s="1"/>
      <c r="PK174" s="1"/>
      <c r="PL174" s="1"/>
      <c r="PM174" s="1"/>
      <c r="PN174" s="1"/>
      <c r="PO174" s="1"/>
      <c r="PP174" s="1"/>
      <c r="PQ174" s="1"/>
      <c r="PR174" s="1"/>
      <c r="PS174" s="1"/>
      <c r="PT174" s="1"/>
      <c r="PU174" s="1"/>
      <c r="PV174" s="1"/>
      <c r="PW174" s="1"/>
      <c r="PX174" s="1"/>
      <c r="PY174" s="1"/>
      <c r="PZ174" s="1"/>
      <c r="QA174" s="1"/>
      <c r="QB174" s="1"/>
      <c r="QC174" s="1"/>
      <c r="QD174" s="1"/>
      <c r="QE174" s="1"/>
      <c r="QF174" s="1"/>
      <c r="QG174" s="1"/>
      <c r="QH174" s="1"/>
      <c r="QI174" s="1"/>
      <c r="QJ174" s="1"/>
      <c r="QK174" s="1"/>
      <c r="QL174" s="1"/>
      <c r="QM174" s="1"/>
      <c r="QN174" s="1"/>
      <c r="QO174" s="1"/>
      <c r="QP174" s="1"/>
      <c r="QQ174" s="1"/>
      <c r="QR174" s="1"/>
      <c r="QS174" s="1"/>
      <c r="QT174" s="1"/>
      <c r="QU174" s="1"/>
      <c r="QV174" s="1"/>
      <c r="QW174" s="1"/>
      <c r="QX174" s="1"/>
      <c r="QY174" s="1"/>
      <c r="QZ174" s="1"/>
      <c r="RA174" s="1"/>
      <c r="RB174" s="1"/>
      <c r="RC174" s="1"/>
      <c r="RD174" s="1"/>
      <c r="RE174" s="1"/>
      <c r="RF174" s="1"/>
      <c r="RG174" s="1"/>
      <c r="RH174" s="1"/>
      <c r="RI174" s="1"/>
      <c r="RJ174" s="1"/>
      <c r="RK174" s="1"/>
      <c r="RL174" s="1"/>
      <c r="RM174" s="1"/>
      <c r="RN174" s="1"/>
      <c r="RO174" s="1"/>
      <c r="RP174" s="1"/>
      <c r="RQ174" s="1"/>
      <c r="RR174" s="1"/>
      <c r="RS174" s="1"/>
      <c r="RT174" s="1"/>
      <c r="RU174" s="1"/>
      <c r="RV174" s="1"/>
      <c r="RW174" s="1"/>
      <c r="RX174" s="1"/>
      <c r="RY174" s="1"/>
      <c r="RZ174" s="1"/>
      <c r="SA174" s="1"/>
      <c r="SB174" s="1"/>
      <c r="SC174" s="1"/>
      <c r="SD174" s="1"/>
      <c r="SE174" s="1"/>
      <c r="SF174" s="1"/>
      <c r="SG174" s="1"/>
      <c r="SH174" s="1"/>
      <c r="SI174" s="1"/>
      <c r="SJ174" s="1"/>
      <c r="SK174" s="1"/>
      <c r="SL174" s="1"/>
      <c r="SM174" s="1"/>
      <c r="SN174" s="1"/>
      <c r="SO174" s="1"/>
      <c r="SP174" s="1"/>
      <c r="SQ174" s="1"/>
      <c r="SR174" s="1"/>
      <c r="SS174" s="1"/>
      <c r="ST174" s="1"/>
      <c r="SU174" s="1"/>
      <c r="SV174" s="1"/>
      <c r="SW174" s="1"/>
      <c r="SX174" s="1"/>
      <c r="SY174" s="1"/>
      <c r="SZ174" s="1"/>
      <c r="TA174" s="1"/>
      <c r="TB174" s="1"/>
      <c r="TC174" s="1"/>
      <c r="TD174" s="1"/>
      <c r="TE174" s="1"/>
      <c r="TF174" s="1"/>
      <c r="TG174" s="1"/>
      <c r="TH174" s="1"/>
      <c r="TI174" s="1"/>
      <c r="TJ174" s="1"/>
      <c r="TK174" s="1"/>
      <c r="TL174" s="1"/>
      <c r="TM174" s="1"/>
      <c r="TN174" s="1"/>
      <c r="TO174" s="1"/>
      <c r="TP174" s="1"/>
      <c r="TQ174" s="1"/>
      <c r="TR174" s="1"/>
      <c r="TS174" s="1"/>
      <c r="TT174" s="1"/>
      <c r="TU174" s="1"/>
      <c r="TV174" s="1"/>
      <c r="TW174" s="1"/>
      <c r="TX174" s="1"/>
      <c r="TY174" s="1"/>
      <c r="TZ174" s="1"/>
      <c r="UA174" s="1"/>
      <c r="UB174" s="1"/>
      <c r="UC174" s="1"/>
      <c r="UD174" s="1"/>
      <c r="UE174" s="1"/>
      <c r="UF174" s="1"/>
      <c r="UG174" s="1"/>
      <c r="UH174" s="1"/>
      <c r="UI174" s="1"/>
      <c r="UJ174" s="1"/>
      <c r="UK174" s="1"/>
      <c r="UL174" s="1"/>
      <c r="UM174" s="1"/>
      <c r="UN174" s="1"/>
      <c r="UO174" s="1"/>
      <c r="UP174" s="1"/>
      <c r="UQ174" s="1"/>
      <c r="UR174" s="1"/>
      <c r="US174" s="1"/>
      <c r="UT174" s="1"/>
      <c r="UU174" s="1"/>
      <c r="UV174" s="1"/>
      <c r="UW174" s="1"/>
      <c r="UX174" s="1"/>
      <c r="UY174" s="1"/>
      <c r="UZ174" s="1"/>
      <c r="VA174" s="1"/>
      <c r="VB174" s="1"/>
      <c r="VC174" s="1"/>
      <c r="VD174" s="1"/>
      <c r="VE174" s="1"/>
      <c r="VF174" s="1"/>
      <c r="VG174" s="1"/>
      <c r="VH174" s="1"/>
      <c r="VI174" s="1"/>
      <c r="VJ174" s="1"/>
      <c r="VK174" s="1"/>
      <c r="VL174" s="1"/>
      <c r="VM174" s="1"/>
      <c r="VN174" s="1"/>
      <c r="VO174" s="1"/>
      <c r="VP174" s="1"/>
      <c r="VQ174" s="1"/>
      <c r="VR174" s="1"/>
      <c r="VS174" s="1"/>
      <c r="VT174" s="1"/>
      <c r="VU174" s="1"/>
      <c r="VV174" s="1"/>
      <c r="VW174" s="1"/>
      <c r="VX174" s="1"/>
      <c r="VY174" s="1"/>
      <c r="VZ174" s="1"/>
      <c r="WA174" s="1"/>
      <c r="WB174" s="1"/>
      <c r="WC174" s="1"/>
      <c r="WD174" s="1"/>
      <c r="WE174" s="1"/>
      <c r="WF174" s="1"/>
      <c r="WG174" s="1"/>
      <c r="WH174" s="1"/>
      <c r="WI174" s="1"/>
      <c r="WJ174" s="1"/>
      <c r="WK174" s="1"/>
      <c r="WL174" s="1"/>
      <c r="WM174" s="1"/>
      <c r="WN174" s="1"/>
      <c r="WO174" s="1"/>
      <c r="WP174" s="1"/>
      <c r="WQ174" s="1"/>
      <c r="WR174" s="1"/>
      <c r="WS174" s="1"/>
      <c r="WT174" s="1"/>
      <c r="WU174" s="1"/>
      <c r="WV174" s="1"/>
      <c r="WW174" s="1"/>
      <c r="WX174" s="1"/>
      <c r="WY174" s="1"/>
      <c r="WZ174" s="1"/>
      <c r="XA174" s="1"/>
      <c r="XB174" s="1"/>
      <c r="XC174" s="1"/>
      <c r="XD174" s="1"/>
      <c r="XE174" s="1"/>
      <c r="XF174" s="1"/>
      <c r="XG174" s="1"/>
      <c r="XH174" s="1"/>
      <c r="XI174" s="1"/>
      <c r="XJ174" s="1"/>
      <c r="XK174" s="1"/>
      <c r="XL174" s="1"/>
      <c r="XM174" s="1"/>
      <c r="XN174" s="1"/>
      <c r="XO174" s="1"/>
      <c r="XP174" s="1"/>
      <c r="XQ174" s="1"/>
      <c r="XR174" s="1"/>
      <c r="XS174" s="1"/>
      <c r="XT174" s="1"/>
      <c r="XU174" s="1"/>
      <c r="XV174" s="1"/>
      <c r="XW174" s="1"/>
      <c r="XX174" s="1"/>
      <c r="XY174" s="1"/>
      <c r="XZ174" s="1"/>
      <c r="YA174" s="1"/>
      <c r="YB174" s="1"/>
      <c r="YC174" s="1"/>
      <c r="YD174" s="1"/>
      <c r="YE174" s="1"/>
      <c r="YF174" s="1"/>
      <c r="YG174" s="1"/>
      <c r="YH174" s="1"/>
      <c r="YI174" s="1"/>
      <c r="YJ174" s="1"/>
      <c r="YK174" s="1"/>
      <c r="YL174" s="1"/>
      <c r="YM174" s="1"/>
      <c r="YN174" s="1"/>
      <c r="YO174" s="1"/>
      <c r="YP174" s="1"/>
      <c r="YQ174" s="1"/>
      <c r="YR174" s="1"/>
      <c r="YS174" s="1"/>
      <c r="YT174" s="1"/>
      <c r="YU174" s="1"/>
      <c r="YV174" s="1"/>
      <c r="YW174" s="1"/>
      <c r="YX174" s="1"/>
      <c r="YY174" s="1"/>
      <c r="YZ174" s="1"/>
      <c r="ZA174" s="1"/>
      <c r="ZB174" s="1"/>
      <c r="ZC174" s="1"/>
      <c r="ZD174" s="1"/>
      <c r="ZE174" s="1"/>
      <c r="ZF174" s="1"/>
      <c r="ZG174" s="1"/>
      <c r="ZH174" s="1"/>
      <c r="ZI174" s="1"/>
      <c r="ZJ174" s="1"/>
      <c r="ZK174" s="1"/>
      <c r="ZL174" s="1"/>
      <c r="ZM174" s="1"/>
      <c r="ZN174" s="1"/>
      <c r="ZO174" s="1"/>
      <c r="ZP174" s="1"/>
      <c r="ZQ174" s="1"/>
      <c r="ZR174" s="1"/>
      <c r="ZS174" s="1"/>
      <c r="ZT174" s="1"/>
      <c r="ZU174" s="1"/>
      <c r="ZV174" s="1"/>
      <c r="ZW174" s="1"/>
      <c r="ZX174" s="1"/>
      <c r="ZY174" s="1"/>
      <c r="ZZ174" s="1"/>
      <c r="AAA174" s="1"/>
      <c r="AAB174" s="1"/>
      <c r="AAC174" s="1"/>
      <c r="AAD174" s="1"/>
      <c r="AAE174" s="1"/>
      <c r="AAF174" s="1"/>
      <c r="AAG174" s="1"/>
      <c r="AAH174" s="1"/>
      <c r="AAI174" s="1"/>
      <c r="AAJ174" s="1"/>
      <c r="AAK174" s="1"/>
      <c r="AAL174" s="1"/>
      <c r="AAM174" s="1"/>
      <c r="AAN174" s="1"/>
      <c r="AAO174" s="1"/>
      <c r="AAP174" s="1"/>
      <c r="AAQ174" s="1"/>
      <c r="AAR174" s="1"/>
      <c r="AAS174" s="1"/>
      <c r="AAT174" s="1"/>
      <c r="AAU174" s="1"/>
      <c r="AAV174" s="1"/>
      <c r="AAW174" s="1"/>
      <c r="AAX174" s="1"/>
      <c r="AAY174" s="1"/>
      <c r="AAZ174" s="1"/>
      <c r="ABA174" s="1"/>
      <c r="ABB174" s="1"/>
      <c r="ABC174" s="1"/>
      <c r="ABD174" s="1"/>
      <c r="ABE174" s="1"/>
      <c r="ABF174" s="1"/>
      <c r="ABG174" s="1"/>
      <c r="ABH174" s="1"/>
      <c r="ABI174" s="1"/>
      <c r="ABJ174" s="1"/>
      <c r="ABK174" s="1"/>
      <c r="ABL174" s="1"/>
      <c r="ABM174" s="1"/>
      <c r="ABN174" s="1"/>
      <c r="ABO174" s="1"/>
      <c r="ABP174" s="1"/>
      <c r="ABQ174" s="1"/>
      <c r="ABR174" s="1"/>
      <c r="ABS174" s="1"/>
      <c r="ABT174" s="1"/>
      <c r="ABU174" s="1"/>
      <c r="ABV174" s="1"/>
      <c r="ABW174" s="1"/>
      <c r="ABX174" s="1"/>
      <c r="ABY174" s="1"/>
      <c r="ABZ174" s="1"/>
      <c r="ACA174" s="1"/>
      <c r="ACB174" s="1"/>
      <c r="ACC174" s="1"/>
      <c r="ACD174" s="1"/>
      <c r="ACE174" s="1"/>
      <c r="ACF174" s="1"/>
      <c r="ACG174" s="1"/>
      <c r="ACH174" s="1"/>
      <c r="ACI174" s="1"/>
      <c r="ACJ174" s="1"/>
      <c r="ACK174" s="1"/>
      <c r="ACL174" s="1"/>
      <c r="ACM174" s="1"/>
      <c r="ACN174" s="1"/>
      <c r="ACO174" s="1"/>
      <c r="ACP174" s="1"/>
      <c r="ACQ174" s="1"/>
      <c r="ACR174" s="1"/>
      <c r="ACS174" s="1"/>
      <c r="ACT174" s="1"/>
      <c r="ACU174" s="1"/>
      <c r="ACV174" s="1"/>
      <c r="ACW174" s="1"/>
      <c r="ACX174" s="1"/>
      <c r="ACY174" s="1"/>
      <c r="ACZ174" s="1"/>
      <c r="ADA174" s="1"/>
      <c r="ADB174" s="1"/>
      <c r="ADC174" s="1"/>
      <c r="ADD174" s="1"/>
      <c r="ADE174" s="1"/>
      <c r="ADF174" s="1"/>
      <c r="ADG174" s="1"/>
      <c r="ADH174" s="1"/>
      <c r="ADI174" s="1"/>
      <c r="ADJ174" s="1"/>
      <c r="ADK174" s="1"/>
      <c r="ADL174" s="1"/>
      <c r="ADM174" s="1"/>
      <c r="ADN174" s="1"/>
      <c r="ADO174" s="1"/>
      <c r="ADP174" s="1"/>
      <c r="ADQ174" s="1"/>
      <c r="ADR174" s="1"/>
      <c r="ADS174" s="1"/>
      <c r="ADT174" s="1"/>
      <c r="ADU174" s="1"/>
      <c r="ADV174" s="1"/>
      <c r="ADW174" s="1"/>
      <c r="ADX174" s="1"/>
      <c r="ADY174" s="1"/>
      <c r="ADZ174" s="1"/>
      <c r="AEA174" s="1"/>
      <c r="AEB174" s="1"/>
      <c r="AEC174" s="1"/>
      <c r="AED174" s="1"/>
      <c r="AEE174" s="1"/>
      <c r="AEF174" s="1"/>
      <c r="AEG174" s="1"/>
      <c r="AEH174" s="1"/>
      <c r="AEI174" s="1"/>
      <c r="AEJ174" s="1"/>
      <c r="AEK174" s="1"/>
      <c r="AEL174" s="1"/>
      <c r="AEM174" s="1"/>
      <c r="AEN174" s="1"/>
      <c r="AEO174" s="1"/>
      <c r="AEP174" s="1"/>
      <c r="AEQ174" s="1"/>
      <c r="AER174" s="1"/>
      <c r="AES174" s="1"/>
      <c r="AET174" s="1"/>
      <c r="AEU174" s="1"/>
      <c r="AEV174" s="1"/>
      <c r="AEW174" s="1"/>
      <c r="AEX174" s="1"/>
      <c r="AEY174" s="1"/>
      <c r="AEZ174" s="1"/>
      <c r="AFA174" s="1"/>
      <c r="AFB174" s="1"/>
      <c r="AFC174" s="1"/>
      <c r="AFD174" s="1"/>
      <c r="AFE174" s="1"/>
      <c r="AFF174" s="1"/>
      <c r="AFG174" s="1"/>
      <c r="AFH174" s="1"/>
      <c r="AFI174" s="1"/>
      <c r="AFJ174" s="1"/>
      <c r="AFK174" s="1"/>
      <c r="AFL174" s="1"/>
      <c r="AFM174" s="1"/>
      <c r="AFN174" s="1"/>
      <c r="AFO174" s="1"/>
      <c r="AFP174" s="1"/>
      <c r="AFQ174" s="1"/>
      <c r="AFR174" s="1"/>
      <c r="AFS174" s="1"/>
      <c r="AFT174" s="1"/>
      <c r="AFU174" s="1"/>
      <c r="AFV174" s="1"/>
      <c r="AFW174" s="1"/>
      <c r="AFX174" s="1"/>
      <c r="AFY174" s="1"/>
      <c r="AFZ174" s="1"/>
      <c r="AGA174" s="1"/>
      <c r="AGB174" s="1"/>
      <c r="AGC174" s="1"/>
      <c r="AGD174" s="1"/>
      <c r="AGE174" s="1"/>
      <c r="AGF174" s="1"/>
      <c r="AGG174" s="1"/>
      <c r="AGH174" s="1"/>
      <c r="AGI174" s="1"/>
      <c r="AGJ174" s="1"/>
      <c r="AGK174" s="1"/>
      <c r="AGL174" s="1"/>
      <c r="AGM174" s="1"/>
      <c r="AGN174" s="1"/>
      <c r="AGO174" s="1"/>
      <c r="AGP174" s="1"/>
      <c r="AGQ174" s="1"/>
      <c r="AGR174" s="1"/>
      <c r="AGS174" s="1"/>
      <c r="AGT174" s="1"/>
      <c r="AGU174" s="1"/>
      <c r="AGV174" s="1"/>
      <c r="AGW174" s="1"/>
      <c r="AGX174" s="1"/>
      <c r="AGY174" s="1"/>
      <c r="AGZ174" s="1"/>
      <c r="AHA174" s="1"/>
      <c r="AHB174" s="1"/>
      <c r="AHC174" s="1"/>
      <c r="AHD174" s="1"/>
      <c r="AHE174" s="1"/>
      <c r="AHF174" s="1"/>
      <c r="AHG174" s="1"/>
      <c r="AHH174" s="1"/>
      <c r="AHI174" s="1"/>
      <c r="AHJ174" s="1"/>
      <c r="AHK174" s="1"/>
      <c r="AHL174" s="1"/>
      <c r="AHM174" s="1"/>
      <c r="AHN174" s="1"/>
      <c r="AHO174" s="1"/>
      <c r="AHP174" s="1"/>
      <c r="AHQ174" s="1"/>
      <c r="AHR174" s="1"/>
      <c r="AHS174" s="1"/>
      <c r="AHT174" s="1"/>
      <c r="AHU174" s="1"/>
      <c r="AHV174" s="1"/>
      <c r="AHW174" s="1"/>
      <c r="AHX174" s="1"/>
      <c r="AHY174" s="1"/>
      <c r="AHZ174" s="1"/>
      <c r="AIA174" s="1"/>
      <c r="AIB174" s="1"/>
      <c r="AIC174" s="1"/>
      <c r="AID174" s="1"/>
      <c r="AIE174" s="1"/>
      <c r="AIF174" s="1"/>
      <c r="AIG174" s="1"/>
      <c r="AIH174" s="1"/>
      <c r="AII174" s="1"/>
      <c r="AIJ174" s="1"/>
      <c r="AIK174" s="1"/>
      <c r="AIL174" s="1"/>
      <c r="AIM174" s="1"/>
      <c r="AIN174" s="1"/>
      <c r="AIO174" s="1"/>
      <c r="AIP174" s="1"/>
      <c r="AIQ174" s="1"/>
      <c r="AIR174" s="1"/>
      <c r="AIS174" s="1"/>
      <c r="AIT174" s="1"/>
      <c r="AIU174" s="1"/>
      <c r="AIV174" s="1"/>
      <c r="AIW174" s="1"/>
      <c r="AIX174" s="1"/>
      <c r="AIY174" s="1"/>
      <c r="AIZ174" s="1"/>
      <c r="AJA174" s="1"/>
      <c r="AJB174" s="1"/>
      <c r="AJC174" s="1"/>
      <c r="AJD174" s="1"/>
      <c r="AJE174" s="1"/>
      <c r="AJF174" s="1"/>
      <c r="AJG174" s="1"/>
      <c r="AJH174" s="1"/>
      <c r="AJI174" s="1"/>
      <c r="AJJ174" s="1"/>
      <c r="AJK174" s="1"/>
      <c r="AJL174" s="1"/>
      <c r="AJM174" s="1"/>
      <c r="AJN174" s="1"/>
      <c r="AJO174" s="1"/>
      <c r="AJP174" s="1"/>
      <c r="AJQ174" s="1"/>
      <c r="AJR174" s="1"/>
      <c r="AJS174" s="1"/>
      <c r="AJT174" s="1"/>
      <c r="AJU174" s="1"/>
      <c r="AJV174" s="1"/>
      <c r="AJW174" s="1"/>
      <c r="AJX174" s="1"/>
      <c r="AJY174" s="1"/>
      <c r="AJZ174" s="1"/>
      <c r="AKA174" s="1"/>
      <c r="AKB174" s="1"/>
      <c r="AKC174" s="1"/>
      <c r="AKD174" s="1"/>
      <c r="AKE174" s="1"/>
      <c r="AKF174" s="1"/>
      <c r="AKG174" s="1"/>
      <c r="AKH174" s="1"/>
      <c r="AKI174" s="1"/>
      <c r="AKJ174" s="1"/>
      <c r="AKK174" s="1"/>
      <c r="AKL174" s="1"/>
      <c r="AKM174" s="1"/>
      <c r="AKN174" s="1"/>
      <c r="AKO174" s="1"/>
      <c r="AKP174" s="1"/>
      <c r="AKQ174" s="1"/>
      <c r="AKR174" s="1"/>
      <c r="AKS174" s="1"/>
      <c r="AKT174" s="1"/>
      <c r="AKU174" s="1"/>
      <c r="AKV174" s="1"/>
      <c r="AKW174" s="1"/>
      <c r="AKX174" s="1"/>
      <c r="AKY174" s="1"/>
      <c r="AKZ174" s="1"/>
      <c r="ALA174" s="1"/>
      <c r="ALB174" s="1"/>
      <c r="ALC174" s="1"/>
      <c r="ALD174" s="1"/>
      <c r="ALE174" s="1"/>
      <c r="ALF174" s="1"/>
      <c r="ALG174" s="1"/>
      <c r="ALH174" s="1"/>
      <c r="ALI174" s="1"/>
      <c r="ALJ174" s="1"/>
      <c r="ALK174" s="1"/>
      <c r="ALL174" s="1"/>
      <c r="ALM174" s="1"/>
      <c r="ALN174" s="1"/>
      <c r="ALO174" s="1"/>
      <c r="ALP174" s="1"/>
      <c r="ALQ174" s="1"/>
      <c r="ALR174" s="1"/>
      <c r="ALS174" s="1"/>
      <c r="ALT174" s="1"/>
      <c r="ALU174" s="1"/>
      <c r="ALV174" s="1"/>
      <c r="ALW174" s="1"/>
      <c r="ALX174" s="1"/>
      <c r="ALY174" s="1"/>
      <c r="ALZ174" s="1"/>
      <c r="AMA174" s="1"/>
      <c r="AMB174" s="1"/>
      <c r="AMC174" s="1"/>
      <c r="AMD174" s="1"/>
      <c r="AME174" s="1"/>
      <c r="AMF174" s="1"/>
      <c r="AMG174" s="1"/>
      <c r="AMH174" s="1"/>
      <c r="AMI174" s="1"/>
      <c r="AMJ174" s="1"/>
    </row>
    <row r="175" customFormat="false" ht="10.5" hidden="false" customHeight="true" outlineLevel="0" collapsed="false">
      <c r="A175" s="217"/>
      <c r="B175" s="217"/>
      <c r="C175" s="217"/>
      <c r="D175" s="217"/>
      <c r="E175" s="217"/>
      <c r="F175" s="168"/>
      <c r="G175" s="168"/>
      <c r="H175" s="168"/>
      <c r="I175" s="168"/>
      <c r="J175" s="168"/>
      <c r="K175" s="168"/>
      <c r="L175" s="168"/>
      <c r="M175" s="168"/>
      <c r="N175" s="168"/>
      <c r="O175" s="168"/>
      <c r="P175" s="168"/>
      <c r="Q175" s="168"/>
      <c r="R175" s="168"/>
      <c r="S175" s="168"/>
      <c r="T175" s="168"/>
      <c r="U175" s="168"/>
      <c r="V175" s="168"/>
      <c r="W175" s="168"/>
      <c r="X175" s="168"/>
      <c r="Y175" s="168"/>
      <c r="Z175" s="170"/>
      <c r="AA175" s="170"/>
      <c r="AB175" s="170"/>
      <c r="AC175" s="170"/>
      <c r="AD175" s="230"/>
      <c r="AE175" s="230"/>
      <c r="AF175" s="230"/>
      <c r="AG175" s="228"/>
      <c r="AH175" s="228"/>
      <c r="AI175" s="228"/>
      <c r="AJ175" s="228"/>
      <c r="AK175" s="228"/>
      <c r="AL175" s="228"/>
      <c r="AM175" s="228"/>
      <c r="AN175" s="228"/>
      <c r="AO175" s="228"/>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c r="IY175" s="1"/>
      <c r="IZ175" s="1"/>
      <c r="JA175" s="1"/>
      <c r="JB175" s="1"/>
      <c r="JC175" s="1"/>
      <c r="JD175" s="1"/>
      <c r="JE175" s="1"/>
      <c r="JF175" s="1"/>
      <c r="JG175" s="1"/>
      <c r="JH175" s="1"/>
      <c r="JI175" s="1"/>
      <c r="JJ175" s="1"/>
      <c r="JK175" s="1"/>
      <c r="JL175" s="1"/>
      <c r="JM175" s="1"/>
      <c r="JN175" s="1"/>
      <c r="JO175" s="1"/>
      <c r="JP175" s="1"/>
      <c r="JQ175" s="1"/>
      <c r="JR175" s="1"/>
      <c r="JS175" s="1"/>
      <c r="JT175" s="1"/>
      <c r="JU175" s="1"/>
      <c r="JV175" s="1"/>
      <c r="JW175" s="1"/>
      <c r="JX175" s="1"/>
      <c r="JY175" s="1"/>
      <c r="JZ175" s="1"/>
      <c r="KA175" s="1"/>
      <c r="KB175" s="1"/>
      <c r="KC175" s="1"/>
      <c r="KD175" s="1"/>
      <c r="KE175" s="1"/>
      <c r="KF175" s="1"/>
      <c r="KG175" s="1"/>
      <c r="KH175" s="1"/>
      <c r="KI175" s="1"/>
      <c r="KJ175" s="1"/>
      <c r="KK175" s="1"/>
      <c r="KL175" s="1"/>
      <c r="KM175" s="1"/>
      <c r="KN175" s="1"/>
      <c r="KO175" s="1"/>
      <c r="KP175" s="1"/>
      <c r="KQ175" s="1"/>
      <c r="KR175" s="1"/>
      <c r="KS175" s="1"/>
      <c r="KT175" s="1"/>
      <c r="KU175" s="1"/>
      <c r="KV175" s="1"/>
      <c r="KW175" s="1"/>
      <c r="KX175" s="1"/>
      <c r="KY175" s="1"/>
      <c r="KZ175" s="1"/>
      <c r="LA175" s="1"/>
      <c r="LB175" s="1"/>
      <c r="LC175" s="1"/>
      <c r="LD175" s="1"/>
      <c r="LE175" s="1"/>
      <c r="LF175" s="1"/>
      <c r="LG175" s="1"/>
      <c r="LH175" s="1"/>
      <c r="LI175" s="1"/>
      <c r="LJ175" s="1"/>
      <c r="LK175" s="1"/>
      <c r="LL175" s="1"/>
      <c r="LM175" s="1"/>
      <c r="LN175" s="1"/>
      <c r="LO175" s="1"/>
      <c r="LP175" s="1"/>
      <c r="LQ175" s="1"/>
      <c r="LR175" s="1"/>
      <c r="LS175" s="1"/>
      <c r="LT175" s="1"/>
      <c r="LU175" s="1"/>
      <c r="LV175" s="1"/>
      <c r="LW175" s="1"/>
      <c r="LX175" s="1"/>
      <c r="LY175" s="1"/>
      <c r="LZ175" s="1"/>
      <c r="MA175" s="1"/>
      <c r="MB175" s="1"/>
      <c r="MC175" s="1"/>
      <c r="MD175" s="1"/>
      <c r="ME175" s="1"/>
      <c r="MF175" s="1"/>
      <c r="MG175" s="1"/>
      <c r="MH175" s="1"/>
      <c r="MI175" s="1"/>
      <c r="MJ175" s="1"/>
      <c r="MK175" s="1"/>
      <c r="ML175" s="1"/>
      <c r="MM175" s="1"/>
      <c r="MN175" s="1"/>
      <c r="MO175" s="1"/>
      <c r="MP175" s="1"/>
      <c r="MQ175" s="1"/>
      <c r="MR175" s="1"/>
      <c r="MS175" s="1"/>
      <c r="MT175" s="1"/>
      <c r="MU175" s="1"/>
      <c r="MV175" s="1"/>
      <c r="MW175" s="1"/>
      <c r="MX175" s="1"/>
      <c r="MY175" s="1"/>
      <c r="MZ175" s="1"/>
      <c r="NA175" s="1"/>
      <c r="NB175" s="1"/>
      <c r="NC175" s="1"/>
      <c r="ND175" s="1"/>
      <c r="NE175" s="1"/>
      <c r="NF175" s="1"/>
      <c r="NG175" s="1"/>
      <c r="NH175" s="1"/>
      <c r="NI175" s="1"/>
      <c r="NJ175" s="1"/>
      <c r="NK175" s="1"/>
      <c r="NL175" s="1"/>
      <c r="NM175" s="1"/>
      <c r="NN175" s="1"/>
      <c r="NO175" s="1"/>
      <c r="NP175" s="1"/>
      <c r="NQ175" s="1"/>
      <c r="NR175" s="1"/>
      <c r="NS175" s="1"/>
      <c r="NT175" s="1"/>
      <c r="NU175" s="1"/>
      <c r="NV175" s="1"/>
      <c r="NW175" s="1"/>
      <c r="NX175" s="1"/>
      <c r="NY175" s="1"/>
      <c r="NZ175" s="1"/>
      <c r="OA175" s="1"/>
      <c r="OB175" s="1"/>
      <c r="OC175" s="1"/>
      <c r="OD175" s="1"/>
      <c r="OE175" s="1"/>
      <c r="OF175" s="1"/>
      <c r="OG175" s="1"/>
      <c r="OH175" s="1"/>
      <c r="OI175" s="1"/>
      <c r="OJ175" s="1"/>
      <c r="OK175" s="1"/>
      <c r="OL175" s="1"/>
      <c r="OM175" s="1"/>
      <c r="ON175" s="1"/>
      <c r="OO175" s="1"/>
      <c r="OP175" s="1"/>
      <c r="OQ175" s="1"/>
      <c r="OR175" s="1"/>
      <c r="OS175" s="1"/>
      <c r="OT175" s="1"/>
      <c r="OU175" s="1"/>
      <c r="OV175" s="1"/>
      <c r="OW175" s="1"/>
      <c r="OX175" s="1"/>
      <c r="OY175" s="1"/>
      <c r="OZ175" s="1"/>
      <c r="PA175" s="1"/>
      <c r="PB175" s="1"/>
      <c r="PC175" s="1"/>
      <c r="PD175" s="1"/>
      <c r="PE175" s="1"/>
      <c r="PF175" s="1"/>
      <c r="PG175" s="1"/>
      <c r="PH175" s="1"/>
      <c r="PI175" s="1"/>
      <c r="PJ175" s="1"/>
      <c r="PK175" s="1"/>
      <c r="PL175" s="1"/>
      <c r="PM175" s="1"/>
      <c r="PN175" s="1"/>
      <c r="PO175" s="1"/>
      <c r="PP175" s="1"/>
      <c r="PQ175" s="1"/>
      <c r="PR175" s="1"/>
      <c r="PS175" s="1"/>
      <c r="PT175" s="1"/>
      <c r="PU175" s="1"/>
      <c r="PV175" s="1"/>
      <c r="PW175" s="1"/>
      <c r="PX175" s="1"/>
      <c r="PY175" s="1"/>
      <c r="PZ175" s="1"/>
      <c r="QA175" s="1"/>
      <c r="QB175" s="1"/>
      <c r="QC175" s="1"/>
      <c r="QD175" s="1"/>
      <c r="QE175" s="1"/>
      <c r="QF175" s="1"/>
      <c r="QG175" s="1"/>
      <c r="QH175" s="1"/>
      <c r="QI175" s="1"/>
      <c r="QJ175" s="1"/>
      <c r="QK175" s="1"/>
      <c r="QL175" s="1"/>
      <c r="QM175" s="1"/>
      <c r="QN175" s="1"/>
      <c r="QO175" s="1"/>
      <c r="QP175" s="1"/>
      <c r="QQ175" s="1"/>
      <c r="QR175" s="1"/>
      <c r="QS175" s="1"/>
      <c r="QT175" s="1"/>
      <c r="QU175" s="1"/>
      <c r="QV175" s="1"/>
      <c r="QW175" s="1"/>
      <c r="QX175" s="1"/>
      <c r="QY175" s="1"/>
      <c r="QZ175" s="1"/>
      <c r="RA175" s="1"/>
      <c r="RB175" s="1"/>
      <c r="RC175" s="1"/>
      <c r="RD175" s="1"/>
      <c r="RE175" s="1"/>
      <c r="RF175" s="1"/>
      <c r="RG175" s="1"/>
      <c r="RH175" s="1"/>
      <c r="RI175" s="1"/>
      <c r="RJ175" s="1"/>
      <c r="RK175" s="1"/>
      <c r="RL175" s="1"/>
      <c r="RM175" s="1"/>
      <c r="RN175" s="1"/>
      <c r="RO175" s="1"/>
      <c r="RP175" s="1"/>
      <c r="RQ175" s="1"/>
      <c r="RR175" s="1"/>
      <c r="RS175" s="1"/>
      <c r="RT175" s="1"/>
      <c r="RU175" s="1"/>
      <c r="RV175" s="1"/>
      <c r="RW175" s="1"/>
      <c r="RX175" s="1"/>
      <c r="RY175" s="1"/>
      <c r="RZ175" s="1"/>
      <c r="SA175" s="1"/>
      <c r="SB175" s="1"/>
      <c r="SC175" s="1"/>
      <c r="SD175" s="1"/>
      <c r="SE175" s="1"/>
      <c r="SF175" s="1"/>
      <c r="SG175" s="1"/>
      <c r="SH175" s="1"/>
      <c r="SI175" s="1"/>
      <c r="SJ175" s="1"/>
      <c r="SK175" s="1"/>
      <c r="SL175" s="1"/>
      <c r="SM175" s="1"/>
      <c r="SN175" s="1"/>
      <c r="SO175" s="1"/>
      <c r="SP175" s="1"/>
      <c r="SQ175" s="1"/>
      <c r="SR175" s="1"/>
      <c r="SS175" s="1"/>
      <c r="ST175" s="1"/>
      <c r="SU175" s="1"/>
      <c r="SV175" s="1"/>
      <c r="SW175" s="1"/>
      <c r="SX175" s="1"/>
      <c r="SY175" s="1"/>
      <c r="SZ175" s="1"/>
      <c r="TA175" s="1"/>
      <c r="TB175" s="1"/>
      <c r="TC175" s="1"/>
      <c r="TD175" s="1"/>
      <c r="TE175" s="1"/>
      <c r="TF175" s="1"/>
      <c r="TG175" s="1"/>
      <c r="TH175" s="1"/>
      <c r="TI175" s="1"/>
      <c r="TJ175" s="1"/>
      <c r="TK175" s="1"/>
      <c r="TL175" s="1"/>
      <c r="TM175" s="1"/>
      <c r="TN175" s="1"/>
      <c r="TO175" s="1"/>
      <c r="TP175" s="1"/>
      <c r="TQ175" s="1"/>
      <c r="TR175" s="1"/>
      <c r="TS175" s="1"/>
      <c r="TT175" s="1"/>
      <c r="TU175" s="1"/>
      <c r="TV175" s="1"/>
      <c r="TW175" s="1"/>
      <c r="TX175" s="1"/>
      <c r="TY175" s="1"/>
      <c r="TZ175" s="1"/>
      <c r="UA175" s="1"/>
      <c r="UB175" s="1"/>
      <c r="UC175" s="1"/>
      <c r="UD175" s="1"/>
      <c r="UE175" s="1"/>
      <c r="UF175" s="1"/>
      <c r="UG175" s="1"/>
      <c r="UH175" s="1"/>
      <c r="UI175" s="1"/>
      <c r="UJ175" s="1"/>
      <c r="UK175" s="1"/>
      <c r="UL175" s="1"/>
      <c r="UM175" s="1"/>
      <c r="UN175" s="1"/>
      <c r="UO175" s="1"/>
      <c r="UP175" s="1"/>
      <c r="UQ175" s="1"/>
      <c r="UR175" s="1"/>
      <c r="US175" s="1"/>
      <c r="UT175" s="1"/>
      <c r="UU175" s="1"/>
      <c r="UV175" s="1"/>
      <c r="UW175" s="1"/>
      <c r="UX175" s="1"/>
      <c r="UY175" s="1"/>
      <c r="UZ175" s="1"/>
      <c r="VA175" s="1"/>
      <c r="VB175" s="1"/>
      <c r="VC175" s="1"/>
      <c r="VD175" s="1"/>
      <c r="VE175" s="1"/>
      <c r="VF175" s="1"/>
      <c r="VG175" s="1"/>
      <c r="VH175" s="1"/>
      <c r="VI175" s="1"/>
      <c r="VJ175" s="1"/>
      <c r="VK175" s="1"/>
      <c r="VL175" s="1"/>
      <c r="VM175" s="1"/>
      <c r="VN175" s="1"/>
      <c r="VO175" s="1"/>
      <c r="VP175" s="1"/>
      <c r="VQ175" s="1"/>
      <c r="VR175" s="1"/>
      <c r="VS175" s="1"/>
      <c r="VT175" s="1"/>
      <c r="VU175" s="1"/>
      <c r="VV175" s="1"/>
      <c r="VW175" s="1"/>
      <c r="VX175" s="1"/>
      <c r="VY175" s="1"/>
      <c r="VZ175" s="1"/>
      <c r="WA175" s="1"/>
      <c r="WB175" s="1"/>
      <c r="WC175" s="1"/>
      <c r="WD175" s="1"/>
      <c r="WE175" s="1"/>
      <c r="WF175" s="1"/>
      <c r="WG175" s="1"/>
      <c r="WH175" s="1"/>
      <c r="WI175" s="1"/>
      <c r="WJ175" s="1"/>
      <c r="WK175" s="1"/>
      <c r="WL175" s="1"/>
      <c r="WM175" s="1"/>
      <c r="WN175" s="1"/>
      <c r="WO175" s="1"/>
      <c r="WP175" s="1"/>
      <c r="WQ175" s="1"/>
      <c r="WR175" s="1"/>
      <c r="WS175" s="1"/>
      <c r="WT175" s="1"/>
      <c r="WU175" s="1"/>
      <c r="WV175" s="1"/>
      <c r="WW175" s="1"/>
      <c r="WX175" s="1"/>
      <c r="WY175" s="1"/>
      <c r="WZ175" s="1"/>
      <c r="XA175" s="1"/>
      <c r="XB175" s="1"/>
      <c r="XC175" s="1"/>
      <c r="XD175" s="1"/>
      <c r="XE175" s="1"/>
      <c r="XF175" s="1"/>
      <c r="XG175" s="1"/>
      <c r="XH175" s="1"/>
      <c r="XI175" s="1"/>
      <c r="XJ175" s="1"/>
      <c r="XK175" s="1"/>
      <c r="XL175" s="1"/>
      <c r="XM175" s="1"/>
      <c r="XN175" s="1"/>
      <c r="XO175" s="1"/>
      <c r="XP175" s="1"/>
      <c r="XQ175" s="1"/>
      <c r="XR175" s="1"/>
      <c r="XS175" s="1"/>
      <c r="XT175" s="1"/>
      <c r="XU175" s="1"/>
      <c r="XV175" s="1"/>
      <c r="XW175" s="1"/>
      <c r="XX175" s="1"/>
      <c r="XY175" s="1"/>
      <c r="XZ175" s="1"/>
      <c r="YA175" s="1"/>
      <c r="YB175" s="1"/>
      <c r="YC175" s="1"/>
      <c r="YD175" s="1"/>
      <c r="YE175" s="1"/>
      <c r="YF175" s="1"/>
      <c r="YG175" s="1"/>
      <c r="YH175" s="1"/>
      <c r="YI175" s="1"/>
      <c r="YJ175" s="1"/>
      <c r="YK175" s="1"/>
      <c r="YL175" s="1"/>
      <c r="YM175" s="1"/>
      <c r="YN175" s="1"/>
      <c r="YO175" s="1"/>
      <c r="YP175" s="1"/>
      <c r="YQ175" s="1"/>
      <c r="YR175" s="1"/>
      <c r="YS175" s="1"/>
      <c r="YT175" s="1"/>
      <c r="YU175" s="1"/>
      <c r="YV175" s="1"/>
      <c r="YW175" s="1"/>
      <c r="YX175" s="1"/>
      <c r="YY175" s="1"/>
      <c r="YZ175" s="1"/>
      <c r="ZA175" s="1"/>
      <c r="ZB175" s="1"/>
      <c r="ZC175" s="1"/>
      <c r="ZD175" s="1"/>
      <c r="ZE175" s="1"/>
      <c r="ZF175" s="1"/>
      <c r="ZG175" s="1"/>
      <c r="ZH175" s="1"/>
      <c r="ZI175" s="1"/>
      <c r="ZJ175" s="1"/>
      <c r="ZK175" s="1"/>
      <c r="ZL175" s="1"/>
      <c r="ZM175" s="1"/>
      <c r="ZN175" s="1"/>
      <c r="ZO175" s="1"/>
      <c r="ZP175" s="1"/>
      <c r="ZQ175" s="1"/>
      <c r="ZR175" s="1"/>
      <c r="ZS175" s="1"/>
      <c r="ZT175" s="1"/>
      <c r="ZU175" s="1"/>
      <c r="ZV175" s="1"/>
      <c r="ZW175" s="1"/>
      <c r="ZX175" s="1"/>
      <c r="ZY175" s="1"/>
      <c r="ZZ175" s="1"/>
      <c r="AAA175" s="1"/>
      <c r="AAB175" s="1"/>
      <c r="AAC175" s="1"/>
      <c r="AAD175" s="1"/>
      <c r="AAE175" s="1"/>
      <c r="AAF175" s="1"/>
      <c r="AAG175" s="1"/>
      <c r="AAH175" s="1"/>
      <c r="AAI175" s="1"/>
      <c r="AAJ175" s="1"/>
      <c r="AAK175" s="1"/>
      <c r="AAL175" s="1"/>
      <c r="AAM175" s="1"/>
      <c r="AAN175" s="1"/>
      <c r="AAO175" s="1"/>
      <c r="AAP175" s="1"/>
      <c r="AAQ175" s="1"/>
      <c r="AAR175" s="1"/>
      <c r="AAS175" s="1"/>
      <c r="AAT175" s="1"/>
      <c r="AAU175" s="1"/>
      <c r="AAV175" s="1"/>
      <c r="AAW175" s="1"/>
      <c r="AAX175" s="1"/>
      <c r="AAY175" s="1"/>
      <c r="AAZ175" s="1"/>
      <c r="ABA175" s="1"/>
      <c r="ABB175" s="1"/>
      <c r="ABC175" s="1"/>
      <c r="ABD175" s="1"/>
      <c r="ABE175" s="1"/>
      <c r="ABF175" s="1"/>
      <c r="ABG175" s="1"/>
      <c r="ABH175" s="1"/>
      <c r="ABI175" s="1"/>
      <c r="ABJ175" s="1"/>
      <c r="ABK175" s="1"/>
      <c r="ABL175" s="1"/>
      <c r="ABM175" s="1"/>
      <c r="ABN175" s="1"/>
      <c r="ABO175" s="1"/>
      <c r="ABP175" s="1"/>
      <c r="ABQ175" s="1"/>
      <c r="ABR175" s="1"/>
      <c r="ABS175" s="1"/>
      <c r="ABT175" s="1"/>
      <c r="ABU175" s="1"/>
      <c r="ABV175" s="1"/>
      <c r="ABW175" s="1"/>
      <c r="ABX175" s="1"/>
      <c r="ABY175" s="1"/>
      <c r="ABZ175" s="1"/>
      <c r="ACA175" s="1"/>
      <c r="ACB175" s="1"/>
      <c r="ACC175" s="1"/>
      <c r="ACD175" s="1"/>
      <c r="ACE175" s="1"/>
      <c r="ACF175" s="1"/>
      <c r="ACG175" s="1"/>
      <c r="ACH175" s="1"/>
      <c r="ACI175" s="1"/>
      <c r="ACJ175" s="1"/>
      <c r="ACK175" s="1"/>
      <c r="ACL175" s="1"/>
      <c r="ACM175" s="1"/>
      <c r="ACN175" s="1"/>
      <c r="ACO175" s="1"/>
      <c r="ACP175" s="1"/>
      <c r="ACQ175" s="1"/>
      <c r="ACR175" s="1"/>
      <c r="ACS175" s="1"/>
      <c r="ACT175" s="1"/>
      <c r="ACU175" s="1"/>
      <c r="ACV175" s="1"/>
      <c r="ACW175" s="1"/>
      <c r="ACX175" s="1"/>
      <c r="ACY175" s="1"/>
      <c r="ACZ175" s="1"/>
      <c r="ADA175" s="1"/>
      <c r="ADB175" s="1"/>
      <c r="ADC175" s="1"/>
      <c r="ADD175" s="1"/>
      <c r="ADE175" s="1"/>
      <c r="ADF175" s="1"/>
      <c r="ADG175" s="1"/>
      <c r="ADH175" s="1"/>
      <c r="ADI175" s="1"/>
      <c r="ADJ175" s="1"/>
      <c r="ADK175" s="1"/>
      <c r="ADL175" s="1"/>
      <c r="ADM175" s="1"/>
      <c r="ADN175" s="1"/>
      <c r="ADO175" s="1"/>
      <c r="ADP175" s="1"/>
      <c r="ADQ175" s="1"/>
      <c r="ADR175" s="1"/>
      <c r="ADS175" s="1"/>
      <c r="ADT175" s="1"/>
      <c r="ADU175" s="1"/>
      <c r="ADV175" s="1"/>
      <c r="ADW175" s="1"/>
      <c r="ADX175" s="1"/>
      <c r="ADY175" s="1"/>
      <c r="ADZ175" s="1"/>
      <c r="AEA175" s="1"/>
      <c r="AEB175" s="1"/>
      <c r="AEC175" s="1"/>
      <c r="AED175" s="1"/>
      <c r="AEE175" s="1"/>
      <c r="AEF175" s="1"/>
      <c r="AEG175" s="1"/>
      <c r="AEH175" s="1"/>
      <c r="AEI175" s="1"/>
      <c r="AEJ175" s="1"/>
      <c r="AEK175" s="1"/>
      <c r="AEL175" s="1"/>
      <c r="AEM175" s="1"/>
      <c r="AEN175" s="1"/>
      <c r="AEO175" s="1"/>
      <c r="AEP175" s="1"/>
      <c r="AEQ175" s="1"/>
      <c r="AER175" s="1"/>
      <c r="AES175" s="1"/>
      <c r="AET175" s="1"/>
      <c r="AEU175" s="1"/>
      <c r="AEV175" s="1"/>
      <c r="AEW175" s="1"/>
      <c r="AEX175" s="1"/>
      <c r="AEY175" s="1"/>
      <c r="AEZ175" s="1"/>
      <c r="AFA175" s="1"/>
      <c r="AFB175" s="1"/>
      <c r="AFC175" s="1"/>
      <c r="AFD175" s="1"/>
      <c r="AFE175" s="1"/>
      <c r="AFF175" s="1"/>
      <c r="AFG175" s="1"/>
      <c r="AFH175" s="1"/>
      <c r="AFI175" s="1"/>
      <c r="AFJ175" s="1"/>
      <c r="AFK175" s="1"/>
      <c r="AFL175" s="1"/>
      <c r="AFM175" s="1"/>
      <c r="AFN175" s="1"/>
      <c r="AFO175" s="1"/>
      <c r="AFP175" s="1"/>
      <c r="AFQ175" s="1"/>
      <c r="AFR175" s="1"/>
      <c r="AFS175" s="1"/>
      <c r="AFT175" s="1"/>
      <c r="AFU175" s="1"/>
      <c r="AFV175" s="1"/>
      <c r="AFW175" s="1"/>
      <c r="AFX175" s="1"/>
      <c r="AFY175" s="1"/>
      <c r="AFZ175" s="1"/>
      <c r="AGA175" s="1"/>
      <c r="AGB175" s="1"/>
      <c r="AGC175" s="1"/>
      <c r="AGD175" s="1"/>
      <c r="AGE175" s="1"/>
      <c r="AGF175" s="1"/>
      <c r="AGG175" s="1"/>
      <c r="AGH175" s="1"/>
      <c r="AGI175" s="1"/>
      <c r="AGJ175" s="1"/>
      <c r="AGK175" s="1"/>
      <c r="AGL175" s="1"/>
      <c r="AGM175" s="1"/>
      <c r="AGN175" s="1"/>
      <c r="AGO175" s="1"/>
      <c r="AGP175" s="1"/>
      <c r="AGQ175" s="1"/>
      <c r="AGR175" s="1"/>
      <c r="AGS175" s="1"/>
      <c r="AGT175" s="1"/>
      <c r="AGU175" s="1"/>
      <c r="AGV175" s="1"/>
      <c r="AGW175" s="1"/>
      <c r="AGX175" s="1"/>
      <c r="AGY175" s="1"/>
      <c r="AGZ175" s="1"/>
      <c r="AHA175" s="1"/>
      <c r="AHB175" s="1"/>
      <c r="AHC175" s="1"/>
      <c r="AHD175" s="1"/>
      <c r="AHE175" s="1"/>
      <c r="AHF175" s="1"/>
      <c r="AHG175" s="1"/>
      <c r="AHH175" s="1"/>
      <c r="AHI175" s="1"/>
      <c r="AHJ175" s="1"/>
      <c r="AHK175" s="1"/>
      <c r="AHL175" s="1"/>
      <c r="AHM175" s="1"/>
      <c r="AHN175" s="1"/>
      <c r="AHO175" s="1"/>
      <c r="AHP175" s="1"/>
      <c r="AHQ175" s="1"/>
      <c r="AHR175" s="1"/>
      <c r="AHS175" s="1"/>
      <c r="AHT175" s="1"/>
      <c r="AHU175" s="1"/>
      <c r="AHV175" s="1"/>
      <c r="AHW175" s="1"/>
      <c r="AHX175" s="1"/>
      <c r="AHY175" s="1"/>
      <c r="AHZ175" s="1"/>
      <c r="AIA175" s="1"/>
      <c r="AIB175" s="1"/>
      <c r="AIC175" s="1"/>
      <c r="AID175" s="1"/>
      <c r="AIE175" s="1"/>
      <c r="AIF175" s="1"/>
      <c r="AIG175" s="1"/>
      <c r="AIH175" s="1"/>
      <c r="AII175" s="1"/>
      <c r="AIJ175" s="1"/>
      <c r="AIK175" s="1"/>
      <c r="AIL175" s="1"/>
      <c r="AIM175" s="1"/>
      <c r="AIN175" s="1"/>
      <c r="AIO175" s="1"/>
      <c r="AIP175" s="1"/>
      <c r="AIQ175" s="1"/>
      <c r="AIR175" s="1"/>
      <c r="AIS175" s="1"/>
      <c r="AIT175" s="1"/>
      <c r="AIU175" s="1"/>
      <c r="AIV175" s="1"/>
      <c r="AIW175" s="1"/>
      <c r="AIX175" s="1"/>
      <c r="AIY175" s="1"/>
      <c r="AIZ175" s="1"/>
      <c r="AJA175" s="1"/>
      <c r="AJB175" s="1"/>
      <c r="AJC175" s="1"/>
      <c r="AJD175" s="1"/>
      <c r="AJE175" s="1"/>
      <c r="AJF175" s="1"/>
      <c r="AJG175" s="1"/>
      <c r="AJH175" s="1"/>
      <c r="AJI175" s="1"/>
      <c r="AJJ175" s="1"/>
      <c r="AJK175" s="1"/>
      <c r="AJL175" s="1"/>
      <c r="AJM175" s="1"/>
      <c r="AJN175" s="1"/>
      <c r="AJO175" s="1"/>
      <c r="AJP175" s="1"/>
      <c r="AJQ175" s="1"/>
      <c r="AJR175" s="1"/>
      <c r="AJS175" s="1"/>
      <c r="AJT175" s="1"/>
      <c r="AJU175" s="1"/>
      <c r="AJV175" s="1"/>
      <c r="AJW175" s="1"/>
      <c r="AJX175" s="1"/>
      <c r="AJY175" s="1"/>
      <c r="AJZ175" s="1"/>
      <c r="AKA175" s="1"/>
      <c r="AKB175" s="1"/>
      <c r="AKC175" s="1"/>
      <c r="AKD175" s="1"/>
      <c r="AKE175" s="1"/>
      <c r="AKF175" s="1"/>
      <c r="AKG175" s="1"/>
      <c r="AKH175" s="1"/>
      <c r="AKI175" s="1"/>
      <c r="AKJ175" s="1"/>
      <c r="AKK175" s="1"/>
      <c r="AKL175" s="1"/>
      <c r="AKM175" s="1"/>
      <c r="AKN175" s="1"/>
      <c r="AKO175" s="1"/>
      <c r="AKP175" s="1"/>
      <c r="AKQ175" s="1"/>
      <c r="AKR175" s="1"/>
      <c r="AKS175" s="1"/>
      <c r="AKT175" s="1"/>
      <c r="AKU175" s="1"/>
      <c r="AKV175" s="1"/>
      <c r="AKW175" s="1"/>
      <c r="AKX175" s="1"/>
      <c r="AKY175" s="1"/>
      <c r="AKZ175" s="1"/>
      <c r="ALA175" s="1"/>
      <c r="ALB175" s="1"/>
      <c r="ALC175" s="1"/>
      <c r="ALD175" s="1"/>
      <c r="ALE175" s="1"/>
      <c r="ALF175" s="1"/>
      <c r="ALG175" s="1"/>
      <c r="ALH175" s="1"/>
      <c r="ALI175" s="1"/>
      <c r="ALJ175" s="1"/>
      <c r="ALK175" s="1"/>
      <c r="ALL175" s="1"/>
      <c r="ALM175" s="1"/>
      <c r="ALN175" s="1"/>
      <c r="ALO175" s="1"/>
      <c r="ALP175" s="1"/>
      <c r="ALQ175" s="1"/>
      <c r="ALR175" s="1"/>
      <c r="ALS175" s="1"/>
      <c r="ALT175" s="1"/>
      <c r="ALU175" s="1"/>
      <c r="ALV175" s="1"/>
      <c r="ALW175" s="1"/>
      <c r="ALX175" s="1"/>
      <c r="ALY175" s="1"/>
      <c r="ALZ175" s="1"/>
      <c r="AMA175" s="1"/>
      <c r="AMB175" s="1"/>
      <c r="AMC175" s="1"/>
      <c r="AMD175" s="1"/>
      <c r="AME175" s="1"/>
      <c r="AMF175" s="1"/>
      <c r="AMG175" s="1"/>
      <c r="AMH175" s="1"/>
      <c r="AMI175" s="1"/>
      <c r="AMJ175" s="1"/>
    </row>
    <row r="176" customFormat="false" ht="10.5" hidden="false" customHeight="true" outlineLevel="0" collapsed="false">
      <c r="A176" s="231"/>
      <c r="B176" s="231"/>
      <c r="C176" s="231"/>
      <c r="D176" s="231"/>
      <c r="E176" s="231"/>
      <c r="F176" s="168"/>
      <c r="G176" s="168"/>
      <c r="H176" s="168"/>
      <c r="I176" s="168"/>
      <c r="J176" s="168"/>
      <c r="K176" s="168"/>
      <c r="L176" s="168"/>
      <c r="M176" s="168"/>
      <c r="N176" s="168"/>
      <c r="O176" s="168"/>
      <c r="P176" s="168"/>
      <c r="Q176" s="168"/>
      <c r="R176" s="168"/>
      <c r="S176" s="168"/>
      <c r="T176" s="168"/>
      <c r="U176" s="168"/>
      <c r="V176" s="168"/>
      <c r="W176" s="168"/>
      <c r="X176" s="168"/>
      <c r="Y176" s="168"/>
      <c r="Z176" s="170"/>
      <c r="AA176" s="170"/>
      <c r="AB176" s="170"/>
      <c r="AC176" s="170"/>
      <c r="AD176" s="230"/>
      <c r="AE176" s="230"/>
      <c r="AF176" s="230"/>
      <c r="AG176" s="228"/>
      <c r="AH176" s="228"/>
      <c r="AI176" s="228"/>
      <c r="AJ176" s="228"/>
      <c r="AK176" s="228"/>
      <c r="AL176" s="228"/>
      <c r="AM176" s="228"/>
      <c r="AN176" s="228"/>
      <c r="AO176" s="228"/>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c r="IY176" s="1"/>
      <c r="IZ176" s="1"/>
      <c r="JA176" s="1"/>
      <c r="JB176" s="1"/>
      <c r="JC176" s="1"/>
      <c r="JD176" s="1"/>
      <c r="JE176" s="1"/>
      <c r="JF176" s="1"/>
      <c r="JG176" s="1"/>
      <c r="JH176" s="1"/>
      <c r="JI176" s="1"/>
      <c r="JJ176" s="1"/>
      <c r="JK176" s="1"/>
      <c r="JL176" s="1"/>
      <c r="JM176" s="1"/>
      <c r="JN176" s="1"/>
      <c r="JO176" s="1"/>
      <c r="JP176" s="1"/>
      <c r="JQ176" s="1"/>
      <c r="JR176" s="1"/>
      <c r="JS176" s="1"/>
      <c r="JT176" s="1"/>
      <c r="JU176" s="1"/>
      <c r="JV176" s="1"/>
      <c r="JW176" s="1"/>
      <c r="JX176" s="1"/>
      <c r="JY176" s="1"/>
      <c r="JZ176" s="1"/>
      <c r="KA176" s="1"/>
      <c r="KB176" s="1"/>
      <c r="KC176" s="1"/>
      <c r="KD176" s="1"/>
      <c r="KE176" s="1"/>
      <c r="KF176" s="1"/>
      <c r="KG176" s="1"/>
      <c r="KH176" s="1"/>
      <c r="KI176" s="1"/>
      <c r="KJ176" s="1"/>
      <c r="KK176" s="1"/>
      <c r="KL176" s="1"/>
      <c r="KM176" s="1"/>
      <c r="KN176" s="1"/>
      <c r="KO176" s="1"/>
      <c r="KP176" s="1"/>
      <c r="KQ176" s="1"/>
      <c r="KR176" s="1"/>
      <c r="KS176" s="1"/>
      <c r="KT176" s="1"/>
      <c r="KU176" s="1"/>
      <c r="KV176" s="1"/>
      <c r="KW176" s="1"/>
      <c r="KX176" s="1"/>
      <c r="KY176" s="1"/>
      <c r="KZ176" s="1"/>
      <c r="LA176" s="1"/>
      <c r="LB176" s="1"/>
      <c r="LC176" s="1"/>
      <c r="LD176" s="1"/>
      <c r="LE176" s="1"/>
      <c r="LF176" s="1"/>
      <c r="LG176" s="1"/>
      <c r="LH176" s="1"/>
      <c r="LI176" s="1"/>
      <c r="LJ176" s="1"/>
      <c r="LK176" s="1"/>
      <c r="LL176" s="1"/>
      <c r="LM176" s="1"/>
      <c r="LN176" s="1"/>
      <c r="LO176" s="1"/>
      <c r="LP176" s="1"/>
      <c r="LQ176" s="1"/>
      <c r="LR176" s="1"/>
      <c r="LS176" s="1"/>
      <c r="LT176" s="1"/>
      <c r="LU176" s="1"/>
      <c r="LV176" s="1"/>
      <c r="LW176" s="1"/>
      <c r="LX176" s="1"/>
      <c r="LY176" s="1"/>
      <c r="LZ176" s="1"/>
      <c r="MA176" s="1"/>
      <c r="MB176" s="1"/>
      <c r="MC176" s="1"/>
      <c r="MD176" s="1"/>
      <c r="ME176" s="1"/>
      <c r="MF176" s="1"/>
      <c r="MG176" s="1"/>
      <c r="MH176" s="1"/>
      <c r="MI176" s="1"/>
      <c r="MJ176" s="1"/>
      <c r="MK176" s="1"/>
      <c r="ML176" s="1"/>
      <c r="MM176" s="1"/>
      <c r="MN176" s="1"/>
      <c r="MO176" s="1"/>
      <c r="MP176" s="1"/>
      <c r="MQ176" s="1"/>
      <c r="MR176" s="1"/>
      <c r="MS176" s="1"/>
      <c r="MT176" s="1"/>
      <c r="MU176" s="1"/>
      <c r="MV176" s="1"/>
      <c r="MW176" s="1"/>
      <c r="MX176" s="1"/>
      <c r="MY176" s="1"/>
      <c r="MZ176" s="1"/>
      <c r="NA176" s="1"/>
      <c r="NB176" s="1"/>
      <c r="NC176" s="1"/>
      <c r="ND176" s="1"/>
      <c r="NE176" s="1"/>
      <c r="NF176" s="1"/>
      <c r="NG176" s="1"/>
      <c r="NH176" s="1"/>
      <c r="NI176" s="1"/>
      <c r="NJ176" s="1"/>
      <c r="NK176" s="1"/>
      <c r="NL176" s="1"/>
      <c r="NM176" s="1"/>
      <c r="NN176" s="1"/>
      <c r="NO176" s="1"/>
      <c r="NP176" s="1"/>
      <c r="NQ176" s="1"/>
      <c r="NR176" s="1"/>
      <c r="NS176" s="1"/>
      <c r="NT176" s="1"/>
      <c r="NU176" s="1"/>
      <c r="NV176" s="1"/>
      <c r="NW176" s="1"/>
      <c r="NX176" s="1"/>
      <c r="NY176" s="1"/>
      <c r="NZ176" s="1"/>
      <c r="OA176" s="1"/>
      <c r="OB176" s="1"/>
      <c r="OC176" s="1"/>
      <c r="OD176" s="1"/>
      <c r="OE176" s="1"/>
      <c r="OF176" s="1"/>
      <c r="OG176" s="1"/>
      <c r="OH176" s="1"/>
      <c r="OI176" s="1"/>
      <c r="OJ176" s="1"/>
      <c r="OK176" s="1"/>
      <c r="OL176" s="1"/>
      <c r="OM176" s="1"/>
      <c r="ON176" s="1"/>
      <c r="OO176" s="1"/>
      <c r="OP176" s="1"/>
      <c r="OQ176" s="1"/>
      <c r="OR176" s="1"/>
      <c r="OS176" s="1"/>
      <c r="OT176" s="1"/>
      <c r="OU176" s="1"/>
      <c r="OV176" s="1"/>
      <c r="OW176" s="1"/>
      <c r="OX176" s="1"/>
      <c r="OY176" s="1"/>
      <c r="OZ176" s="1"/>
      <c r="PA176" s="1"/>
      <c r="PB176" s="1"/>
      <c r="PC176" s="1"/>
      <c r="PD176" s="1"/>
      <c r="PE176" s="1"/>
      <c r="PF176" s="1"/>
      <c r="PG176" s="1"/>
      <c r="PH176" s="1"/>
      <c r="PI176" s="1"/>
      <c r="PJ176" s="1"/>
      <c r="PK176" s="1"/>
      <c r="PL176" s="1"/>
      <c r="PM176" s="1"/>
      <c r="PN176" s="1"/>
      <c r="PO176" s="1"/>
      <c r="PP176" s="1"/>
      <c r="PQ176" s="1"/>
      <c r="PR176" s="1"/>
      <c r="PS176" s="1"/>
      <c r="PT176" s="1"/>
      <c r="PU176" s="1"/>
      <c r="PV176" s="1"/>
      <c r="PW176" s="1"/>
      <c r="PX176" s="1"/>
      <c r="PY176" s="1"/>
      <c r="PZ176" s="1"/>
      <c r="QA176" s="1"/>
      <c r="QB176" s="1"/>
      <c r="QC176" s="1"/>
      <c r="QD176" s="1"/>
      <c r="QE176" s="1"/>
      <c r="QF176" s="1"/>
      <c r="QG176" s="1"/>
      <c r="QH176" s="1"/>
      <c r="QI176" s="1"/>
      <c r="QJ176" s="1"/>
      <c r="QK176" s="1"/>
      <c r="QL176" s="1"/>
      <c r="QM176" s="1"/>
      <c r="QN176" s="1"/>
      <c r="QO176" s="1"/>
      <c r="QP176" s="1"/>
      <c r="QQ176" s="1"/>
      <c r="QR176" s="1"/>
      <c r="QS176" s="1"/>
      <c r="QT176" s="1"/>
      <c r="QU176" s="1"/>
      <c r="QV176" s="1"/>
      <c r="QW176" s="1"/>
      <c r="QX176" s="1"/>
      <c r="QY176" s="1"/>
      <c r="QZ176" s="1"/>
      <c r="RA176" s="1"/>
      <c r="RB176" s="1"/>
      <c r="RC176" s="1"/>
      <c r="RD176" s="1"/>
      <c r="RE176" s="1"/>
      <c r="RF176" s="1"/>
      <c r="RG176" s="1"/>
      <c r="RH176" s="1"/>
      <c r="RI176" s="1"/>
      <c r="RJ176" s="1"/>
      <c r="RK176" s="1"/>
      <c r="RL176" s="1"/>
      <c r="RM176" s="1"/>
      <c r="RN176" s="1"/>
      <c r="RO176" s="1"/>
      <c r="RP176" s="1"/>
      <c r="RQ176" s="1"/>
      <c r="RR176" s="1"/>
      <c r="RS176" s="1"/>
      <c r="RT176" s="1"/>
      <c r="RU176" s="1"/>
      <c r="RV176" s="1"/>
      <c r="RW176" s="1"/>
      <c r="RX176" s="1"/>
      <c r="RY176" s="1"/>
      <c r="RZ176" s="1"/>
      <c r="SA176" s="1"/>
      <c r="SB176" s="1"/>
      <c r="SC176" s="1"/>
      <c r="SD176" s="1"/>
      <c r="SE176" s="1"/>
      <c r="SF176" s="1"/>
      <c r="SG176" s="1"/>
      <c r="SH176" s="1"/>
      <c r="SI176" s="1"/>
      <c r="SJ176" s="1"/>
      <c r="SK176" s="1"/>
      <c r="SL176" s="1"/>
      <c r="SM176" s="1"/>
      <c r="SN176" s="1"/>
      <c r="SO176" s="1"/>
      <c r="SP176" s="1"/>
      <c r="SQ176" s="1"/>
      <c r="SR176" s="1"/>
      <c r="SS176" s="1"/>
      <c r="ST176" s="1"/>
      <c r="SU176" s="1"/>
      <c r="SV176" s="1"/>
      <c r="SW176" s="1"/>
      <c r="SX176" s="1"/>
      <c r="SY176" s="1"/>
      <c r="SZ176" s="1"/>
      <c r="TA176" s="1"/>
      <c r="TB176" s="1"/>
      <c r="TC176" s="1"/>
      <c r="TD176" s="1"/>
      <c r="TE176" s="1"/>
      <c r="TF176" s="1"/>
      <c r="TG176" s="1"/>
      <c r="TH176" s="1"/>
      <c r="TI176" s="1"/>
      <c r="TJ176" s="1"/>
      <c r="TK176" s="1"/>
      <c r="TL176" s="1"/>
      <c r="TM176" s="1"/>
      <c r="TN176" s="1"/>
      <c r="TO176" s="1"/>
      <c r="TP176" s="1"/>
      <c r="TQ176" s="1"/>
      <c r="TR176" s="1"/>
      <c r="TS176" s="1"/>
      <c r="TT176" s="1"/>
      <c r="TU176" s="1"/>
      <c r="TV176" s="1"/>
      <c r="TW176" s="1"/>
      <c r="TX176" s="1"/>
      <c r="TY176" s="1"/>
      <c r="TZ176" s="1"/>
      <c r="UA176" s="1"/>
      <c r="UB176" s="1"/>
      <c r="UC176" s="1"/>
      <c r="UD176" s="1"/>
      <c r="UE176" s="1"/>
      <c r="UF176" s="1"/>
      <c r="UG176" s="1"/>
      <c r="UH176" s="1"/>
      <c r="UI176" s="1"/>
      <c r="UJ176" s="1"/>
      <c r="UK176" s="1"/>
      <c r="UL176" s="1"/>
      <c r="UM176" s="1"/>
      <c r="UN176" s="1"/>
      <c r="UO176" s="1"/>
      <c r="UP176" s="1"/>
      <c r="UQ176" s="1"/>
      <c r="UR176" s="1"/>
      <c r="US176" s="1"/>
      <c r="UT176" s="1"/>
      <c r="UU176" s="1"/>
      <c r="UV176" s="1"/>
      <c r="UW176" s="1"/>
      <c r="UX176" s="1"/>
      <c r="UY176" s="1"/>
      <c r="UZ176" s="1"/>
      <c r="VA176" s="1"/>
      <c r="VB176" s="1"/>
      <c r="VC176" s="1"/>
      <c r="VD176" s="1"/>
      <c r="VE176" s="1"/>
      <c r="VF176" s="1"/>
      <c r="VG176" s="1"/>
      <c r="VH176" s="1"/>
      <c r="VI176" s="1"/>
      <c r="VJ176" s="1"/>
      <c r="VK176" s="1"/>
      <c r="VL176" s="1"/>
      <c r="VM176" s="1"/>
      <c r="VN176" s="1"/>
      <c r="VO176" s="1"/>
      <c r="VP176" s="1"/>
      <c r="VQ176" s="1"/>
      <c r="VR176" s="1"/>
      <c r="VS176" s="1"/>
      <c r="VT176" s="1"/>
      <c r="VU176" s="1"/>
      <c r="VV176" s="1"/>
      <c r="VW176" s="1"/>
      <c r="VX176" s="1"/>
      <c r="VY176" s="1"/>
      <c r="VZ176" s="1"/>
      <c r="WA176" s="1"/>
      <c r="WB176" s="1"/>
      <c r="WC176" s="1"/>
      <c r="WD176" s="1"/>
      <c r="WE176" s="1"/>
      <c r="WF176" s="1"/>
      <c r="WG176" s="1"/>
      <c r="WH176" s="1"/>
      <c r="WI176" s="1"/>
      <c r="WJ176" s="1"/>
      <c r="WK176" s="1"/>
      <c r="WL176" s="1"/>
      <c r="WM176" s="1"/>
      <c r="WN176" s="1"/>
      <c r="WO176" s="1"/>
      <c r="WP176" s="1"/>
      <c r="WQ176" s="1"/>
      <c r="WR176" s="1"/>
      <c r="WS176" s="1"/>
      <c r="WT176" s="1"/>
      <c r="WU176" s="1"/>
      <c r="WV176" s="1"/>
      <c r="WW176" s="1"/>
      <c r="WX176" s="1"/>
      <c r="WY176" s="1"/>
      <c r="WZ176" s="1"/>
      <c r="XA176" s="1"/>
      <c r="XB176" s="1"/>
      <c r="XC176" s="1"/>
      <c r="XD176" s="1"/>
      <c r="XE176" s="1"/>
      <c r="XF176" s="1"/>
      <c r="XG176" s="1"/>
      <c r="XH176" s="1"/>
      <c r="XI176" s="1"/>
      <c r="XJ176" s="1"/>
      <c r="XK176" s="1"/>
      <c r="XL176" s="1"/>
      <c r="XM176" s="1"/>
      <c r="XN176" s="1"/>
      <c r="XO176" s="1"/>
      <c r="XP176" s="1"/>
      <c r="XQ176" s="1"/>
      <c r="XR176" s="1"/>
      <c r="XS176" s="1"/>
      <c r="XT176" s="1"/>
      <c r="XU176" s="1"/>
      <c r="XV176" s="1"/>
      <c r="XW176" s="1"/>
      <c r="XX176" s="1"/>
      <c r="XY176" s="1"/>
      <c r="XZ176" s="1"/>
      <c r="YA176" s="1"/>
      <c r="YB176" s="1"/>
      <c r="YC176" s="1"/>
      <c r="YD176" s="1"/>
      <c r="YE176" s="1"/>
      <c r="YF176" s="1"/>
      <c r="YG176" s="1"/>
      <c r="YH176" s="1"/>
      <c r="YI176" s="1"/>
      <c r="YJ176" s="1"/>
      <c r="YK176" s="1"/>
      <c r="YL176" s="1"/>
      <c r="YM176" s="1"/>
      <c r="YN176" s="1"/>
      <c r="YO176" s="1"/>
      <c r="YP176" s="1"/>
      <c r="YQ176" s="1"/>
      <c r="YR176" s="1"/>
      <c r="YS176" s="1"/>
      <c r="YT176" s="1"/>
      <c r="YU176" s="1"/>
      <c r="YV176" s="1"/>
      <c r="YW176" s="1"/>
      <c r="YX176" s="1"/>
      <c r="YY176" s="1"/>
      <c r="YZ176" s="1"/>
      <c r="ZA176" s="1"/>
      <c r="ZB176" s="1"/>
      <c r="ZC176" s="1"/>
      <c r="ZD176" s="1"/>
      <c r="ZE176" s="1"/>
      <c r="ZF176" s="1"/>
      <c r="ZG176" s="1"/>
      <c r="ZH176" s="1"/>
      <c r="ZI176" s="1"/>
      <c r="ZJ176" s="1"/>
      <c r="ZK176" s="1"/>
      <c r="ZL176" s="1"/>
      <c r="ZM176" s="1"/>
      <c r="ZN176" s="1"/>
      <c r="ZO176" s="1"/>
      <c r="ZP176" s="1"/>
      <c r="ZQ176" s="1"/>
      <c r="ZR176" s="1"/>
      <c r="ZS176" s="1"/>
      <c r="ZT176" s="1"/>
      <c r="ZU176" s="1"/>
      <c r="ZV176" s="1"/>
      <c r="ZW176" s="1"/>
      <c r="ZX176" s="1"/>
      <c r="ZY176" s="1"/>
      <c r="ZZ176" s="1"/>
      <c r="AAA176" s="1"/>
      <c r="AAB176" s="1"/>
      <c r="AAC176" s="1"/>
      <c r="AAD176" s="1"/>
      <c r="AAE176" s="1"/>
      <c r="AAF176" s="1"/>
      <c r="AAG176" s="1"/>
      <c r="AAH176" s="1"/>
      <c r="AAI176" s="1"/>
      <c r="AAJ176" s="1"/>
      <c r="AAK176" s="1"/>
      <c r="AAL176" s="1"/>
      <c r="AAM176" s="1"/>
      <c r="AAN176" s="1"/>
      <c r="AAO176" s="1"/>
      <c r="AAP176" s="1"/>
      <c r="AAQ176" s="1"/>
      <c r="AAR176" s="1"/>
      <c r="AAS176" s="1"/>
      <c r="AAT176" s="1"/>
      <c r="AAU176" s="1"/>
      <c r="AAV176" s="1"/>
      <c r="AAW176" s="1"/>
      <c r="AAX176" s="1"/>
      <c r="AAY176" s="1"/>
      <c r="AAZ176" s="1"/>
      <c r="ABA176" s="1"/>
      <c r="ABB176" s="1"/>
      <c r="ABC176" s="1"/>
      <c r="ABD176" s="1"/>
      <c r="ABE176" s="1"/>
      <c r="ABF176" s="1"/>
      <c r="ABG176" s="1"/>
      <c r="ABH176" s="1"/>
      <c r="ABI176" s="1"/>
      <c r="ABJ176" s="1"/>
      <c r="ABK176" s="1"/>
      <c r="ABL176" s="1"/>
      <c r="ABM176" s="1"/>
      <c r="ABN176" s="1"/>
      <c r="ABO176" s="1"/>
      <c r="ABP176" s="1"/>
      <c r="ABQ176" s="1"/>
      <c r="ABR176" s="1"/>
      <c r="ABS176" s="1"/>
      <c r="ABT176" s="1"/>
      <c r="ABU176" s="1"/>
      <c r="ABV176" s="1"/>
      <c r="ABW176" s="1"/>
      <c r="ABX176" s="1"/>
      <c r="ABY176" s="1"/>
      <c r="ABZ176" s="1"/>
      <c r="ACA176" s="1"/>
      <c r="ACB176" s="1"/>
      <c r="ACC176" s="1"/>
      <c r="ACD176" s="1"/>
      <c r="ACE176" s="1"/>
      <c r="ACF176" s="1"/>
      <c r="ACG176" s="1"/>
      <c r="ACH176" s="1"/>
      <c r="ACI176" s="1"/>
      <c r="ACJ176" s="1"/>
      <c r="ACK176" s="1"/>
      <c r="ACL176" s="1"/>
      <c r="ACM176" s="1"/>
      <c r="ACN176" s="1"/>
      <c r="ACO176" s="1"/>
      <c r="ACP176" s="1"/>
      <c r="ACQ176" s="1"/>
      <c r="ACR176" s="1"/>
      <c r="ACS176" s="1"/>
      <c r="ACT176" s="1"/>
      <c r="ACU176" s="1"/>
      <c r="ACV176" s="1"/>
      <c r="ACW176" s="1"/>
      <c r="ACX176" s="1"/>
      <c r="ACY176" s="1"/>
      <c r="ACZ176" s="1"/>
      <c r="ADA176" s="1"/>
      <c r="ADB176" s="1"/>
      <c r="ADC176" s="1"/>
      <c r="ADD176" s="1"/>
      <c r="ADE176" s="1"/>
      <c r="ADF176" s="1"/>
      <c r="ADG176" s="1"/>
      <c r="ADH176" s="1"/>
      <c r="ADI176" s="1"/>
      <c r="ADJ176" s="1"/>
      <c r="ADK176" s="1"/>
      <c r="ADL176" s="1"/>
      <c r="ADM176" s="1"/>
      <c r="ADN176" s="1"/>
      <c r="ADO176" s="1"/>
      <c r="ADP176" s="1"/>
      <c r="ADQ176" s="1"/>
      <c r="ADR176" s="1"/>
      <c r="ADS176" s="1"/>
      <c r="ADT176" s="1"/>
      <c r="ADU176" s="1"/>
      <c r="ADV176" s="1"/>
      <c r="ADW176" s="1"/>
      <c r="ADX176" s="1"/>
      <c r="ADY176" s="1"/>
      <c r="ADZ176" s="1"/>
      <c r="AEA176" s="1"/>
      <c r="AEB176" s="1"/>
      <c r="AEC176" s="1"/>
      <c r="AED176" s="1"/>
      <c r="AEE176" s="1"/>
      <c r="AEF176" s="1"/>
      <c r="AEG176" s="1"/>
      <c r="AEH176" s="1"/>
      <c r="AEI176" s="1"/>
      <c r="AEJ176" s="1"/>
      <c r="AEK176" s="1"/>
      <c r="AEL176" s="1"/>
      <c r="AEM176" s="1"/>
      <c r="AEN176" s="1"/>
      <c r="AEO176" s="1"/>
      <c r="AEP176" s="1"/>
      <c r="AEQ176" s="1"/>
      <c r="AER176" s="1"/>
      <c r="AES176" s="1"/>
      <c r="AET176" s="1"/>
      <c r="AEU176" s="1"/>
      <c r="AEV176" s="1"/>
      <c r="AEW176" s="1"/>
      <c r="AEX176" s="1"/>
      <c r="AEY176" s="1"/>
      <c r="AEZ176" s="1"/>
      <c r="AFA176" s="1"/>
      <c r="AFB176" s="1"/>
      <c r="AFC176" s="1"/>
      <c r="AFD176" s="1"/>
      <c r="AFE176" s="1"/>
      <c r="AFF176" s="1"/>
      <c r="AFG176" s="1"/>
      <c r="AFH176" s="1"/>
      <c r="AFI176" s="1"/>
      <c r="AFJ176" s="1"/>
      <c r="AFK176" s="1"/>
      <c r="AFL176" s="1"/>
      <c r="AFM176" s="1"/>
      <c r="AFN176" s="1"/>
      <c r="AFO176" s="1"/>
      <c r="AFP176" s="1"/>
      <c r="AFQ176" s="1"/>
      <c r="AFR176" s="1"/>
      <c r="AFS176" s="1"/>
      <c r="AFT176" s="1"/>
      <c r="AFU176" s="1"/>
      <c r="AFV176" s="1"/>
      <c r="AFW176" s="1"/>
      <c r="AFX176" s="1"/>
      <c r="AFY176" s="1"/>
      <c r="AFZ176" s="1"/>
      <c r="AGA176" s="1"/>
      <c r="AGB176" s="1"/>
      <c r="AGC176" s="1"/>
      <c r="AGD176" s="1"/>
      <c r="AGE176" s="1"/>
      <c r="AGF176" s="1"/>
      <c r="AGG176" s="1"/>
      <c r="AGH176" s="1"/>
      <c r="AGI176" s="1"/>
      <c r="AGJ176" s="1"/>
      <c r="AGK176" s="1"/>
      <c r="AGL176" s="1"/>
      <c r="AGM176" s="1"/>
      <c r="AGN176" s="1"/>
      <c r="AGO176" s="1"/>
      <c r="AGP176" s="1"/>
      <c r="AGQ176" s="1"/>
      <c r="AGR176" s="1"/>
      <c r="AGS176" s="1"/>
      <c r="AGT176" s="1"/>
      <c r="AGU176" s="1"/>
      <c r="AGV176" s="1"/>
      <c r="AGW176" s="1"/>
      <c r="AGX176" s="1"/>
      <c r="AGY176" s="1"/>
      <c r="AGZ176" s="1"/>
      <c r="AHA176" s="1"/>
      <c r="AHB176" s="1"/>
      <c r="AHC176" s="1"/>
      <c r="AHD176" s="1"/>
      <c r="AHE176" s="1"/>
      <c r="AHF176" s="1"/>
      <c r="AHG176" s="1"/>
      <c r="AHH176" s="1"/>
      <c r="AHI176" s="1"/>
      <c r="AHJ176" s="1"/>
      <c r="AHK176" s="1"/>
      <c r="AHL176" s="1"/>
      <c r="AHM176" s="1"/>
      <c r="AHN176" s="1"/>
      <c r="AHO176" s="1"/>
      <c r="AHP176" s="1"/>
      <c r="AHQ176" s="1"/>
      <c r="AHR176" s="1"/>
      <c r="AHS176" s="1"/>
      <c r="AHT176" s="1"/>
      <c r="AHU176" s="1"/>
      <c r="AHV176" s="1"/>
      <c r="AHW176" s="1"/>
      <c r="AHX176" s="1"/>
      <c r="AHY176" s="1"/>
      <c r="AHZ176" s="1"/>
      <c r="AIA176" s="1"/>
      <c r="AIB176" s="1"/>
      <c r="AIC176" s="1"/>
      <c r="AID176" s="1"/>
      <c r="AIE176" s="1"/>
      <c r="AIF176" s="1"/>
      <c r="AIG176" s="1"/>
      <c r="AIH176" s="1"/>
      <c r="AII176" s="1"/>
      <c r="AIJ176" s="1"/>
      <c r="AIK176" s="1"/>
      <c r="AIL176" s="1"/>
      <c r="AIM176" s="1"/>
      <c r="AIN176" s="1"/>
      <c r="AIO176" s="1"/>
      <c r="AIP176" s="1"/>
      <c r="AIQ176" s="1"/>
      <c r="AIR176" s="1"/>
      <c r="AIS176" s="1"/>
      <c r="AIT176" s="1"/>
      <c r="AIU176" s="1"/>
      <c r="AIV176" s="1"/>
      <c r="AIW176" s="1"/>
      <c r="AIX176" s="1"/>
      <c r="AIY176" s="1"/>
      <c r="AIZ176" s="1"/>
      <c r="AJA176" s="1"/>
      <c r="AJB176" s="1"/>
      <c r="AJC176" s="1"/>
      <c r="AJD176" s="1"/>
      <c r="AJE176" s="1"/>
      <c r="AJF176" s="1"/>
      <c r="AJG176" s="1"/>
      <c r="AJH176" s="1"/>
      <c r="AJI176" s="1"/>
      <c r="AJJ176" s="1"/>
      <c r="AJK176" s="1"/>
      <c r="AJL176" s="1"/>
      <c r="AJM176" s="1"/>
      <c r="AJN176" s="1"/>
      <c r="AJO176" s="1"/>
      <c r="AJP176" s="1"/>
      <c r="AJQ176" s="1"/>
      <c r="AJR176" s="1"/>
      <c r="AJS176" s="1"/>
      <c r="AJT176" s="1"/>
      <c r="AJU176" s="1"/>
      <c r="AJV176" s="1"/>
      <c r="AJW176" s="1"/>
      <c r="AJX176" s="1"/>
      <c r="AJY176" s="1"/>
      <c r="AJZ176" s="1"/>
      <c r="AKA176" s="1"/>
      <c r="AKB176" s="1"/>
      <c r="AKC176" s="1"/>
      <c r="AKD176" s="1"/>
      <c r="AKE176" s="1"/>
      <c r="AKF176" s="1"/>
      <c r="AKG176" s="1"/>
      <c r="AKH176" s="1"/>
      <c r="AKI176" s="1"/>
      <c r="AKJ176" s="1"/>
      <c r="AKK176" s="1"/>
      <c r="AKL176" s="1"/>
      <c r="AKM176" s="1"/>
      <c r="AKN176" s="1"/>
      <c r="AKO176" s="1"/>
      <c r="AKP176" s="1"/>
      <c r="AKQ176" s="1"/>
      <c r="AKR176" s="1"/>
      <c r="AKS176" s="1"/>
      <c r="AKT176" s="1"/>
      <c r="AKU176" s="1"/>
      <c r="AKV176" s="1"/>
      <c r="AKW176" s="1"/>
      <c r="AKX176" s="1"/>
      <c r="AKY176" s="1"/>
      <c r="AKZ176" s="1"/>
      <c r="ALA176" s="1"/>
      <c r="ALB176" s="1"/>
      <c r="ALC176" s="1"/>
      <c r="ALD176" s="1"/>
      <c r="ALE176" s="1"/>
      <c r="ALF176" s="1"/>
      <c r="ALG176" s="1"/>
      <c r="ALH176" s="1"/>
      <c r="ALI176" s="1"/>
      <c r="ALJ176" s="1"/>
      <c r="ALK176" s="1"/>
      <c r="ALL176" s="1"/>
      <c r="ALM176" s="1"/>
      <c r="ALN176" s="1"/>
      <c r="ALO176" s="1"/>
      <c r="ALP176" s="1"/>
      <c r="ALQ176" s="1"/>
      <c r="ALR176" s="1"/>
      <c r="ALS176" s="1"/>
      <c r="ALT176" s="1"/>
      <c r="ALU176" s="1"/>
      <c r="ALV176" s="1"/>
      <c r="ALW176" s="1"/>
      <c r="ALX176" s="1"/>
      <c r="ALY176" s="1"/>
      <c r="ALZ176" s="1"/>
      <c r="AMA176" s="1"/>
      <c r="AMB176" s="1"/>
      <c r="AMC176" s="1"/>
      <c r="AMD176" s="1"/>
      <c r="AME176" s="1"/>
      <c r="AMF176" s="1"/>
      <c r="AMG176" s="1"/>
      <c r="AMH176" s="1"/>
      <c r="AMI176" s="1"/>
      <c r="AMJ176" s="1"/>
    </row>
    <row r="177" customFormat="false" ht="10.5" hidden="false" customHeight="true" outlineLevel="0" collapsed="false">
      <c r="A177" s="231"/>
      <c r="B177" s="231"/>
      <c r="C177" s="231"/>
      <c r="D177" s="231"/>
      <c r="E177" s="231"/>
      <c r="F177" s="168"/>
      <c r="G177" s="168"/>
      <c r="H177" s="168"/>
      <c r="I177" s="168"/>
      <c r="J177" s="168"/>
      <c r="K177" s="168"/>
      <c r="L177" s="168"/>
      <c r="M177" s="168"/>
      <c r="N177" s="168"/>
      <c r="O177" s="168"/>
      <c r="P177" s="168"/>
      <c r="Q177" s="168"/>
      <c r="R177" s="168"/>
      <c r="S177" s="168"/>
      <c r="T177" s="168"/>
      <c r="U177" s="168"/>
      <c r="V177" s="168"/>
      <c r="W177" s="168"/>
      <c r="X177" s="168"/>
      <c r="Y177" s="168"/>
      <c r="Z177" s="170"/>
      <c r="AA177" s="170"/>
      <c r="AB177" s="170"/>
      <c r="AC177" s="170"/>
      <c r="AD177" s="230"/>
      <c r="AE177" s="230"/>
      <c r="AF177" s="230"/>
      <c r="AG177" s="228"/>
      <c r="AH177" s="228"/>
      <c r="AI177" s="228"/>
      <c r="AJ177" s="228"/>
      <c r="AK177" s="228"/>
      <c r="AL177" s="228"/>
      <c r="AM177" s="228"/>
      <c r="AN177" s="228"/>
      <c r="AO177" s="228"/>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c r="IY177" s="1"/>
      <c r="IZ177" s="1"/>
      <c r="JA177" s="1"/>
      <c r="JB177" s="1"/>
      <c r="JC177" s="1"/>
      <c r="JD177" s="1"/>
      <c r="JE177" s="1"/>
      <c r="JF177" s="1"/>
      <c r="JG177" s="1"/>
      <c r="JH177" s="1"/>
      <c r="JI177" s="1"/>
      <c r="JJ177" s="1"/>
      <c r="JK177" s="1"/>
      <c r="JL177" s="1"/>
      <c r="JM177" s="1"/>
      <c r="JN177" s="1"/>
      <c r="JO177" s="1"/>
      <c r="JP177" s="1"/>
      <c r="JQ177" s="1"/>
      <c r="JR177" s="1"/>
      <c r="JS177" s="1"/>
      <c r="JT177" s="1"/>
      <c r="JU177" s="1"/>
      <c r="JV177" s="1"/>
      <c r="JW177" s="1"/>
      <c r="JX177" s="1"/>
      <c r="JY177" s="1"/>
      <c r="JZ177" s="1"/>
      <c r="KA177" s="1"/>
      <c r="KB177" s="1"/>
      <c r="KC177" s="1"/>
      <c r="KD177" s="1"/>
      <c r="KE177" s="1"/>
      <c r="KF177" s="1"/>
      <c r="KG177" s="1"/>
      <c r="KH177" s="1"/>
      <c r="KI177" s="1"/>
      <c r="KJ177" s="1"/>
      <c r="KK177" s="1"/>
      <c r="KL177" s="1"/>
      <c r="KM177" s="1"/>
      <c r="KN177" s="1"/>
      <c r="KO177" s="1"/>
      <c r="KP177" s="1"/>
      <c r="KQ177" s="1"/>
      <c r="KR177" s="1"/>
      <c r="KS177" s="1"/>
      <c r="KT177" s="1"/>
      <c r="KU177" s="1"/>
      <c r="KV177" s="1"/>
      <c r="KW177" s="1"/>
      <c r="KX177" s="1"/>
      <c r="KY177" s="1"/>
      <c r="KZ177" s="1"/>
      <c r="LA177" s="1"/>
      <c r="LB177" s="1"/>
      <c r="LC177" s="1"/>
      <c r="LD177" s="1"/>
      <c r="LE177" s="1"/>
      <c r="LF177" s="1"/>
      <c r="LG177" s="1"/>
      <c r="LH177" s="1"/>
      <c r="LI177" s="1"/>
      <c r="LJ177" s="1"/>
      <c r="LK177" s="1"/>
      <c r="LL177" s="1"/>
      <c r="LM177" s="1"/>
      <c r="LN177" s="1"/>
      <c r="LO177" s="1"/>
      <c r="LP177" s="1"/>
      <c r="LQ177" s="1"/>
      <c r="LR177" s="1"/>
      <c r="LS177" s="1"/>
      <c r="LT177" s="1"/>
      <c r="LU177" s="1"/>
      <c r="LV177" s="1"/>
      <c r="LW177" s="1"/>
      <c r="LX177" s="1"/>
      <c r="LY177" s="1"/>
      <c r="LZ177" s="1"/>
      <c r="MA177" s="1"/>
      <c r="MB177" s="1"/>
      <c r="MC177" s="1"/>
      <c r="MD177" s="1"/>
      <c r="ME177" s="1"/>
      <c r="MF177" s="1"/>
      <c r="MG177" s="1"/>
      <c r="MH177" s="1"/>
      <c r="MI177" s="1"/>
      <c r="MJ177" s="1"/>
      <c r="MK177" s="1"/>
      <c r="ML177" s="1"/>
      <c r="MM177" s="1"/>
      <c r="MN177" s="1"/>
      <c r="MO177" s="1"/>
      <c r="MP177" s="1"/>
      <c r="MQ177" s="1"/>
      <c r="MR177" s="1"/>
      <c r="MS177" s="1"/>
      <c r="MT177" s="1"/>
      <c r="MU177" s="1"/>
      <c r="MV177" s="1"/>
      <c r="MW177" s="1"/>
      <c r="MX177" s="1"/>
      <c r="MY177" s="1"/>
      <c r="MZ177" s="1"/>
      <c r="NA177" s="1"/>
      <c r="NB177" s="1"/>
      <c r="NC177" s="1"/>
      <c r="ND177" s="1"/>
      <c r="NE177" s="1"/>
      <c r="NF177" s="1"/>
      <c r="NG177" s="1"/>
      <c r="NH177" s="1"/>
      <c r="NI177" s="1"/>
      <c r="NJ177" s="1"/>
      <c r="NK177" s="1"/>
      <c r="NL177" s="1"/>
      <c r="NM177" s="1"/>
      <c r="NN177" s="1"/>
      <c r="NO177" s="1"/>
      <c r="NP177" s="1"/>
      <c r="NQ177" s="1"/>
      <c r="NR177" s="1"/>
      <c r="NS177" s="1"/>
      <c r="NT177" s="1"/>
      <c r="NU177" s="1"/>
      <c r="NV177" s="1"/>
      <c r="NW177" s="1"/>
      <c r="NX177" s="1"/>
      <c r="NY177" s="1"/>
      <c r="NZ177" s="1"/>
      <c r="OA177" s="1"/>
      <c r="OB177" s="1"/>
      <c r="OC177" s="1"/>
      <c r="OD177" s="1"/>
      <c r="OE177" s="1"/>
      <c r="OF177" s="1"/>
      <c r="OG177" s="1"/>
      <c r="OH177" s="1"/>
      <c r="OI177" s="1"/>
      <c r="OJ177" s="1"/>
      <c r="OK177" s="1"/>
      <c r="OL177" s="1"/>
      <c r="OM177" s="1"/>
      <c r="ON177" s="1"/>
      <c r="OO177" s="1"/>
      <c r="OP177" s="1"/>
      <c r="OQ177" s="1"/>
      <c r="OR177" s="1"/>
      <c r="OS177" s="1"/>
      <c r="OT177" s="1"/>
      <c r="OU177" s="1"/>
      <c r="OV177" s="1"/>
      <c r="OW177" s="1"/>
      <c r="OX177" s="1"/>
      <c r="OY177" s="1"/>
      <c r="OZ177" s="1"/>
      <c r="PA177" s="1"/>
      <c r="PB177" s="1"/>
      <c r="PC177" s="1"/>
      <c r="PD177" s="1"/>
      <c r="PE177" s="1"/>
      <c r="PF177" s="1"/>
      <c r="PG177" s="1"/>
      <c r="PH177" s="1"/>
      <c r="PI177" s="1"/>
      <c r="PJ177" s="1"/>
      <c r="PK177" s="1"/>
      <c r="PL177" s="1"/>
      <c r="PM177" s="1"/>
      <c r="PN177" s="1"/>
      <c r="PO177" s="1"/>
      <c r="PP177" s="1"/>
      <c r="PQ177" s="1"/>
      <c r="PR177" s="1"/>
      <c r="PS177" s="1"/>
      <c r="PT177" s="1"/>
      <c r="PU177" s="1"/>
      <c r="PV177" s="1"/>
      <c r="PW177" s="1"/>
      <c r="PX177" s="1"/>
      <c r="PY177" s="1"/>
      <c r="PZ177" s="1"/>
      <c r="QA177" s="1"/>
      <c r="QB177" s="1"/>
      <c r="QC177" s="1"/>
      <c r="QD177" s="1"/>
      <c r="QE177" s="1"/>
      <c r="QF177" s="1"/>
      <c r="QG177" s="1"/>
      <c r="QH177" s="1"/>
      <c r="QI177" s="1"/>
      <c r="QJ177" s="1"/>
      <c r="QK177" s="1"/>
      <c r="QL177" s="1"/>
      <c r="QM177" s="1"/>
      <c r="QN177" s="1"/>
      <c r="QO177" s="1"/>
      <c r="QP177" s="1"/>
      <c r="QQ177" s="1"/>
      <c r="QR177" s="1"/>
      <c r="QS177" s="1"/>
      <c r="QT177" s="1"/>
      <c r="QU177" s="1"/>
      <c r="QV177" s="1"/>
      <c r="QW177" s="1"/>
      <c r="QX177" s="1"/>
      <c r="QY177" s="1"/>
      <c r="QZ177" s="1"/>
      <c r="RA177" s="1"/>
      <c r="RB177" s="1"/>
      <c r="RC177" s="1"/>
      <c r="RD177" s="1"/>
      <c r="RE177" s="1"/>
      <c r="RF177" s="1"/>
      <c r="RG177" s="1"/>
      <c r="RH177" s="1"/>
      <c r="RI177" s="1"/>
      <c r="RJ177" s="1"/>
      <c r="RK177" s="1"/>
      <c r="RL177" s="1"/>
      <c r="RM177" s="1"/>
      <c r="RN177" s="1"/>
      <c r="RO177" s="1"/>
      <c r="RP177" s="1"/>
      <c r="RQ177" s="1"/>
      <c r="RR177" s="1"/>
      <c r="RS177" s="1"/>
      <c r="RT177" s="1"/>
      <c r="RU177" s="1"/>
      <c r="RV177" s="1"/>
      <c r="RW177" s="1"/>
      <c r="RX177" s="1"/>
      <c r="RY177" s="1"/>
      <c r="RZ177" s="1"/>
      <c r="SA177" s="1"/>
      <c r="SB177" s="1"/>
      <c r="SC177" s="1"/>
      <c r="SD177" s="1"/>
      <c r="SE177" s="1"/>
      <c r="SF177" s="1"/>
      <c r="SG177" s="1"/>
      <c r="SH177" s="1"/>
      <c r="SI177" s="1"/>
      <c r="SJ177" s="1"/>
      <c r="SK177" s="1"/>
      <c r="SL177" s="1"/>
      <c r="SM177" s="1"/>
      <c r="SN177" s="1"/>
      <c r="SO177" s="1"/>
      <c r="SP177" s="1"/>
      <c r="SQ177" s="1"/>
      <c r="SR177" s="1"/>
      <c r="SS177" s="1"/>
      <c r="ST177" s="1"/>
      <c r="SU177" s="1"/>
      <c r="SV177" s="1"/>
      <c r="SW177" s="1"/>
      <c r="SX177" s="1"/>
      <c r="SY177" s="1"/>
      <c r="SZ177" s="1"/>
      <c r="TA177" s="1"/>
      <c r="TB177" s="1"/>
      <c r="TC177" s="1"/>
      <c r="TD177" s="1"/>
      <c r="TE177" s="1"/>
      <c r="TF177" s="1"/>
      <c r="TG177" s="1"/>
      <c r="TH177" s="1"/>
      <c r="TI177" s="1"/>
      <c r="TJ177" s="1"/>
      <c r="TK177" s="1"/>
      <c r="TL177" s="1"/>
      <c r="TM177" s="1"/>
      <c r="TN177" s="1"/>
      <c r="TO177" s="1"/>
      <c r="TP177" s="1"/>
      <c r="TQ177" s="1"/>
      <c r="TR177" s="1"/>
      <c r="TS177" s="1"/>
      <c r="TT177" s="1"/>
      <c r="TU177" s="1"/>
      <c r="TV177" s="1"/>
      <c r="TW177" s="1"/>
      <c r="TX177" s="1"/>
      <c r="TY177" s="1"/>
      <c r="TZ177" s="1"/>
      <c r="UA177" s="1"/>
      <c r="UB177" s="1"/>
      <c r="UC177" s="1"/>
      <c r="UD177" s="1"/>
      <c r="UE177" s="1"/>
      <c r="UF177" s="1"/>
      <c r="UG177" s="1"/>
      <c r="UH177" s="1"/>
      <c r="UI177" s="1"/>
      <c r="UJ177" s="1"/>
      <c r="UK177" s="1"/>
      <c r="UL177" s="1"/>
      <c r="UM177" s="1"/>
      <c r="UN177" s="1"/>
      <c r="UO177" s="1"/>
      <c r="UP177" s="1"/>
      <c r="UQ177" s="1"/>
      <c r="UR177" s="1"/>
      <c r="US177" s="1"/>
      <c r="UT177" s="1"/>
      <c r="UU177" s="1"/>
      <c r="UV177" s="1"/>
      <c r="UW177" s="1"/>
      <c r="UX177" s="1"/>
      <c r="UY177" s="1"/>
      <c r="UZ177" s="1"/>
      <c r="VA177" s="1"/>
      <c r="VB177" s="1"/>
      <c r="VC177" s="1"/>
      <c r="VD177" s="1"/>
      <c r="VE177" s="1"/>
      <c r="VF177" s="1"/>
      <c r="VG177" s="1"/>
      <c r="VH177" s="1"/>
      <c r="VI177" s="1"/>
      <c r="VJ177" s="1"/>
      <c r="VK177" s="1"/>
      <c r="VL177" s="1"/>
      <c r="VM177" s="1"/>
      <c r="VN177" s="1"/>
      <c r="VO177" s="1"/>
      <c r="VP177" s="1"/>
      <c r="VQ177" s="1"/>
      <c r="VR177" s="1"/>
      <c r="VS177" s="1"/>
      <c r="VT177" s="1"/>
      <c r="VU177" s="1"/>
      <c r="VV177" s="1"/>
      <c r="VW177" s="1"/>
      <c r="VX177" s="1"/>
      <c r="VY177" s="1"/>
      <c r="VZ177" s="1"/>
      <c r="WA177" s="1"/>
      <c r="WB177" s="1"/>
      <c r="WC177" s="1"/>
      <c r="WD177" s="1"/>
      <c r="WE177" s="1"/>
      <c r="WF177" s="1"/>
      <c r="WG177" s="1"/>
      <c r="WH177" s="1"/>
      <c r="WI177" s="1"/>
      <c r="WJ177" s="1"/>
      <c r="WK177" s="1"/>
      <c r="WL177" s="1"/>
      <c r="WM177" s="1"/>
      <c r="WN177" s="1"/>
      <c r="WO177" s="1"/>
      <c r="WP177" s="1"/>
      <c r="WQ177" s="1"/>
      <c r="WR177" s="1"/>
      <c r="WS177" s="1"/>
      <c r="WT177" s="1"/>
      <c r="WU177" s="1"/>
      <c r="WV177" s="1"/>
      <c r="WW177" s="1"/>
      <c r="WX177" s="1"/>
      <c r="WY177" s="1"/>
      <c r="WZ177" s="1"/>
      <c r="XA177" s="1"/>
      <c r="XB177" s="1"/>
      <c r="XC177" s="1"/>
      <c r="XD177" s="1"/>
      <c r="XE177" s="1"/>
      <c r="XF177" s="1"/>
      <c r="XG177" s="1"/>
      <c r="XH177" s="1"/>
      <c r="XI177" s="1"/>
      <c r="XJ177" s="1"/>
      <c r="XK177" s="1"/>
      <c r="XL177" s="1"/>
      <c r="XM177" s="1"/>
      <c r="XN177" s="1"/>
      <c r="XO177" s="1"/>
      <c r="XP177" s="1"/>
      <c r="XQ177" s="1"/>
      <c r="XR177" s="1"/>
      <c r="XS177" s="1"/>
      <c r="XT177" s="1"/>
      <c r="XU177" s="1"/>
      <c r="XV177" s="1"/>
      <c r="XW177" s="1"/>
      <c r="XX177" s="1"/>
      <c r="XY177" s="1"/>
      <c r="XZ177" s="1"/>
      <c r="YA177" s="1"/>
      <c r="YB177" s="1"/>
      <c r="YC177" s="1"/>
      <c r="YD177" s="1"/>
      <c r="YE177" s="1"/>
      <c r="YF177" s="1"/>
      <c r="YG177" s="1"/>
      <c r="YH177" s="1"/>
      <c r="YI177" s="1"/>
      <c r="YJ177" s="1"/>
      <c r="YK177" s="1"/>
      <c r="YL177" s="1"/>
      <c r="YM177" s="1"/>
      <c r="YN177" s="1"/>
      <c r="YO177" s="1"/>
      <c r="YP177" s="1"/>
      <c r="YQ177" s="1"/>
      <c r="YR177" s="1"/>
      <c r="YS177" s="1"/>
      <c r="YT177" s="1"/>
      <c r="YU177" s="1"/>
      <c r="YV177" s="1"/>
      <c r="YW177" s="1"/>
      <c r="YX177" s="1"/>
      <c r="YY177" s="1"/>
      <c r="YZ177" s="1"/>
      <c r="ZA177" s="1"/>
      <c r="ZB177" s="1"/>
      <c r="ZC177" s="1"/>
      <c r="ZD177" s="1"/>
      <c r="ZE177" s="1"/>
      <c r="ZF177" s="1"/>
      <c r="ZG177" s="1"/>
      <c r="ZH177" s="1"/>
      <c r="ZI177" s="1"/>
      <c r="ZJ177" s="1"/>
      <c r="ZK177" s="1"/>
      <c r="ZL177" s="1"/>
      <c r="ZM177" s="1"/>
      <c r="ZN177" s="1"/>
      <c r="ZO177" s="1"/>
      <c r="ZP177" s="1"/>
      <c r="ZQ177" s="1"/>
      <c r="ZR177" s="1"/>
      <c r="ZS177" s="1"/>
      <c r="ZT177" s="1"/>
      <c r="ZU177" s="1"/>
      <c r="ZV177" s="1"/>
      <c r="ZW177" s="1"/>
      <c r="ZX177" s="1"/>
      <c r="ZY177" s="1"/>
      <c r="ZZ177" s="1"/>
      <c r="AAA177" s="1"/>
      <c r="AAB177" s="1"/>
      <c r="AAC177" s="1"/>
      <c r="AAD177" s="1"/>
      <c r="AAE177" s="1"/>
      <c r="AAF177" s="1"/>
      <c r="AAG177" s="1"/>
      <c r="AAH177" s="1"/>
      <c r="AAI177" s="1"/>
      <c r="AAJ177" s="1"/>
      <c r="AAK177" s="1"/>
      <c r="AAL177" s="1"/>
      <c r="AAM177" s="1"/>
      <c r="AAN177" s="1"/>
      <c r="AAO177" s="1"/>
      <c r="AAP177" s="1"/>
      <c r="AAQ177" s="1"/>
      <c r="AAR177" s="1"/>
      <c r="AAS177" s="1"/>
      <c r="AAT177" s="1"/>
      <c r="AAU177" s="1"/>
      <c r="AAV177" s="1"/>
      <c r="AAW177" s="1"/>
      <c r="AAX177" s="1"/>
      <c r="AAY177" s="1"/>
      <c r="AAZ177" s="1"/>
      <c r="ABA177" s="1"/>
      <c r="ABB177" s="1"/>
      <c r="ABC177" s="1"/>
      <c r="ABD177" s="1"/>
      <c r="ABE177" s="1"/>
      <c r="ABF177" s="1"/>
      <c r="ABG177" s="1"/>
      <c r="ABH177" s="1"/>
      <c r="ABI177" s="1"/>
      <c r="ABJ177" s="1"/>
      <c r="ABK177" s="1"/>
      <c r="ABL177" s="1"/>
      <c r="ABM177" s="1"/>
      <c r="ABN177" s="1"/>
      <c r="ABO177" s="1"/>
      <c r="ABP177" s="1"/>
      <c r="ABQ177" s="1"/>
      <c r="ABR177" s="1"/>
      <c r="ABS177" s="1"/>
      <c r="ABT177" s="1"/>
      <c r="ABU177" s="1"/>
      <c r="ABV177" s="1"/>
      <c r="ABW177" s="1"/>
      <c r="ABX177" s="1"/>
      <c r="ABY177" s="1"/>
      <c r="ABZ177" s="1"/>
      <c r="ACA177" s="1"/>
      <c r="ACB177" s="1"/>
      <c r="ACC177" s="1"/>
      <c r="ACD177" s="1"/>
      <c r="ACE177" s="1"/>
      <c r="ACF177" s="1"/>
      <c r="ACG177" s="1"/>
      <c r="ACH177" s="1"/>
      <c r="ACI177" s="1"/>
      <c r="ACJ177" s="1"/>
      <c r="ACK177" s="1"/>
      <c r="ACL177" s="1"/>
      <c r="ACM177" s="1"/>
      <c r="ACN177" s="1"/>
      <c r="ACO177" s="1"/>
      <c r="ACP177" s="1"/>
      <c r="ACQ177" s="1"/>
      <c r="ACR177" s="1"/>
      <c r="ACS177" s="1"/>
      <c r="ACT177" s="1"/>
      <c r="ACU177" s="1"/>
      <c r="ACV177" s="1"/>
      <c r="ACW177" s="1"/>
      <c r="ACX177" s="1"/>
      <c r="ACY177" s="1"/>
      <c r="ACZ177" s="1"/>
      <c r="ADA177" s="1"/>
      <c r="ADB177" s="1"/>
      <c r="ADC177" s="1"/>
      <c r="ADD177" s="1"/>
      <c r="ADE177" s="1"/>
      <c r="ADF177" s="1"/>
      <c r="ADG177" s="1"/>
      <c r="ADH177" s="1"/>
      <c r="ADI177" s="1"/>
      <c r="ADJ177" s="1"/>
      <c r="ADK177" s="1"/>
      <c r="ADL177" s="1"/>
      <c r="ADM177" s="1"/>
      <c r="ADN177" s="1"/>
      <c r="ADO177" s="1"/>
      <c r="ADP177" s="1"/>
      <c r="ADQ177" s="1"/>
      <c r="ADR177" s="1"/>
      <c r="ADS177" s="1"/>
      <c r="ADT177" s="1"/>
      <c r="ADU177" s="1"/>
      <c r="ADV177" s="1"/>
      <c r="ADW177" s="1"/>
      <c r="ADX177" s="1"/>
      <c r="ADY177" s="1"/>
      <c r="ADZ177" s="1"/>
      <c r="AEA177" s="1"/>
      <c r="AEB177" s="1"/>
      <c r="AEC177" s="1"/>
      <c r="AED177" s="1"/>
      <c r="AEE177" s="1"/>
      <c r="AEF177" s="1"/>
      <c r="AEG177" s="1"/>
      <c r="AEH177" s="1"/>
      <c r="AEI177" s="1"/>
      <c r="AEJ177" s="1"/>
      <c r="AEK177" s="1"/>
      <c r="AEL177" s="1"/>
      <c r="AEM177" s="1"/>
      <c r="AEN177" s="1"/>
      <c r="AEO177" s="1"/>
      <c r="AEP177" s="1"/>
      <c r="AEQ177" s="1"/>
      <c r="AER177" s="1"/>
      <c r="AES177" s="1"/>
      <c r="AET177" s="1"/>
      <c r="AEU177" s="1"/>
      <c r="AEV177" s="1"/>
      <c r="AEW177" s="1"/>
      <c r="AEX177" s="1"/>
      <c r="AEY177" s="1"/>
      <c r="AEZ177" s="1"/>
      <c r="AFA177" s="1"/>
      <c r="AFB177" s="1"/>
      <c r="AFC177" s="1"/>
      <c r="AFD177" s="1"/>
      <c r="AFE177" s="1"/>
      <c r="AFF177" s="1"/>
      <c r="AFG177" s="1"/>
      <c r="AFH177" s="1"/>
      <c r="AFI177" s="1"/>
      <c r="AFJ177" s="1"/>
      <c r="AFK177" s="1"/>
      <c r="AFL177" s="1"/>
      <c r="AFM177" s="1"/>
      <c r="AFN177" s="1"/>
      <c r="AFO177" s="1"/>
      <c r="AFP177" s="1"/>
      <c r="AFQ177" s="1"/>
      <c r="AFR177" s="1"/>
      <c r="AFS177" s="1"/>
      <c r="AFT177" s="1"/>
      <c r="AFU177" s="1"/>
      <c r="AFV177" s="1"/>
      <c r="AFW177" s="1"/>
      <c r="AFX177" s="1"/>
      <c r="AFY177" s="1"/>
      <c r="AFZ177" s="1"/>
      <c r="AGA177" s="1"/>
      <c r="AGB177" s="1"/>
      <c r="AGC177" s="1"/>
      <c r="AGD177" s="1"/>
      <c r="AGE177" s="1"/>
      <c r="AGF177" s="1"/>
      <c r="AGG177" s="1"/>
      <c r="AGH177" s="1"/>
      <c r="AGI177" s="1"/>
      <c r="AGJ177" s="1"/>
      <c r="AGK177" s="1"/>
      <c r="AGL177" s="1"/>
      <c r="AGM177" s="1"/>
      <c r="AGN177" s="1"/>
      <c r="AGO177" s="1"/>
      <c r="AGP177" s="1"/>
      <c r="AGQ177" s="1"/>
      <c r="AGR177" s="1"/>
      <c r="AGS177" s="1"/>
      <c r="AGT177" s="1"/>
      <c r="AGU177" s="1"/>
      <c r="AGV177" s="1"/>
      <c r="AGW177" s="1"/>
      <c r="AGX177" s="1"/>
      <c r="AGY177" s="1"/>
      <c r="AGZ177" s="1"/>
      <c r="AHA177" s="1"/>
      <c r="AHB177" s="1"/>
      <c r="AHC177" s="1"/>
      <c r="AHD177" s="1"/>
      <c r="AHE177" s="1"/>
      <c r="AHF177" s="1"/>
      <c r="AHG177" s="1"/>
      <c r="AHH177" s="1"/>
      <c r="AHI177" s="1"/>
      <c r="AHJ177" s="1"/>
      <c r="AHK177" s="1"/>
      <c r="AHL177" s="1"/>
      <c r="AHM177" s="1"/>
      <c r="AHN177" s="1"/>
      <c r="AHO177" s="1"/>
      <c r="AHP177" s="1"/>
      <c r="AHQ177" s="1"/>
      <c r="AHR177" s="1"/>
      <c r="AHS177" s="1"/>
      <c r="AHT177" s="1"/>
      <c r="AHU177" s="1"/>
      <c r="AHV177" s="1"/>
      <c r="AHW177" s="1"/>
      <c r="AHX177" s="1"/>
      <c r="AHY177" s="1"/>
      <c r="AHZ177" s="1"/>
      <c r="AIA177" s="1"/>
      <c r="AIB177" s="1"/>
      <c r="AIC177" s="1"/>
      <c r="AID177" s="1"/>
      <c r="AIE177" s="1"/>
      <c r="AIF177" s="1"/>
      <c r="AIG177" s="1"/>
      <c r="AIH177" s="1"/>
      <c r="AII177" s="1"/>
      <c r="AIJ177" s="1"/>
      <c r="AIK177" s="1"/>
      <c r="AIL177" s="1"/>
      <c r="AIM177" s="1"/>
      <c r="AIN177" s="1"/>
      <c r="AIO177" s="1"/>
      <c r="AIP177" s="1"/>
      <c r="AIQ177" s="1"/>
      <c r="AIR177" s="1"/>
      <c r="AIS177" s="1"/>
      <c r="AIT177" s="1"/>
      <c r="AIU177" s="1"/>
      <c r="AIV177" s="1"/>
      <c r="AIW177" s="1"/>
      <c r="AIX177" s="1"/>
      <c r="AIY177" s="1"/>
      <c r="AIZ177" s="1"/>
      <c r="AJA177" s="1"/>
      <c r="AJB177" s="1"/>
      <c r="AJC177" s="1"/>
      <c r="AJD177" s="1"/>
      <c r="AJE177" s="1"/>
      <c r="AJF177" s="1"/>
      <c r="AJG177" s="1"/>
      <c r="AJH177" s="1"/>
      <c r="AJI177" s="1"/>
      <c r="AJJ177" s="1"/>
      <c r="AJK177" s="1"/>
      <c r="AJL177" s="1"/>
      <c r="AJM177" s="1"/>
      <c r="AJN177" s="1"/>
      <c r="AJO177" s="1"/>
      <c r="AJP177" s="1"/>
      <c r="AJQ177" s="1"/>
      <c r="AJR177" s="1"/>
      <c r="AJS177" s="1"/>
      <c r="AJT177" s="1"/>
      <c r="AJU177" s="1"/>
      <c r="AJV177" s="1"/>
      <c r="AJW177" s="1"/>
      <c r="AJX177" s="1"/>
      <c r="AJY177" s="1"/>
      <c r="AJZ177" s="1"/>
      <c r="AKA177" s="1"/>
      <c r="AKB177" s="1"/>
      <c r="AKC177" s="1"/>
      <c r="AKD177" s="1"/>
      <c r="AKE177" s="1"/>
      <c r="AKF177" s="1"/>
      <c r="AKG177" s="1"/>
      <c r="AKH177" s="1"/>
      <c r="AKI177" s="1"/>
      <c r="AKJ177" s="1"/>
      <c r="AKK177" s="1"/>
      <c r="AKL177" s="1"/>
      <c r="AKM177" s="1"/>
      <c r="AKN177" s="1"/>
      <c r="AKO177" s="1"/>
      <c r="AKP177" s="1"/>
      <c r="AKQ177" s="1"/>
      <c r="AKR177" s="1"/>
      <c r="AKS177" s="1"/>
      <c r="AKT177" s="1"/>
      <c r="AKU177" s="1"/>
      <c r="AKV177" s="1"/>
      <c r="AKW177" s="1"/>
      <c r="AKX177" s="1"/>
      <c r="AKY177" s="1"/>
      <c r="AKZ177" s="1"/>
      <c r="ALA177" s="1"/>
      <c r="ALB177" s="1"/>
      <c r="ALC177" s="1"/>
      <c r="ALD177" s="1"/>
      <c r="ALE177" s="1"/>
      <c r="ALF177" s="1"/>
      <c r="ALG177" s="1"/>
      <c r="ALH177" s="1"/>
      <c r="ALI177" s="1"/>
      <c r="ALJ177" s="1"/>
      <c r="ALK177" s="1"/>
      <c r="ALL177" s="1"/>
      <c r="ALM177" s="1"/>
      <c r="ALN177" s="1"/>
      <c r="ALO177" s="1"/>
      <c r="ALP177" s="1"/>
      <c r="ALQ177" s="1"/>
      <c r="ALR177" s="1"/>
      <c r="ALS177" s="1"/>
      <c r="ALT177" s="1"/>
      <c r="ALU177" s="1"/>
      <c r="ALV177" s="1"/>
      <c r="ALW177" s="1"/>
      <c r="ALX177" s="1"/>
      <c r="ALY177" s="1"/>
      <c r="ALZ177" s="1"/>
      <c r="AMA177" s="1"/>
      <c r="AMB177" s="1"/>
      <c r="AMC177" s="1"/>
      <c r="AMD177" s="1"/>
      <c r="AME177" s="1"/>
      <c r="AMF177" s="1"/>
      <c r="AMG177" s="1"/>
      <c r="AMH177" s="1"/>
      <c r="AMI177" s="1"/>
      <c r="AMJ177" s="1"/>
    </row>
    <row r="178" customFormat="false" ht="10.5" hidden="false" customHeight="true" outlineLevel="0" collapsed="false">
      <c r="A178" s="231"/>
      <c r="B178" s="231"/>
      <c r="C178" s="231"/>
      <c r="D178" s="231"/>
      <c r="E178" s="231"/>
      <c r="F178" s="168"/>
      <c r="G178" s="168"/>
      <c r="H178" s="168"/>
      <c r="I178" s="168"/>
      <c r="J178" s="168"/>
      <c r="K178" s="168"/>
      <c r="L178" s="168"/>
      <c r="M178" s="168"/>
      <c r="N178" s="168"/>
      <c r="O178" s="168"/>
      <c r="P178" s="168"/>
      <c r="Q178" s="168"/>
      <c r="R178" s="168"/>
      <c r="S178" s="168"/>
      <c r="T178" s="168"/>
      <c r="U178" s="168"/>
      <c r="V178" s="168"/>
      <c r="W178" s="168"/>
      <c r="X178" s="168"/>
      <c r="Y178" s="168"/>
      <c r="Z178" s="170"/>
      <c r="AA178" s="170"/>
      <c r="AB178" s="170"/>
      <c r="AC178" s="170"/>
      <c r="AD178" s="230"/>
      <c r="AE178" s="230"/>
      <c r="AF178" s="230"/>
      <c r="AG178" s="228"/>
      <c r="AH178" s="228"/>
      <c r="AI178" s="228"/>
      <c r="AJ178" s="228"/>
      <c r="AK178" s="228"/>
      <c r="AL178" s="228"/>
      <c r="AM178" s="228"/>
      <c r="AN178" s="228"/>
      <c r="AO178" s="228"/>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c r="IY178" s="1"/>
      <c r="IZ178" s="1"/>
      <c r="JA178" s="1"/>
      <c r="JB178" s="1"/>
      <c r="JC178" s="1"/>
      <c r="JD178" s="1"/>
      <c r="JE178" s="1"/>
      <c r="JF178" s="1"/>
      <c r="JG178" s="1"/>
      <c r="JH178" s="1"/>
      <c r="JI178" s="1"/>
      <c r="JJ178" s="1"/>
      <c r="JK178" s="1"/>
      <c r="JL178" s="1"/>
      <c r="JM178" s="1"/>
      <c r="JN178" s="1"/>
      <c r="JO178" s="1"/>
      <c r="JP178" s="1"/>
      <c r="JQ178" s="1"/>
      <c r="JR178" s="1"/>
      <c r="JS178" s="1"/>
      <c r="JT178" s="1"/>
      <c r="JU178" s="1"/>
      <c r="JV178" s="1"/>
      <c r="JW178" s="1"/>
      <c r="JX178" s="1"/>
      <c r="JY178" s="1"/>
      <c r="JZ178" s="1"/>
      <c r="KA178" s="1"/>
      <c r="KB178" s="1"/>
      <c r="KC178" s="1"/>
      <c r="KD178" s="1"/>
      <c r="KE178" s="1"/>
      <c r="KF178" s="1"/>
      <c r="KG178" s="1"/>
      <c r="KH178" s="1"/>
      <c r="KI178" s="1"/>
      <c r="KJ178" s="1"/>
      <c r="KK178" s="1"/>
      <c r="KL178" s="1"/>
      <c r="KM178" s="1"/>
      <c r="KN178" s="1"/>
      <c r="KO178" s="1"/>
      <c r="KP178" s="1"/>
      <c r="KQ178" s="1"/>
      <c r="KR178" s="1"/>
      <c r="KS178" s="1"/>
      <c r="KT178" s="1"/>
      <c r="KU178" s="1"/>
      <c r="KV178" s="1"/>
      <c r="KW178" s="1"/>
      <c r="KX178" s="1"/>
      <c r="KY178" s="1"/>
      <c r="KZ178" s="1"/>
      <c r="LA178" s="1"/>
      <c r="LB178" s="1"/>
      <c r="LC178" s="1"/>
      <c r="LD178" s="1"/>
      <c r="LE178" s="1"/>
      <c r="LF178" s="1"/>
      <c r="LG178" s="1"/>
      <c r="LH178" s="1"/>
      <c r="LI178" s="1"/>
      <c r="LJ178" s="1"/>
      <c r="LK178" s="1"/>
      <c r="LL178" s="1"/>
      <c r="LM178" s="1"/>
      <c r="LN178" s="1"/>
      <c r="LO178" s="1"/>
      <c r="LP178" s="1"/>
      <c r="LQ178" s="1"/>
      <c r="LR178" s="1"/>
      <c r="LS178" s="1"/>
      <c r="LT178" s="1"/>
      <c r="LU178" s="1"/>
      <c r="LV178" s="1"/>
      <c r="LW178" s="1"/>
      <c r="LX178" s="1"/>
      <c r="LY178" s="1"/>
      <c r="LZ178" s="1"/>
      <c r="MA178" s="1"/>
      <c r="MB178" s="1"/>
      <c r="MC178" s="1"/>
      <c r="MD178" s="1"/>
      <c r="ME178" s="1"/>
      <c r="MF178" s="1"/>
      <c r="MG178" s="1"/>
      <c r="MH178" s="1"/>
      <c r="MI178" s="1"/>
      <c r="MJ178" s="1"/>
      <c r="MK178" s="1"/>
      <c r="ML178" s="1"/>
      <c r="MM178" s="1"/>
      <c r="MN178" s="1"/>
      <c r="MO178" s="1"/>
      <c r="MP178" s="1"/>
      <c r="MQ178" s="1"/>
      <c r="MR178" s="1"/>
      <c r="MS178" s="1"/>
      <c r="MT178" s="1"/>
      <c r="MU178" s="1"/>
      <c r="MV178" s="1"/>
      <c r="MW178" s="1"/>
      <c r="MX178" s="1"/>
      <c r="MY178" s="1"/>
      <c r="MZ178" s="1"/>
      <c r="NA178" s="1"/>
      <c r="NB178" s="1"/>
      <c r="NC178" s="1"/>
      <c r="ND178" s="1"/>
      <c r="NE178" s="1"/>
      <c r="NF178" s="1"/>
      <c r="NG178" s="1"/>
      <c r="NH178" s="1"/>
      <c r="NI178" s="1"/>
      <c r="NJ178" s="1"/>
      <c r="NK178" s="1"/>
      <c r="NL178" s="1"/>
      <c r="NM178" s="1"/>
      <c r="NN178" s="1"/>
      <c r="NO178" s="1"/>
      <c r="NP178" s="1"/>
      <c r="NQ178" s="1"/>
      <c r="NR178" s="1"/>
      <c r="NS178" s="1"/>
      <c r="NT178" s="1"/>
      <c r="NU178" s="1"/>
      <c r="NV178" s="1"/>
      <c r="NW178" s="1"/>
      <c r="NX178" s="1"/>
      <c r="NY178" s="1"/>
      <c r="NZ178" s="1"/>
      <c r="OA178" s="1"/>
      <c r="OB178" s="1"/>
      <c r="OC178" s="1"/>
      <c r="OD178" s="1"/>
      <c r="OE178" s="1"/>
      <c r="OF178" s="1"/>
      <c r="OG178" s="1"/>
      <c r="OH178" s="1"/>
      <c r="OI178" s="1"/>
      <c r="OJ178" s="1"/>
      <c r="OK178" s="1"/>
      <c r="OL178" s="1"/>
      <c r="OM178" s="1"/>
      <c r="ON178" s="1"/>
      <c r="OO178" s="1"/>
      <c r="OP178" s="1"/>
      <c r="OQ178" s="1"/>
      <c r="OR178" s="1"/>
      <c r="OS178" s="1"/>
      <c r="OT178" s="1"/>
      <c r="OU178" s="1"/>
      <c r="OV178" s="1"/>
      <c r="OW178" s="1"/>
      <c r="OX178" s="1"/>
      <c r="OY178" s="1"/>
      <c r="OZ178" s="1"/>
      <c r="PA178" s="1"/>
      <c r="PB178" s="1"/>
      <c r="PC178" s="1"/>
      <c r="PD178" s="1"/>
      <c r="PE178" s="1"/>
      <c r="PF178" s="1"/>
      <c r="PG178" s="1"/>
      <c r="PH178" s="1"/>
      <c r="PI178" s="1"/>
      <c r="PJ178" s="1"/>
      <c r="PK178" s="1"/>
      <c r="PL178" s="1"/>
      <c r="PM178" s="1"/>
      <c r="PN178" s="1"/>
      <c r="PO178" s="1"/>
      <c r="PP178" s="1"/>
      <c r="PQ178" s="1"/>
      <c r="PR178" s="1"/>
      <c r="PS178" s="1"/>
      <c r="PT178" s="1"/>
      <c r="PU178" s="1"/>
      <c r="PV178" s="1"/>
      <c r="PW178" s="1"/>
      <c r="PX178" s="1"/>
      <c r="PY178" s="1"/>
      <c r="PZ178" s="1"/>
      <c r="QA178" s="1"/>
      <c r="QB178" s="1"/>
      <c r="QC178" s="1"/>
      <c r="QD178" s="1"/>
      <c r="QE178" s="1"/>
      <c r="QF178" s="1"/>
      <c r="QG178" s="1"/>
      <c r="QH178" s="1"/>
      <c r="QI178" s="1"/>
      <c r="QJ178" s="1"/>
      <c r="QK178" s="1"/>
      <c r="QL178" s="1"/>
      <c r="QM178" s="1"/>
      <c r="QN178" s="1"/>
      <c r="QO178" s="1"/>
      <c r="QP178" s="1"/>
      <c r="QQ178" s="1"/>
      <c r="QR178" s="1"/>
      <c r="QS178" s="1"/>
      <c r="QT178" s="1"/>
      <c r="QU178" s="1"/>
      <c r="QV178" s="1"/>
      <c r="QW178" s="1"/>
      <c r="QX178" s="1"/>
      <c r="QY178" s="1"/>
      <c r="QZ178" s="1"/>
      <c r="RA178" s="1"/>
      <c r="RB178" s="1"/>
      <c r="RC178" s="1"/>
      <c r="RD178" s="1"/>
      <c r="RE178" s="1"/>
      <c r="RF178" s="1"/>
      <c r="RG178" s="1"/>
      <c r="RH178" s="1"/>
      <c r="RI178" s="1"/>
      <c r="RJ178" s="1"/>
      <c r="RK178" s="1"/>
      <c r="RL178" s="1"/>
      <c r="RM178" s="1"/>
      <c r="RN178" s="1"/>
      <c r="RO178" s="1"/>
      <c r="RP178" s="1"/>
      <c r="RQ178" s="1"/>
      <c r="RR178" s="1"/>
      <c r="RS178" s="1"/>
      <c r="RT178" s="1"/>
      <c r="RU178" s="1"/>
      <c r="RV178" s="1"/>
      <c r="RW178" s="1"/>
      <c r="RX178" s="1"/>
      <c r="RY178" s="1"/>
      <c r="RZ178" s="1"/>
      <c r="SA178" s="1"/>
      <c r="SB178" s="1"/>
      <c r="SC178" s="1"/>
      <c r="SD178" s="1"/>
      <c r="SE178" s="1"/>
      <c r="SF178" s="1"/>
      <c r="SG178" s="1"/>
      <c r="SH178" s="1"/>
      <c r="SI178" s="1"/>
      <c r="SJ178" s="1"/>
      <c r="SK178" s="1"/>
      <c r="SL178" s="1"/>
      <c r="SM178" s="1"/>
      <c r="SN178" s="1"/>
      <c r="SO178" s="1"/>
      <c r="SP178" s="1"/>
      <c r="SQ178" s="1"/>
      <c r="SR178" s="1"/>
      <c r="SS178" s="1"/>
      <c r="ST178" s="1"/>
      <c r="SU178" s="1"/>
      <c r="SV178" s="1"/>
      <c r="SW178" s="1"/>
      <c r="SX178" s="1"/>
      <c r="SY178" s="1"/>
      <c r="SZ178" s="1"/>
      <c r="TA178" s="1"/>
      <c r="TB178" s="1"/>
      <c r="TC178" s="1"/>
      <c r="TD178" s="1"/>
      <c r="TE178" s="1"/>
      <c r="TF178" s="1"/>
      <c r="TG178" s="1"/>
      <c r="TH178" s="1"/>
      <c r="TI178" s="1"/>
      <c r="TJ178" s="1"/>
      <c r="TK178" s="1"/>
      <c r="TL178" s="1"/>
      <c r="TM178" s="1"/>
      <c r="TN178" s="1"/>
      <c r="TO178" s="1"/>
      <c r="TP178" s="1"/>
      <c r="TQ178" s="1"/>
      <c r="TR178" s="1"/>
      <c r="TS178" s="1"/>
      <c r="TT178" s="1"/>
      <c r="TU178" s="1"/>
      <c r="TV178" s="1"/>
      <c r="TW178" s="1"/>
      <c r="TX178" s="1"/>
      <c r="TY178" s="1"/>
      <c r="TZ178" s="1"/>
      <c r="UA178" s="1"/>
      <c r="UB178" s="1"/>
      <c r="UC178" s="1"/>
      <c r="UD178" s="1"/>
      <c r="UE178" s="1"/>
      <c r="UF178" s="1"/>
      <c r="UG178" s="1"/>
      <c r="UH178" s="1"/>
      <c r="UI178" s="1"/>
      <c r="UJ178" s="1"/>
      <c r="UK178" s="1"/>
      <c r="UL178" s="1"/>
      <c r="UM178" s="1"/>
      <c r="UN178" s="1"/>
      <c r="UO178" s="1"/>
      <c r="UP178" s="1"/>
      <c r="UQ178" s="1"/>
      <c r="UR178" s="1"/>
      <c r="US178" s="1"/>
      <c r="UT178" s="1"/>
      <c r="UU178" s="1"/>
      <c r="UV178" s="1"/>
      <c r="UW178" s="1"/>
      <c r="UX178" s="1"/>
      <c r="UY178" s="1"/>
      <c r="UZ178" s="1"/>
      <c r="VA178" s="1"/>
      <c r="VB178" s="1"/>
      <c r="VC178" s="1"/>
      <c r="VD178" s="1"/>
      <c r="VE178" s="1"/>
      <c r="VF178" s="1"/>
      <c r="VG178" s="1"/>
      <c r="VH178" s="1"/>
      <c r="VI178" s="1"/>
      <c r="VJ178" s="1"/>
      <c r="VK178" s="1"/>
      <c r="VL178" s="1"/>
      <c r="VM178" s="1"/>
      <c r="VN178" s="1"/>
      <c r="VO178" s="1"/>
      <c r="VP178" s="1"/>
      <c r="VQ178" s="1"/>
      <c r="VR178" s="1"/>
      <c r="VS178" s="1"/>
      <c r="VT178" s="1"/>
      <c r="VU178" s="1"/>
      <c r="VV178" s="1"/>
      <c r="VW178" s="1"/>
      <c r="VX178" s="1"/>
      <c r="VY178" s="1"/>
      <c r="VZ178" s="1"/>
      <c r="WA178" s="1"/>
      <c r="WB178" s="1"/>
      <c r="WC178" s="1"/>
      <c r="WD178" s="1"/>
      <c r="WE178" s="1"/>
      <c r="WF178" s="1"/>
      <c r="WG178" s="1"/>
      <c r="WH178" s="1"/>
      <c r="WI178" s="1"/>
      <c r="WJ178" s="1"/>
      <c r="WK178" s="1"/>
      <c r="WL178" s="1"/>
      <c r="WM178" s="1"/>
      <c r="WN178" s="1"/>
      <c r="WO178" s="1"/>
      <c r="WP178" s="1"/>
      <c r="WQ178" s="1"/>
      <c r="WR178" s="1"/>
      <c r="WS178" s="1"/>
      <c r="WT178" s="1"/>
      <c r="WU178" s="1"/>
      <c r="WV178" s="1"/>
      <c r="WW178" s="1"/>
      <c r="WX178" s="1"/>
      <c r="WY178" s="1"/>
      <c r="WZ178" s="1"/>
      <c r="XA178" s="1"/>
      <c r="XB178" s="1"/>
      <c r="XC178" s="1"/>
      <c r="XD178" s="1"/>
      <c r="XE178" s="1"/>
      <c r="XF178" s="1"/>
      <c r="XG178" s="1"/>
      <c r="XH178" s="1"/>
      <c r="XI178" s="1"/>
      <c r="XJ178" s="1"/>
      <c r="XK178" s="1"/>
      <c r="XL178" s="1"/>
      <c r="XM178" s="1"/>
      <c r="XN178" s="1"/>
      <c r="XO178" s="1"/>
      <c r="XP178" s="1"/>
      <c r="XQ178" s="1"/>
      <c r="XR178" s="1"/>
      <c r="XS178" s="1"/>
      <c r="XT178" s="1"/>
      <c r="XU178" s="1"/>
      <c r="XV178" s="1"/>
      <c r="XW178" s="1"/>
      <c r="XX178" s="1"/>
      <c r="XY178" s="1"/>
      <c r="XZ178" s="1"/>
      <c r="YA178" s="1"/>
      <c r="YB178" s="1"/>
      <c r="YC178" s="1"/>
      <c r="YD178" s="1"/>
      <c r="YE178" s="1"/>
      <c r="YF178" s="1"/>
      <c r="YG178" s="1"/>
      <c r="YH178" s="1"/>
      <c r="YI178" s="1"/>
      <c r="YJ178" s="1"/>
      <c r="YK178" s="1"/>
      <c r="YL178" s="1"/>
      <c r="YM178" s="1"/>
      <c r="YN178" s="1"/>
      <c r="YO178" s="1"/>
      <c r="YP178" s="1"/>
      <c r="YQ178" s="1"/>
      <c r="YR178" s="1"/>
      <c r="YS178" s="1"/>
      <c r="YT178" s="1"/>
      <c r="YU178" s="1"/>
      <c r="YV178" s="1"/>
      <c r="YW178" s="1"/>
      <c r="YX178" s="1"/>
      <c r="YY178" s="1"/>
      <c r="YZ178" s="1"/>
      <c r="ZA178" s="1"/>
      <c r="ZB178" s="1"/>
      <c r="ZC178" s="1"/>
      <c r="ZD178" s="1"/>
      <c r="ZE178" s="1"/>
      <c r="ZF178" s="1"/>
      <c r="ZG178" s="1"/>
      <c r="ZH178" s="1"/>
      <c r="ZI178" s="1"/>
      <c r="ZJ178" s="1"/>
      <c r="ZK178" s="1"/>
      <c r="ZL178" s="1"/>
      <c r="ZM178" s="1"/>
      <c r="ZN178" s="1"/>
      <c r="ZO178" s="1"/>
      <c r="ZP178" s="1"/>
      <c r="ZQ178" s="1"/>
      <c r="ZR178" s="1"/>
      <c r="ZS178" s="1"/>
      <c r="ZT178" s="1"/>
      <c r="ZU178" s="1"/>
      <c r="ZV178" s="1"/>
      <c r="ZW178" s="1"/>
      <c r="ZX178" s="1"/>
      <c r="ZY178" s="1"/>
      <c r="ZZ178" s="1"/>
      <c r="AAA178" s="1"/>
      <c r="AAB178" s="1"/>
      <c r="AAC178" s="1"/>
      <c r="AAD178" s="1"/>
      <c r="AAE178" s="1"/>
      <c r="AAF178" s="1"/>
      <c r="AAG178" s="1"/>
      <c r="AAH178" s="1"/>
      <c r="AAI178" s="1"/>
      <c r="AAJ178" s="1"/>
      <c r="AAK178" s="1"/>
      <c r="AAL178" s="1"/>
      <c r="AAM178" s="1"/>
      <c r="AAN178" s="1"/>
      <c r="AAO178" s="1"/>
      <c r="AAP178" s="1"/>
      <c r="AAQ178" s="1"/>
      <c r="AAR178" s="1"/>
      <c r="AAS178" s="1"/>
      <c r="AAT178" s="1"/>
      <c r="AAU178" s="1"/>
      <c r="AAV178" s="1"/>
      <c r="AAW178" s="1"/>
      <c r="AAX178" s="1"/>
      <c r="AAY178" s="1"/>
      <c r="AAZ178" s="1"/>
      <c r="ABA178" s="1"/>
      <c r="ABB178" s="1"/>
      <c r="ABC178" s="1"/>
      <c r="ABD178" s="1"/>
      <c r="ABE178" s="1"/>
      <c r="ABF178" s="1"/>
      <c r="ABG178" s="1"/>
      <c r="ABH178" s="1"/>
      <c r="ABI178" s="1"/>
      <c r="ABJ178" s="1"/>
      <c r="ABK178" s="1"/>
      <c r="ABL178" s="1"/>
      <c r="ABM178" s="1"/>
      <c r="ABN178" s="1"/>
      <c r="ABO178" s="1"/>
      <c r="ABP178" s="1"/>
      <c r="ABQ178" s="1"/>
      <c r="ABR178" s="1"/>
      <c r="ABS178" s="1"/>
      <c r="ABT178" s="1"/>
      <c r="ABU178" s="1"/>
      <c r="ABV178" s="1"/>
      <c r="ABW178" s="1"/>
      <c r="ABX178" s="1"/>
      <c r="ABY178" s="1"/>
      <c r="ABZ178" s="1"/>
      <c r="ACA178" s="1"/>
      <c r="ACB178" s="1"/>
      <c r="ACC178" s="1"/>
      <c r="ACD178" s="1"/>
      <c r="ACE178" s="1"/>
      <c r="ACF178" s="1"/>
      <c r="ACG178" s="1"/>
      <c r="ACH178" s="1"/>
      <c r="ACI178" s="1"/>
      <c r="ACJ178" s="1"/>
      <c r="ACK178" s="1"/>
      <c r="ACL178" s="1"/>
      <c r="ACM178" s="1"/>
      <c r="ACN178" s="1"/>
      <c r="ACO178" s="1"/>
      <c r="ACP178" s="1"/>
      <c r="ACQ178" s="1"/>
      <c r="ACR178" s="1"/>
      <c r="ACS178" s="1"/>
      <c r="ACT178" s="1"/>
      <c r="ACU178" s="1"/>
      <c r="ACV178" s="1"/>
      <c r="ACW178" s="1"/>
      <c r="ACX178" s="1"/>
      <c r="ACY178" s="1"/>
      <c r="ACZ178" s="1"/>
      <c r="ADA178" s="1"/>
      <c r="ADB178" s="1"/>
      <c r="ADC178" s="1"/>
      <c r="ADD178" s="1"/>
      <c r="ADE178" s="1"/>
      <c r="ADF178" s="1"/>
      <c r="ADG178" s="1"/>
      <c r="ADH178" s="1"/>
      <c r="ADI178" s="1"/>
      <c r="ADJ178" s="1"/>
      <c r="ADK178" s="1"/>
      <c r="ADL178" s="1"/>
      <c r="ADM178" s="1"/>
      <c r="ADN178" s="1"/>
      <c r="ADO178" s="1"/>
      <c r="ADP178" s="1"/>
      <c r="ADQ178" s="1"/>
      <c r="ADR178" s="1"/>
      <c r="ADS178" s="1"/>
      <c r="ADT178" s="1"/>
      <c r="ADU178" s="1"/>
      <c r="ADV178" s="1"/>
      <c r="ADW178" s="1"/>
      <c r="ADX178" s="1"/>
      <c r="ADY178" s="1"/>
      <c r="ADZ178" s="1"/>
      <c r="AEA178" s="1"/>
      <c r="AEB178" s="1"/>
      <c r="AEC178" s="1"/>
      <c r="AED178" s="1"/>
      <c r="AEE178" s="1"/>
      <c r="AEF178" s="1"/>
      <c r="AEG178" s="1"/>
      <c r="AEH178" s="1"/>
      <c r="AEI178" s="1"/>
      <c r="AEJ178" s="1"/>
      <c r="AEK178" s="1"/>
      <c r="AEL178" s="1"/>
      <c r="AEM178" s="1"/>
      <c r="AEN178" s="1"/>
      <c r="AEO178" s="1"/>
      <c r="AEP178" s="1"/>
      <c r="AEQ178" s="1"/>
      <c r="AER178" s="1"/>
      <c r="AES178" s="1"/>
      <c r="AET178" s="1"/>
      <c r="AEU178" s="1"/>
      <c r="AEV178" s="1"/>
      <c r="AEW178" s="1"/>
      <c r="AEX178" s="1"/>
      <c r="AEY178" s="1"/>
      <c r="AEZ178" s="1"/>
      <c r="AFA178" s="1"/>
      <c r="AFB178" s="1"/>
      <c r="AFC178" s="1"/>
      <c r="AFD178" s="1"/>
      <c r="AFE178" s="1"/>
      <c r="AFF178" s="1"/>
      <c r="AFG178" s="1"/>
      <c r="AFH178" s="1"/>
      <c r="AFI178" s="1"/>
      <c r="AFJ178" s="1"/>
      <c r="AFK178" s="1"/>
      <c r="AFL178" s="1"/>
      <c r="AFM178" s="1"/>
      <c r="AFN178" s="1"/>
      <c r="AFO178" s="1"/>
      <c r="AFP178" s="1"/>
      <c r="AFQ178" s="1"/>
      <c r="AFR178" s="1"/>
      <c r="AFS178" s="1"/>
      <c r="AFT178" s="1"/>
      <c r="AFU178" s="1"/>
      <c r="AFV178" s="1"/>
      <c r="AFW178" s="1"/>
      <c r="AFX178" s="1"/>
      <c r="AFY178" s="1"/>
      <c r="AFZ178" s="1"/>
      <c r="AGA178" s="1"/>
      <c r="AGB178" s="1"/>
      <c r="AGC178" s="1"/>
      <c r="AGD178" s="1"/>
      <c r="AGE178" s="1"/>
      <c r="AGF178" s="1"/>
      <c r="AGG178" s="1"/>
      <c r="AGH178" s="1"/>
      <c r="AGI178" s="1"/>
      <c r="AGJ178" s="1"/>
      <c r="AGK178" s="1"/>
      <c r="AGL178" s="1"/>
      <c r="AGM178" s="1"/>
      <c r="AGN178" s="1"/>
      <c r="AGO178" s="1"/>
      <c r="AGP178" s="1"/>
      <c r="AGQ178" s="1"/>
      <c r="AGR178" s="1"/>
      <c r="AGS178" s="1"/>
      <c r="AGT178" s="1"/>
      <c r="AGU178" s="1"/>
      <c r="AGV178" s="1"/>
      <c r="AGW178" s="1"/>
      <c r="AGX178" s="1"/>
      <c r="AGY178" s="1"/>
      <c r="AGZ178" s="1"/>
      <c r="AHA178" s="1"/>
      <c r="AHB178" s="1"/>
      <c r="AHC178" s="1"/>
      <c r="AHD178" s="1"/>
      <c r="AHE178" s="1"/>
      <c r="AHF178" s="1"/>
      <c r="AHG178" s="1"/>
      <c r="AHH178" s="1"/>
      <c r="AHI178" s="1"/>
      <c r="AHJ178" s="1"/>
      <c r="AHK178" s="1"/>
      <c r="AHL178" s="1"/>
      <c r="AHM178" s="1"/>
      <c r="AHN178" s="1"/>
      <c r="AHO178" s="1"/>
      <c r="AHP178" s="1"/>
      <c r="AHQ178" s="1"/>
      <c r="AHR178" s="1"/>
      <c r="AHS178" s="1"/>
      <c r="AHT178" s="1"/>
      <c r="AHU178" s="1"/>
      <c r="AHV178" s="1"/>
      <c r="AHW178" s="1"/>
      <c r="AHX178" s="1"/>
      <c r="AHY178" s="1"/>
      <c r="AHZ178" s="1"/>
      <c r="AIA178" s="1"/>
      <c r="AIB178" s="1"/>
      <c r="AIC178" s="1"/>
      <c r="AID178" s="1"/>
      <c r="AIE178" s="1"/>
      <c r="AIF178" s="1"/>
      <c r="AIG178" s="1"/>
      <c r="AIH178" s="1"/>
      <c r="AII178" s="1"/>
      <c r="AIJ178" s="1"/>
      <c r="AIK178" s="1"/>
      <c r="AIL178" s="1"/>
      <c r="AIM178" s="1"/>
      <c r="AIN178" s="1"/>
      <c r="AIO178" s="1"/>
      <c r="AIP178" s="1"/>
      <c r="AIQ178" s="1"/>
      <c r="AIR178" s="1"/>
      <c r="AIS178" s="1"/>
      <c r="AIT178" s="1"/>
      <c r="AIU178" s="1"/>
      <c r="AIV178" s="1"/>
      <c r="AIW178" s="1"/>
      <c r="AIX178" s="1"/>
      <c r="AIY178" s="1"/>
      <c r="AIZ178" s="1"/>
      <c r="AJA178" s="1"/>
      <c r="AJB178" s="1"/>
      <c r="AJC178" s="1"/>
      <c r="AJD178" s="1"/>
      <c r="AJE178" s="1"/>
      <c r="AJF178" s="1"/>
      <c r="AJG178" s="1"/>
      <c r="AJH178" s="1"/>
      <c r="AJI178" s="1"/>
      <c r="AJJ178" s="1"/>
      <c r="AJK178" s="1"/>
      <c r="AJL178" s="1"/>
      <c r="AJM178" s="1"/>
      <c r="AJN178" s="1"/>
      <c r="AJO178" s="1"/>
      <c r="AJP178" s="1"/>
      <c r="AJQ178" s="1"/>
      <c r="AJR178" s="1"/>
      <c r="AJS178" s="1"/>
      <c r="AJT178" s="1"/>
      <c r="AJU178" s="1"/>
      <c r="AJV178" s="1"/>
      <c r="AJW178" s="1"/>
      <c r="AJX178" s="1"/>
      <c r="AJY178" s="1"/>
      <c r="AJZ178" s="1"/>
      <c r="AKA178" s="1"/>
      <c r="AKB178" s="1"/>
      <c r="AKC178" s="1"/>
      <c r="AKD178" s="1"/>
      <c r="AKE178" s="1"/>
      <c r="AKF178" s="1"/>
      <c r="AKG178" s="1"/>
      <c r="AKH178" s="1"/>
      <c r="AKI178" s="1"/>
      <c r="AKJ178" s="1"/>
      <c r="AKK178" s="1"/>
      <c r="AKL178" s="1"/>
      <c r="AKM178" s="1"/>
      <c r="AKN178" s="1"/>
      <c r="AKO178" s="1"/>
      <c r="AKP178" s="1"/>
      <c r="AKQ178" s="1"/>
      <c r="AKR178" s="1"/>
      <c r="AKS178" s="1"/>
      <c r="AKT178" s="1"/>
      <c r="AKU178" s="1"/>
      <c r="AKV178" s="1"/>
      <c r="AKW178" s="1"/>
      <c r="AKX178" s="1"/>
      <c r="AKY178" s="1"/>
      <c r="AKZ178" s="1"/>
      <c r="ALA178" s="1"/>
      <c r="ALB178" s="1"/>
      <c r="ALC178" s="1"/>
      <c r="ALD178" s="1"/>
      <c r="ALE178" s="1"/>
      <c r="ALF178" s="1"/>
      <c r="ALG178" s="1"/>
      <c r="ALH178" s="1"/>
      <c r="ALI178" s="1"/>
      <c r="ALJ178" s="1"/>
      <c r="ALK178" s="1"/>
      <c r="ALL178" s="1"/>
      <c r="ALM178" s="1"/>
      <c r="ALN178" s="1"/>
      <c r="ALO178" s="1"/>
      <c r="ALP178" s="1"/>
      <c r="ALQ178" s="1"/>
      <c r="ALR178" s="1"/>
      <c r="ALS178" s="1"/>
      <c r="ALT178" s="1"/>
      <c r="ALU178" s="1"/>
      <c r="ALV178" s="1"/>
      <c r="ALW178" s="1"/>
      <c r="ALX178" s="1"/>
      <c r="ALY178" s="1"/>
      <c r="ALZ178" s="1"/>
      <c r="AMA178" s="1"/>
      <c r="AMB178" s="1"/>
      <c r="AMC178" s="1"/>
      <c r="AMD178" s="1"/>
      <c r="AME178" s="1"/>
      <c r="AMF178" s="1"/>
      <c r="AMG178" s="1"/>
      <c r="AMH178" s="1"/>
      <c r="AMI178" s="1"/>
      <c r="AMJ178" s="1"/>
    </row>
    <row r="179" customFormat="false" ht="10.5" hidden="false" customHeight="true" outlineLevel="0" collapsed="false">
      <c r="A179" s="231"/>
      <c r="B179" s="231"/>
      <c r="C179" s="231"/>
      <c r="D179" s="231"/>
      <c r="E179" s="231"/>
      <c r="F179" s="168"/>
      <c r="G179" s="168"/>
      <c r="H179" s="168"/>
      <c r="I179" s="168"/>
      <c r="J179" s="168"/>
      <c r="K179" s="168"/>
      <c r="L179" s="168"/>
      <c r="M179" s="168"/>
      <c r="N179" s="168"/>
      <c r="O179" s="168"/>
      <c r="P179" s="168"/>
      <c r="Q179" s="168"/>
      <c r="R179" s="168"/>
      <c r="S179" s="168"/>
      <c r="T179" s="168"/>
      <c r="U179" s="168"/>
      <c r="V179" s="168"/>
      <c r="W179" s="168"/>
      <c r="X179" s="168"/>
      <c r="Y179" s="168"/>
      <c r="Z179" s="170"/>
      <c r="AA179" s="170"/>
      <c r="AB179" s="170"/>
      <c r="AC179" s="170"/>
      <c r="AD179" s="230"/>
      <c r="AE179" s="230"/>
      <c r="AF179" s="230"/>
      <c r="AG179" s="228"/>
      <c r="AH179" s="228"/>
      <c r="AI179" s="228"/>
      <c r="AJ179" s="228"/>
      <c r="AK179" s="228"/>
      <c r="AL179" s="228"/>
      <c r="AM179" s="228"/>
      <c r="AN179" s="228"/>
      <c r="AO179" s="228"/>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c r="IY179" s="1"/>
      <c r="IZ179" s="1"/>
      <c r="JA179" s="1"/>
      <c r="JB179" s="1"/>
      <c r="JC179" s="1"/>
      <c r="JD179" s="1"/>
      <c r="JE179" s="1"/>
      <c r="JF179" s="1"/>
      <c r="JG179" s="1"/>
      <c r="JH179" s="1"/>
      <c r="JI179" s="1"/>
      <c r="JJ179" s="1"/>
      <c r="JK179" s="1"/>
      <c r="JL179" s="1"/>
      <c r="JM179" s="1"/>
      <c r="JN179" s="1"/>
      <c r="JO179" s="1"/>
      <c r="JP179" s="1"/>
      <c r="JQ179" s="1"/>
      <c r="JR179" s="1"/>
      <c r="JS179" s="1"/>
      <c r="JT179" s="1"/>
      <c r="JU179" s="1"/>
      <c r="JV179" s="1"/>
      <c r="JW179" s="1"/>
      <c r="JX179" s="1"/>
      <c r="JY179" s="1"/>
      <c r="JZ179" s="1"/>
      <c r="KA179" s="1"/>
      <c r="KB179" s="1"/>
      <c r="KC179" s="1"/>
      <c r="KD179" s="1"/>
      <c r="KE179" s="1"/>
      <c r="KF179" s="1"/>
      <c r="KG179" s="1"/>
      <c r="KH179" s="1"/>
      <c r="KI179" s="1"/>
      <c r="KJ179" s="1"/>
      <c r="KK179" s="1"/>
      <c r="KL179" s="1"/>
      <c r="KM179" s="1"/>
      <c r="KN179" s="1"/>
      <c r="KO179" s="1"/>
      <c r="KP179" s="1"/>
      <c r="KQ179" s="1"/>
      <c r="KR179" s="1"/>
      <c r="KS179" s="1"/>
      <c r="KT179" s="1"/>
      <c r="KU179" s="1"/>
      <c r="KV179" s="1"/>
      <c r="KW179" s="1"/>
      <c r="KX179" s="1"/>
      <c r="KY179" s="1"/>
      <c r="KZ179" s="1"/>
      <c r="LA179" s="1"/>
      <c r="LB179" s="1"/>
      <c r="LC179" s="1"/>
      <c r="LD179" s="1"/>
      <c r="LE179" s="1"/>
      <c r="LF179" s="1"/>
      <c r="LG179" s="1"/>
      <c r="LH179" s="1"/>
      <c r="LI179" s="1"/>
      <c r="LJ179" s="1"/>
      <c r="LK179" s="1"/>
      <c r="LL179" s="1"/>
      <c r="LM179" s="1"/>
      <c r="LN179" s="1"/>
      <c r="LO179" s="1"/>
      <c r="LP179" s="1"/>
      <c r="LQ179" s="1"/>
      <c r="LR179" s="1"/>
      <c r="LS179" s="1"/>
      <c r="LT179" s="1"/>
      <c r="LU179" s="1"/>
      <c r="LV179" s="1"/>
      <c r="LW179" s="1"/>
      <c r="LX179" s="1"/>
      <c r="LY179" s="1"/>
      <c r="LZ179" s="1"/>
      <c r="MA179" s="1"/>
      <c r="MB179" s="1"/>
      <c r="MC179" s="1"/>
      <c r="MD179" s="1"/>
      <c r="ME179" s="1"/>
      <c r="MF179" s="1"/>
      <c r="MG179" s="1"/>
      <c r="MH179" s="1"/>
      <c r="MI179" s="1"/>
      <c r="MJ179" s="1"/>
      <c r="MK179" s="1"/>
      <c r="ML179" s="1"/>
      <c r="MM179" s="1"/>
      <c r="MN179" s="1"/>
      <c r="MO179" s="1"/>
      <c r="MP179" s="1"/>
      <c r="MQ179" s="1"/>
      <c r="MR179" s="1"/>
      <c r="MS179" s="1"/>
      <c r="MT179" s="1"/>
      <c r="MU179" s="1"/>
      <c r="MV179" s="1"/>
      <c r="MW179" s="1"/>
      <c r="MX179" s="1"/>
      <c r="MY179" s="1"/>
      <c r="MZ179" s="1"/>
      <c r="NA179" s="1"/>
      <c r="NB179" s="1"/>
      <c r="NC179" s="1"/>
      <c r="ND179" s="1"/>
      <c r="NE179" s="1"/>
      <c r="NF179" s="1"/>
      <c r="NG179" s="1"/>
      <c r="NH179" s="1"/>
      <c r="NI179" s="1"/>
      <c r="NJ179" s="1"/>
      <c r="NK179" s="1"/>
      <c r="NL179" s="1"/>
      <c r="NM179" s="1"/>
      <c r="NN179" s="1"/>
      <c r="NO179" s="1"/>
      <c r="NP179" s="1"/>
      <c r="NQ179" s="1"/>
      <c r="NR179" s="1"/>
      <c r="NS179" s="1"/>
      <c r="NT179" s="1"/>
      <c r="NU179" s="1"/>
      <c r="NV179" s="1"/>
      <c r="NW179" s="1"/>
      <c r="NX179" s="1"/>
      <c r="NY179" s="1"/>
      <c r="NZ179" s="1"/>
      <c r="OA179" s="1"/>
      <c r="OB179" s="1"/>
      <c r="OC179" s="1"/>
      <c r="OD179" s="1"/>
      <c r="OE179" s="1"/>
      <c r="OF179" s="1"/>
      <c r="OG179" s="1"/>
      <c r="OH179" s="1"/>
      <c r="OI179" s="1"/>
      <c r="OJ179" s="1"/>
      <c r="OK179" s="1"/>
      <c r="OL179" s="1"/>
      <c r="OM179" s="1"/>
      <c r="ON179" s="1"/>
      <c r="OO179" s="1"/>
      <c r="OP179" s="1"/>
      <c r="OQ179" s="1"/>
      <c r="OR179" s="1"/>
      <c r="OS179" s="1"/>
      <c r="OT179" s="1"/>
      <c r="OU179" s="1"/>
      <c r="OV179" s="1"/>
      <c r="OW179" s="1"/>
      <c r="OX179" s="1"/>
      <c r="OY179" s="1"/>
      <c r="OZ179" s="1"/>
      <c r="PA179" s="1"/>
      <c r="PB179" s="1"/>
      <c r="PC179" s="1"/>
      <c r="PD179" s="1"/>
      <c r="PE179" s="1"/>
      <c r="PF179" s="1"/>
      <c r="PG179" s="1"/>
      <c r="PH179" s="1"/>
      <c r="PI179" s="1"/>
      <c r="PJ179" s="1"/>
      <c r="PK179" s="1"/>
      <c r="PL179" s="1"/>
      <c r="PM179" s="1"/>
      <c r="PN179" s="1"/>
      <c r="PO179" s="1"/>
      <c r="PP179" s="1"/>
      <c r="PQ179" s="1"/>
      <c r="PR179" s="1"/>
      <c r="PS179" s="1"/>
      <c r="PT179" s="1"/>
      <c r="PU179" s="1"/>
      <c r="PV179" s="1"/>
      <c r="PW179" s="1"/>
      <c r="PX179" s="1"/>
      <c r="PY179" s="1"/>
      <c r="PZ179" s="1"/>
      <c r="QA179" s="1"/>
      <c r="QB179" s="1"/>
      <c r="QC179" s="1"/>
      <c r="QD179" s="1"/>
      <c r="QE179" s="1"/>
      <c r="QF179" s="1"/>
      <c r="QG179" s="1"/>
      <c r="QH179" s="1"/>
      <c r="QI179" s="1"/>
      <c r="QJ179" s="1"/>
      <c r="QK179" s="1"/>
      <c r="QL179" s="1"/>
      <c r="QM179" s="1"/>
      <c r="QN179" s="1"/>
      <c r="QO179" s="1"/>
      <c r="QP179" s="1"/>
      <c r="QQ179" s="1"/>
      <c r="QR179" s="1"/>
      <c r="QS179" s="1"/>
      <c r="QT179" s="1"/>
      <c r="QU179" s="1"/>
      <c r="QV179" s="1"/>
      <c r="QW179" s="1"/>
      <c r="QX179" s="1"/>
      <c r="QY179" s="1"/>
      <c r="QZ179" s="1"/>
      <c r="RA179" s="1"/>
      <c r="RB179" s="1"/>
      <c r="RC179" s="1"/>
      <c r="RD179" s="1"/>
      <c r="RE179" s="1"/>
      <c r="RF179" s="1"/>
      <c r="RG179" s="1"/>
      <c r="RH179" s="1"/>
      <c r="RI179" s="1"/>
      <c r="RJ179" s="1"/>
      <c r="RK179" s="1"/>
      <c r="RL179" s="1"/>
      <c r="RM179" s="1"/>
      <c r="RN179" s="1"/>
      <c r="RO179" s="1"/>
      <c r="RP179" s="1"/>
      <c r="RQ179" s="1"/>
      <c r="RR179" s="1"/>
      <c r="RS179" s="1"/>
      <c r="RT179" s="1"/>
      <c r="RU179" s="1"/>
      <c r="RV179" s="1"/>
      <c r="RW179" s="1"/>
      <c r="RX179" s="1"/>
      <c r="RY179" s="1"/>
      <c r="RZ179" s="1"/>
      <c r="SA179" s="1"/>
      <c r="SB179" s="1"/>
      <c r="SC179" s="1"/>
      <c r="SD179" s="1"/>
      <c r="SE179" s="1"/>
      <c r="SF179" s="1"/>
      <c r="SG179" s="1"/>
      <c r="SH179" s="1"/>
      <c r="SI179" s="1"/>
      <c r="SJ179" s="1"/>
      <c r="SK179" s="1"/>
      <c r="SL179" s="1"/>
      <c r="SM179" s="1"/>
      <c r="SN179" s="1"/>
      <c r="SO179" s="1"/>
      <c r="SP179" s="1"/>
      <c r="SQ179" s="1"/>
      <c r="SR179" s="1"/>
      <c r="SS179" s="1"/>
      <c r="ST179" s="1"/>
      <c r="SU179" s="1"/>
      <c r="SV179" s="1"/>
      <c r="SW179" s="1"/>
      <c r="SX179" s="1"/>
      <c r="SY179" s="1"/>
      <c r="SZ179" s="1"/>
      <c r="TA179" s="1"/>
      <c r="TB179" s="1"/>
      <c r="TC179" s="1"/>
      <c r="TD179" s="1"/>
      <c r="TE179" s="1"/>
      <c r="TF179" s="1"/>
      <c r="TG179" s="1"/>
      <c r="TH179" s="1"/>
      <c r="TI179" s="1"/>
      <c r="TJ179" s="1"/>
      <c r="TK179" s="1"/>
      <c r="TL179" s="1"/>
      <c r="TM179" s="1"/>
      <c r="TN179" s="1"/>
      <c r="TO179" s="1"/>
      <c r="TP179" s="1"/>
      <c r="TQ179" s="1"/>
      <c r="TR179" s="1"/>
      <c r="TS179" s="1"/>
      <c r="TT179" s="1"/>
      <c r="TU179" s="1"/>
      <c r="TV179" s="1"/>
      <c r="TW179" s="1"/>
      <c r="TX179" s="1"/>
      <c r="TY179" s="1"/>
      <c r="TZ179" s="1"/>
      <c r="UA179" s="1"/>
      <c r="UB179" s="1"/>
      <c r="UC179" s="1"/>
      <c r="UD179" s="1"/>
      <c r="UE179" s="1"/>
      <c r="UF179" s="1"/>
      <c r="UG179" s="1"/>
      <c r="UH179" s="1"/>
      <c r="UI179" s="1"/>
      <c r="UJ179" s="1"/>
      <c r="UK179" s="1"/>
      <c r="UL179" s="1"/>
      <c r="UM179" s="1"/>
      <c r="UN179" s="1"/>
      <c r="UO179" s="1"/>
      <c r="UP179" s="1"/>
      <c r="UQ179" s="1"/>
      <c r="UR179" s="1"/>
      <c r="US179" s="1"/>
      <c r="UT179" s="1"/>
      <c r="UU179" s="1"/>
      <c r="UV179" s="1"/>
      <c r="UW179" s="1"/>
      <c r="UX179" s="1"/>
      <c r="UY179" s="1"/>
      <c r="UZ179" s="1"/>
      <c r="VA179" s="1"/>
      <c r="VB179" s="1"/>
      <c r="VC179" s="1"/>
      <c r="VD179" s="1"/>
      <c r="VE179" s="1"/>
      <c r="VF179" s="1"/>
      <c r="VG179" s="1"/>
      <c r="VH179" s="1"/>
      <c r="VI179" s="1"/>
      <c r="VJ179" s="1"/>
      <c r="VK179" s="1"/>
      <c r="VL179" s="1"/>
      <c r="VM179" s="1"/>
      <c r="VN179" s="1"/>
      <c r="VO179" s="1"/>
      <c r="VP179" s="1"/>
      <c r="VQ179" s="1"/>
      <c r="VR179" s="1"/>
      <c r="VS179" s="1"/>
      <c r="VT179" s="1"/>
      <c r="VU179" s="1"/>
      <c r="VV179" s="1"/>
      <c r="VW179" s="1"/>
      <c r="VX179" s="1"/>
      <c r="VY179" s="1"/>
      <c r="VZ179" s="1"/>
      <c r="WA179" s="1"/>
      <c r="WB179" s="1"/>
      <c r="WC179" s="1"/>
      <c r="WD179" s="1"/>
      <c r="WE179" s="1"/>
      <c r="WF179" s="1"/>
      <c r="WG179" s="1"/>
      <c r="WH179" s="1"/>
      <c r="WI179" s="1"/>
      <c r="WJ179" s="1"/>
      <c r="WK179" s="1"/>
      <c r="WL179" s="1"/>
      <c r="WM179" s="1"/>
      <c r="WN179" s="1"/>
      <c r="WO179" s="1"/>
      <c r="WP179" s="1"/>
      <c r="WQ179" s="1"/>
      <c r="WR179" s="1"/>
      <c r="WS179" s="1"/>
      <c r="WT179" s="1"/>
      <c r="WU179" s="1"/>
      <c r="WV179" s="1"/>
      <c r="WW179" s="1"/>
      <c r="WX179" s="1"/>
      <c r="WY179" s="1"/>
      <c r="WZ179" s="1"/>
      <c r="XA179" s="1"/>
      <c r="XB179" s="1"/>
      <c r="XC179" s="1"/>
      <c r="XD179" s="1"/>
      <c r="XE179" s="1"/>
      <c r="XF179" s="1"/>
      <c r="XG179" s="1"/>
      <c r="XH179" s="1"/>
      <c r="XI179" s="1"/>
      <c r="XJ179" s="1"/>
      <c r="XK179" s="1"/>
      <c r="XL179" s="1"/>
      <c r="XM179" s="1"/>
      <c r="XN179" s="1"/>
      <c r="XO179" s="1"/>
      <c r="XP179" s="1"/>
      <c r="XQ179" s="1"/>
      <c r="XR179" s="1"/>
      <c r="XS179" s="1"/>
      <c r="XT179" s="1"/>
      <c r="XU179" s="1"/>
      <c r="XV179" s="1"/>
      <c r="XW179" s="1"/>
      <c r="XX179" s="1"/>
      <c r="XY179" s="1"/>
      <c r="XZ179" s="1"/>
      <c r="YA179" s="1"/>
      <c r="YB179" s="1"/>
      <c r="YC179" s="1"/>
      <c r="YD179" s="1"/>
      <c r="YE179" s="1"/>
      <c r="YF179" s="1"/>
      <c r="YG179" s="1"/>
      <c r="YH179" s="1"/>
      <c r="YI179" s="1"/>
      <c r="YJ179" s="1"/>
      <c r="YK179" s="1"/>
      <c r="YL179" s="1"/>
      <c r="YM179" s="1"/>
      <c r="YN179" s="1"/>
      <c r="YO179" s="1"/>
      <c r="YP179" s="1"/>
      <c r="YQ179" s="1"/>
      <c r="YR179" s="1"/>
      <c r="YS179" s="1"/>
      <c r="YT179" s="1"/>
      <c r="YU179" s="1"/>
      <c r="YV179" s="1"/>
      <c r="YW179" s="1"/>
      <c r="YX179" s="1"/>
      <c r="YY179" s="1"/>
      <c r="YZ179" s="1"/>
      <c r="ZA179" s="1"/>
      <c r="ZB179" s="1"/>
      <c r="ZC179" s="1"/>
      <c r="ZD179" s="1"/>
      <c r="ZE179" s="1"/>
      <c r="ZF179" s="1"/>
      <c r="ZG179" s="1"/>
      <c r="ZH179" s="1"/>
      <c r="ZI179" s="1"/>
      <c r="ZJ179" s="1"/>
      <c r="ZK179" s="1"/>
      <c r="ZL179" s="1"/>
      <c r="ZM179" s="1"/>
      <c r="ZN179" s="1"/>
      <c r="ZO179" s="1"/>
      <c r="ZP179" s="1"/>
      <c r="ZQ179" s="1"/>
      <c r="ZR179" s="1"/>
      <c r="ZS179" s="1"/>
      <c r="ZT179" s="1"/>
      <c r="ZU179" s="1"/>
      <c r="ZV179" s="1"/>
      <c r="ZW179" s="1"/>
      <c r="ZX179" s="1"/>
      <c r="ZY179" s="1"/>
      <c r="ZZ179" s="1"/>
      <c r="AAA179" s="1"/>
      <c r="AAB179" s="1"/>
      <c r="AAC179" s="1"/>
      <c r="AAD179" s="1"/>
      <c r="AAE179" s="1"/>
      <c r="AAF179" s="1"/>
      <c r="AAG179" s="1"/>
      <c r="AAH179" s="1"/>
      <c r="AAI179" s="1"/>
      <c r="AAJ179" s="1"/>
      <c r="AAK179" s="1"/>
      <c r="AAL179" s="1"/>
      <c r="AAM179" s="1"/>
      <c r="AAN179" s="1"/>
      <c r="AAO179" s="1"/>
      <c r="AAP179" s="1"/>
      <c r="AAQ179" s="1"/>
      <c r="AAR179" s="1"/>
      <c r="AAS179" s="1"/>
      <c r="AAT179" s="1"/>
      <c r="AAU179" s="1"/>
      <c r="AAV179" s="1"/>
      <c r="AAW179" s="1"/>
      <c r="AAX179" s="1"/>
      <c r="AAY179" s="1"/>
      <c r="AAZ179" s="1"/>
      <c r="ABA179" s="1"/>
      <c r="ABB179" s="1"/>
      <c r="ABC179" s="1"/>
      <c r="ABD179" s="1"/>
      <c r="ABE179" s="1"/>
      <c r="ABF179" s="1"/>
      <c r="ABG179" s="1"/>
      <c r="ABH179" s="1"/>
      <c r="ABI179" s="1"/>
      <c r="ABJ179" s="1"/>
      <c r="ABK179" s="1"/>
      <c r="ABL179" s="1"/>
      <c r="ABM179" s="1"/>
      <c r="ABN179" s="1"/>
      <c r="ABO179" s="1"/>
      <c r="ABP179" s="1"/>
      <c r="ABQ179" s="1"/>
      <c r="ABR179" s="1"/>
      <c r="ABS179" s="1"/>
      <c r="ABT179" s="1"/>
      <c r="ABU179" s="1"/>
      <c r="ABV179" s="1"/>
      <c r="ABW179" s="1"/>
      <c r="ABX179" s="1"/>
      <c r="ABY179" s="1"/>
      <c r="ABZ179" s="1"/>
      <c r="ACA179" s="1"/>
      <c r="ACB179" s="1"/>
      <c r="ACC179" s="1"/>
      <c r="ACD179" s="1"/>
      <c r="ACE179" s="1"/>
      <c r="ACF179" s="1"/>
      <c r="ACG179" s="1"/>
      <c r="ACH179" s="1"/>
      <c r="ACI179" s="1"/>
      <c r="ACJ179" s="1"/>
      <c r="ACK179" s="1"/>
      <c r="ACL179" s="1"/>
      <c r="ACM179" s="1"/>
      <c r="ACN179" s="1"/>
      <c r="ACO179" s="1"/>
      <c r="ACP179" s="1"/>
      <c r="ACQ179" s="1"/>
      <c r="ACR179" s="1"/>
      <c r="ACS179" s="1"/>
      <c r="ACT179" s="1"/>
      <c r="ACU179" s="1"/>
      <c r="ACV179" s="1"/>
      <c r="ACW179" s="1"/>
      <c r="ACX179" s="1"/>
      <c r="ACY179" s="1"/>
      <c r="ACZ179" s="1"/>
      <c r="ADA179" s="1"/>
      <c r="ADB179" s="1"/>
      <c r="ADC179" s="1"/>
      <c r="ADD179" s="1"/>
      <c r="ADE179" s="1"/>
      <c r="ADF179" s="1"/>
      <c r="ADG179" s="1"/>
      <c r="ADH179" s="1"/>
      <c r="ADI179" s="1"/>
      <c r="ADJ179" s="1"/>
      <c r="ADK179" s="1"/>
      <c r="ADL179" s="1"/>
      <c r="ADM179" s="1"/>
      <c r="ADN179" s="1"/>
      <c r="ADO179" s="1"/>
      <c r="ADP179" s="1"/>
      <c r="ADQ179" s="1"/>
      <c r="ADR179" s="1"/>
      <c r="ADS179" s="1"/>
      <c r="ADT179" s="1"/>
      <c r="ADU179" s="1"/>
      <c r="ADV179" s="1"/>
      <c r="ADW179" s="1"/>
      <c r="ADX179" s="1"/>
      <c r="ADY179" s="1"/>
      <c r="ADZ179" s="1"/>
      <c r="AEA179" s="1"/>
      <c r="AEB179" s="1"/>
      <c r="AEC179" s="1"/>
      <c r="AED179" s="1"/>
      <c r="AEE179" s="1"/>
      <c r="AEF179" s="1"/>
      <c r="AEG179" s="1"/>
      <c r="AEH179" s="1"/>
      <c r="AEI179" s="1"/>
      <c r="AEJ179" s="1"/>
      <c r="AEK179" s="1"/>
      <c r="AEL179" s="1"/>
      <c r="AEM179" s="1"/>
      <c r="AEN179" s="1"/>
      <c r="AEO179" s="1"/>
      <c r="AEP179" s="1"/>
      <c r="AEQ179" s="1"/>
      <c r="AER179" s="1"/>
      <c r="AES179" s="1"/>
      <c r="AET179" s="1"/>
      <c r="AEU179" s="1"/>
      <c r="AEV179" s="1"/>
      <c r="AEW179" s="1"/>
      <c r="AEX179" s="1"/>
      <c r="AEY179" s="1"/>
      <c r="AEZ179" s="1"/>
      <c r="AFA179" s="1"/>
      <c r="AFB179" s="1"/>
      <c r="AFC179" s="1"/>
      <c r="AFD179" s="1"/>
      <c r="AFE179" s="1"/>
      <c r="AFF179" s="1"/>
      <c r="AFG179" s="1"/>
      <c r="AFH179" s="1"/>
      <c r="AFI179" s="1"/>
      <c r="AFJ179" s="1"/>
      <c r="AFK179" s="1"/>
      <c r="AFL179" s="1"/>
      <c r="AFM179" s="1"/>
      <c r="AFN179" s="1"/>
      <c r="AFO179" s="1"/>
      <c r="AFP179" s="1"/>
      <c r="AFQ179" s="1"/>
      <c r="AFR179" s="1"/>
      <c r="AFS179" s="1"/>
      <c r="AFT179" s="1"/>
      <c r="AFU179" s="1"/>
      <c r="AFV179" s="1"/>
      <c r="AFW179" s="1"/>
      <c r="AFX179" s="1"/>
      <c r="AFY179" s="1"/>
      <c r="AFZ179" s="1"/>
      <c r="AGA179" s="1"/>
      <c r="AGB179" s="1"/>
      <c r="AGC179" s="1"/>
      <c r="AGD179" s="1"/>
      <c r="AGE179" s="1"/>
      <c r="AGF179" s="1"/>
      <c r="AGG179" s="1"/>
      <c r="AGH179" s="1"/>
      <c r="AGI179" s="1"/>
      <c r="AGJ179" s="1"/>
      <c r="AGK179" s="1"/>
      <c r="AGL179" s="1"/>
      <c r="AGM179" s="1"/>
      <c r="AGN179" s="1"/>
      <c r="AGO179" s="1"/>
      <c r="AGP179" s="1"/>
      <c r="AGQ179" s="1"/>
      <c r="AGR179" s="1"/>
      <c r="AGS179" s="1"/>
      <c r="AGT179" s="1"/>
      <c r="AGU179" s="1"/>
      <c r="AGV179" s="1"/>
      <c r="AGW179" s="1"/>
      <c r="AGX179" s="1"/>
      <c r="AGY179" s="1"/>
      <c r="AGZ179" s="1"/>
      <c r="AHA179" s="1"/>
      <c r="AHB179" s="1"/>
      <c r="AHC179" s="1"/>
      <c r="AHD179" s="1"/>
      <c r="AHE179" s="1"/>
      <c r="AHF179" s="1"/>
      <c r="AHG179" s="1"/>
      <c r="AHH179" s="1"/>
      <c r="AHI179" s="1"/>
      <c r="AHJ179" s="1"/>
      <c r="AHK179" s="1"/>
      <c r="AHL179" s="1"/>
      <c r="AHM179" s="1"/>
      <c r="AHN179" s="1"/>
      <c r="AHO179" s="1"/>
      <c r="AHP179" s="1"/>
      <c r="AHQ179" s="1"/>
      <c r="AHR179" s="1"/>
      <c r="AHS179" s="1"/>
      <c r="AHT179" s="1"/>
      <c r="AHU179" s="1"/>
      <c r="AHV179" s="1"/>
      <c r="AHW179" s="1"/>
      <c r="AHX179" s="1"/>
      <c r="AHY179" s="1"/>
      <c r="AHZ179" s="1"/>
      <c r="AIA179" s="1"/>
      <c r="AIB179" s="1"/>
      <c r="AIC179" s="1"/>
      <c r="AID179" s="1"/>
      <c r="AIE179" s="1"/>
      <c r="AIF179" s="1"/>
      <c r="AIG179" s="1"/>
      <c r="AIH179" s="1"/>
      <c r="AII179" s="1"/>
      <c r="AIJ179" s="1"/>
      <c r="AIK179" s="1"/>
      <c r="AIL179" s="1"/>
      <c r="AIM179" s="1"/>
      <c r="AIN179" s="1"/>
      <c r="AIO179" s="1"/>
      <c r="AIP179" s="1"/>
      <c r="AIQ179" s="1"/>
      <c r="AIR179" s="1"/>
      <c r="AIS179" s="1"/>
      <c r="AIT179" s="1"/>
      <c r="AIU179" s="1"/>
      <c r="AIV179" s="1"/>
      <c r="AIW179" s="1"/>
      <c r="AIX179" s="1"/>
      <c r="AIY179" s="1"/>
      <c r="AIZ179" s="1"/>
      <c r="AJA179" s="1"/>
      <c r="AJB179" s="1"/>
      <c r="AJC179" s="1"/>
      <c r="AJD179" s="1"/>
      <c r="AJE179" s="1"/>
      <c r="AJF179" s="1"/>
      <c r="AJG179" s="1"/>
      <c r="AJH179" s="1"/>
      <c r="AJI179" s="1"/>
      <c r="AJJ179" s="1"/>
      <c r="AJK179" s="1"/>
      <c r="AJL179" s="1"/>
      <c r="AJM179" s="1"/>
      <c r="AJN179" s="1"/>
      <c r="AJO179" s="1"/>
      <c r="AJP179" s="1"/>
      <c r="AJQ179" s="1"/>
      <c r="AJR179" s="1"/>
      <c r="AJS179" s="1"/>
      <c r="AJT179" s="1"/>
      <c r="AJU179" s="1"/>
      <c r="AJV179" s="1"/>
      <c r="AJW179" s="1"/>
      <c r="AJX179" s="1"/>
      <c r="AJY179" s="1"/>
      <c r="AJZ179" s="1"/>
      <c r="AKA179" s="1"/>
      <c r="AKB179" s="1"/>
      <c r="AKC179" s="1"/>
      <c r="AKD179" s="1"/>
      <c r="AKE179" s="1"/>
      <c r="AKF179" s="1"/>
      <c r="AKG179" s="1"/>
      <c r="AKH179" s="1"/>
      <c r="AKI179" s="1"/>
      <c r="AKJ179" s="1"/>
      <c r="AKK179" s="1"/>
      <c r="AKL179" s="1"/>
      <c r="AKM179" s="1"/>
      <c r="AKN179" s="1"/>
      <c r="AKO179" s="1"/>
      <c r="AKP179" s="1"/>
      <c r="AKQ179" s="1"/>
      <c r="AKR179" s="1"/>
      <c r="AKS179" s="1"/>
      <c r="AKT179" s="1"/>
      <c r="AKU179" s="1"/>
      <c r="AKV179" s="1"/>
      <c r="AKW179" s="1"/>
      <c r="AKX179" s="1"/>
      <c r="AKY179" s="1"/>
      <c r="AKZ179" s="1"/>
      <c r="ALA179" s="1"/>
      <c r="ALB179" s="1"/>
      <c r="ALC179" s="1"/>
      <c r="ALD179" s="1"/>
      <c r="ALE179" s="1"/>
      <c r="ALF179" s="1"/>
      <c r="ALG179" s="1"/>
      <c r="ALH179" s="1"/>
      <c r="ALI179" s="1"/>
      <c r="ALJ179" s="1"/>
      <c r="ALK179" s="1"/>
      <c r="ALL179" s="1"/>
      <c r="ALM179" s="1"/>
      <c r="ALN179" s="1"/>
      <c r="ALO179" s="1"/>
      <c r="ALP179" s="1"/>
      <c r="ALQ179" s="1"/>
      <c r="ALR179" s="1"/>
      <c r="ALS179" s="1"/>
      <c r="ALT179" s="1"/>
      <c r="ALU179" s="1"/>
      <c r="ALV179" s="1"/>
      <c r="ALW179" s="1"/>
      <c r="ALX179" s="1"/>
      <c r="ALY179" s="1"/>
      <c r="ALZ179" s="1"/>
      <c r="AMA179" s="1"/>
      <c r="AMB179" s="1"/>
      <c r="AMC179" s="1"/>
      <c r="AMD179" s="1"/>
      <c r="AME179" s="1"/>
      <c r="AMF179" s="1"/>
      <c r="AMG179" s="1"/>
      <c r="AMH179" s="1"/>
      <c r="AMI179" s="1"/>
      <c r="AMJ179" s="1"/>
    </row>
    <row r="180" customFormat="false" ht="10.5" hidden="false" customHeight="true" outlineLevel="0" collapsed="false">
      <c r="A180" s="232"/>
      <c r="B180" s="232"/>
      <c r="C180" s="232"/>
      <c r="D180" s="232"/>
      <c r="E180" s="232"/>
      <c r="F180" s="233"/>
      <c r="G180" s="233"/>
      <c r="H180" s="233"/>
      <c r="I180" s="233"/>
      <c r="J180" s="233"/>
      <c r="K180" s="233"/>
      <c r="L180" s="233"/>
      <c r="M180" s="233"/>
      <c r="N180" s="233"/>
      <c r="O180" s="233"/>
      <c r="P180" s="233"/>
      <c r="Q180" s="233"/>
      <c r="R180" s="233"/>
      <c r="S180" s="233"/>
      <c r="T180" s="233"/>
      <c r="U180" s="233"/>
      <c r="V180" s="233"/>
      <c r="W180" s="233"/>
      <c r="X180" s="233"/>
      <c r="Y180" s="233"/>
      <c r="Z180" s="177"/>
      <c r="AA180" s="177"/>
      <c r="AB180" s="177"/>
      <c r="AC180" s="177"/>
      <c r="AD180" s="234"/>
      <c r="AE180" s="234"/>
      <c r="AF180" s="234"/>
      <c r="AG180" s="235"/>
      <c r="AH180" s="235"/>
      <c r="AI180" s="235"/>
      <c r="AJ180" s="235"/>
      <c r="AK180" s="235"/>
      <c r="AL180" s="235"/>
      <c r="AM180" s="235"/>
      <c r="AN180" s="235"/>
      <c r="AO180" s="235"/>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c r="IY180" s="1"/>
      <c r="IZ180" s="1"/>
      <c r="JA180" s="1"/>
      <c r="JB180" s="1"/>
      <c r="JC180" s="1"/>
      <c r="JD180" s="1"/>
      <c r="JE180" s="1"/>
      <c r="JF180" s="1"/>
      <c r="JG180" s="1"/>
      <c r="JH180" s="1"/>
      <c r="JI180" s="1"/>
      <c r="JJ180" s="1"/>
      <c r="JK180" s="1"/>
      <c r="JL180" s="1"/>
      <c r="JM180" s="1"/>
      <c r="JN180" s="1"/>
      <c r="JO180" s="1"/>
      <c r="JP180" s="1"/>
      <c r="JQ180" s="1"/>
      <c r="JR180" s="1"/>
      <c r="JS180" s="1"/>
      <c r="JT180" s="1"/>
      <c r="JU180" s="1"/>
      <c r="JV180" s="1"/>
      <c r="JW180" s="1"/>
      <c r="JX180" s="1"/>
      <c r="JY180" s="1"/>
      <c r="JZ180" s="1"/>
      <c r="KA180" s="1"/>
      <c r="KB180" s="1"/>
      <c r="KC180" s="1"/>
      <c r="KD180" s="1"/>
      <c r="KE180" s="1"/>
      <c r="KF180" s="1"/>
      <c r="KG180" s="1"/>
      <c r="KH180" s="1"/>
      <c r="KI180" s="1"/>
      <c r="KJ180" s="1"/>
      <c r="KK180" s="1"/>
      <c r="KL180" s="1"/>
      <c r="KM180" s="1"/>
      <c r="KN180" s="1"/>
      <c r="KO180" s="1"/>
      <c r="KP180" s="1"/>
      <c r="KQ180" s="1"/>
      <c r="KR180" s="1"/>
      <c r="KS180" s="1"/>
      <c r="KT180" s="1"/>
      <c r="KU180" s="1"/>
      <c r="KV180" s="1"/>
      <c r="KW180" s="1"/>
      <c r="KX180" s="1"/>
      <c r="KY180" s="1"/>
      <c r="KZ180" s="1"/>
      <c r="LA180" s="1"/>
      <c r="LB180" s="1"/>
      <c r="LC180" s="1"/>
      <c r="LD180" s="1"/>
      <c r="LE180" s="1"/>
      <c r="LF180" s="1"/>
      <c r="LG180" s="1"/>
      <c r="LH180" s="1"/>
      <c r="LI180" s="1"/>
      <c r="LJ180" s="1"/>
      <c r="LK180" s="1"/>
      <c r="LL180" s="1"/>
      <c r="LM180" s="1"/>
      <c r="LN180" s="1"/>
      <c r="LO180" s="1"/>
      <c r="LP180" s="1"/>
      <c r="LQ180" s="1"/>
      <c r="LR180" s="1"/>
      <c r="LS180" s="1"/>
      <c r="LT180" s="1"/>
      <c r="LU180" s="1"/>
      <c r="LV180" s="1"/>
      <c r="LW180" s="1"/>
      <c r="LX180" s="1"/>
      <c r="LY180" s="1"/>
      <c r="LZ180" s="1"/>
      <c r="MA180" s="1"/>
      <c r="MB180" s="1"/>
      <c r="MC180" s="1"/>
      <c r="MD180" s="1"/>
      <c r="ME180" s="1"/>
      <c r="MF180" s="1"/>
      <c r="MG180" s="1"/>
      <c r="MH180" s="1"/>
      <c r="MI180" s="1"/>
      <c r="MJ180" s="1"/>
      <c r="MK180" s="1"/>
      <c r="ML180" s="1"/>
      <c r="MM180" s="1"/>
      <c r="MN180" s="1"/>
      <c r="MO180" s="1"/>
      <c r="MP180" s="1"/>
      <c r="MQ180" s="1"/>
      <c r="MR180" s="1"/>
      <c r="MS180" s="1"/>
      <c r="MT180" s="1"/>
      <c r="MU180" s="1"/>
      <c r="MV180" s="1"/>
      <c r="MW180" s="1"/>
      <c r="MX180" s="1"/>
      <c r="MY180" s="1"/>
      <c r="MZ180" s="1"/>
      <c r="NA180" s="1"/>
      <c r="NB180" s="1"/>
      <c r="NC180" s="1"/>
      <c r="ND180" s="1"/>
      <c r="NE180" s="1"/>
      <c r="NF180" s="1"/>
      <c r="NG180" s="1"/>
      <c r="NH180" s="1"/>
      <c r="NI180" s="1"/>
      <c r="NJ180" s="1"/>
      <c r="NK180" s="1"/>
      <c r="NL180" s="1"/>
      <c r="NM180" s="1"/>
      <c r="NN180" s="1"/>
      <c r="NO180" s="1"/>
      <c r="NP180" s="1"/>
      <c r="NQ180" s="1"/>
      <c r="NR180" s="1"/>
      <c r="NS180" s="1"/>
      <c r="NT180" s="1"/>
      <c r="NU180" s="1"/>
      <c r="NV180" s="1"/>
      <c r="NW180" s="1"/>
      <c r="NX180" s="1"/>
      <c r="NY180" s="1"/>
      <c r="NZ180" s="1"/>
      <c r="OA180" s="1"/>
      <c r="OB180" s="1"/>
      <c r="OC180" s="1"/>
      <c r="OD180" s="1"/>
      <c r="OE180" s="1"/>
      <c r="OF180" s="1"/>
      <c r="OG180" s="1"/>
      <c r="OH180" s="1"/>
      <c r="OI180" s="1"/>
      <c r="OJ180" s="1"/>
      <c r="OK180" s="1"/>
      <c r="OL180" s="1"/>
      <c r="OM180" s="1"/>
      <c r="ON180" s="1"/>
      <c r="OO180" s="1"/>
      <c r="OP180" s="1"/>
      <c r="OQ180" s="1"/>
      <c r="OR180" s="1"/>
      <c r="OS180" s="1"/>
      <c r="OT180" s="1"/>
      <c r="OU180" s="1"/>
      <c r="OV180" s="1"/>
      <c r="OW180" s="1"/>
      <c r="OX180" s="1"/>
      <c r="OY180" s="1"/>
      <c r="OZ180" s="1"/>
      <c r="PA180" s="1"/>
      <c r="PB180" s="1"/>
      <c r="PC180" s="1"/>
      <c r="PD180" s="1"/>
      <c r="PE180" s="1"/>
      <c r="PF180" s="1"/>
      <c r="PG180" s="1"/>
      <c r="PH180" s="1"/>
      <c r="PI180" s="1"/>
      <c r="PJ180" s="1"/>
      <c r="PK180" s="1"/>
      <c r="PL180" s="1"/>
      <c r="PM180" s="1"/>
      <c r="PN180" s="1"/>
      <c r="PO180" s="1"/>
      <c r="PP180" s="1"/>
      <c r="PQ180" s="1"/>
      <c r="PR180" s="1"/>
      <c r="PS180" s="1"/>
      <c r="PT180" s="1"/>
      <c r="PU180" s="1"/>
      <c r="PV180" s="1"/>
      <c r="PW180" s="1"/>
      <c r="PX180" s="1"/>
      <c r="PY180" s="1"/>
      <c r="PZ180" s="1"/>
      <c r="QA180" s="1"/>
      <c r="QB180" s="1"/>
      <c r="QC180" s="1"/>
      <c r="QD180" s="1"/>
      <c r="QE180" s="1"/>
      <c r="QF180" s="1"/>
      <c r="QG180" s="1"/>
      <c r="QH180" s="1"/>
      <c r="QI180" s="1"/>
      <c r="QJ180" s="1"/>
      <c r="QK180" s="1"/>
      <c r="QL180" s="1"/>
      <c r="QM180" s="1"/>
      <c r="QN180" s="1"/>
      <c r="QO180" s="1"/>
      <c r="QP180" s="1"/>
      <c r="QQ180" s="1"/>
      <c r="QR180" s="1"/>
      <c r="QS180" s="1"/>
      <c r="QT180" s="1"/>
      <c r="QU180" s="1"/>
      <c r="QV180" s="1"/>
      <c r="QW180" s="1"/>
      <c r="QX180" s="1"/>
      <c r="QY180" s="1"/>
      <c r="QZ180" s="1"/>
      <c r="RA180" s="1"/>
      <c r="RB180" s="1"/>
      <c r="RC180" s="1"/>
      <c r="RD180" s="1"/>
      <c r="RE180" s="1"/>
      <c r="RF180" s="1"/>
      <c r="RG180" s="1"/>
      <c r="RH180" s="1"/>
      <c r="RI180" s="1"/>
      <c r="RJ180" s="1"/>
      <c r="RK180" s="1"/>
      <c r="RL180" s="1"/>
      <c r="RM180" s="1"/>
      <c r="RN180" s="1"/>
      <c r="RO180" s="1"/>
      <c r="RP180" s="1"/>
      <c r="RQ180" s="1"/>
      <c r="RR180" s="1"/>
      <c r="RS180" s="1"/>
      <c r="RT180" s="1"/>
      <c r="RU180" s="1"/>
      <c r="RV180" s="1"/>
      <c r="RW180" s="1"/>
      <c r="RX180" s="1"/>
      <c r="RY180" s="1"/>
      <c r="RZ180" s="1"/>
      <c r="SA180" s="1"/>
      <c r="SB180" s="1"/>
      <c r="SC180" s="1"/>
      <c r="SD180" s="1"/>
      <c r="SE180" s="1"/>
      <c r="SF180" s="1"/>
      <c r="SG180" s="1"/>
      <c r="SH180" s="1"/>
      <c r="SI180" s="1"/>
      <c r="SJ180" s="1"/>
      <c r="SK180" s="1"/>
      <c r="SL180" s="1"/>
      <c r="SM180" s="1"/>
      <c r="SN180" s="1"/>
      <c r="SO180" s="1"/>
      <c r="SP180" s="1"/>
      <c r="SQ180" s="1"/>
      <c r="SR180" s="1"/>
      <c r="SS180" s="1"/>
      <c r="ST180" s="1"/>
      <c r="SU180" s="1"/>
      <c r="SV180" s="1"/>
      <c r="SW180" s="1"/>
      <c r="SX180" s="1"/>
      <c r="SY180" s="1"/>
      <c r="SZ180" s="1"/>
      <c r="TA180" s="1"/>
      <c r="TB180" s="1"/>
      <c r="TC180" s="1"/>
      <c r="TD180" s="1"/>
      <c r="TE180" s="1"/>
      <c r="TF180" s="1"/>
      <c r="TG180" s="1"/>
      <c r="TH180" s="1"/>
      <c r="TI180" s="1"/>
      <c r="TJ180" s="1"/>
      <c r="TK180" s="1"/>
      <c r="TL180" s="1"/>
      <c r="TM180" s="1"/>
      <c r="TN180" s="1"/>
      <c r="TO180" s="1"/>
      <c r="TP180" s="1"/>
      <c r="TQ180" s="1"/>
      <c r="TR180" s="1"/>
      <c r="TS180" s="1"/>
      <c r="TT180" s="1"/>
      <c r="TU180" s="1"/>
      <c r="TV180" s="1"/>
      <c r="TW180" s="1"/>
      <c r="TX180" s="1"/>
      <c r="TY180" s="1"/>
      <c r="TZ180" s="1"/>
      <c r="UA180" s="1"/>
      <c r="UB180" s="1"/>
      <c r="UC180" s="1"/>
      <c r="UD180" s="1"/>
      <c r="UE180" s="1"/>
      <c r="UF180" s="1"/>
      <c r="UG180" s="1"/>
      <c r="UH180" s="1"/>
      <c r="UI180" s="1"/>
      <c r="UJ180" s="1"/>
      <c r="UK180" s="1"/>
      <c r="UL180" s="1"/>
      <c r="UM180" s="1"/>
      <c r="UN180" s="1"/>
      <c r="UO180" s="1"/>
      <c r="UP180" s="1"/>
      <c r="UQ180" s="1"/>
      <c r="UR180" s="1"/>
      <c r="US180" s="1"/>
      <c r="UT180" s="1"/>
      <c r="UU180" s="1"/>
      <c r="UV180" s="1"/>
      <c r="UW180" s="1"/>
      <c r="UX180" s="1"/>
      <c r="UY180" s="1"/>
      <c r="UZ180" s="1"/>
      <c r="VA180" s="1"/>
      <c r="VB180" s="1"/>
      <c r="VC180" s="1"/>
      <c r="VD180" s="1"/>
      <c r="VE180" s="1"/>
      <c r="VF180" s="1"/>
      <c r="VG180" s="1"/>
      <c r="VH180" s="1"/>
      <c r="VI180" s="1"/>
      <c r="VJ180" s="1"/>
      <c r="VK180" s="1"/>
      <c r="VL180" s="1"/>
      <c r="VM180" s="1"/>
      <c r="VN180" s="1"/>
      <c r="VO180" s="1"/>
      <c r="VP180" s="1"/>
      <c r="VQ180" s="1"/>
      <c r="VR180" s="1"/>
      <c r="VS180" s="1"/>
      <c r="VT180" s="1"/>
      <c r="VU180" s="1"/>
      <c r="VV180" s="1"/>
      <c r="VW180" s="1"/>
      <c r="VX180" s="1"/>
      <c r="VY180" s="1"/>
      <c r="VZ180" s="1"/>
      <c r="WA180" s="1"/>
      <c r="WB180" s="1"/>
      <c r="WC180" s="1"/>
      <c r="WD180" s="1"/>
      <c r="WE180" s="1"/>
      <c r="WF180" s="1"/>
      <c r="WG180" s="1"/>
      <c r="WH180" s="1"/>
      <c r="WI180" s="1"/>
      <c r="WJ180" s="1"/>
      <c r="WK180" s="1"/>
      <c r="WL180" s="1"/>
      <c r="WM180" s="1"/>
      <c r="WN180" s="1"/>
      <c r="WO180" s="1"/>
      <c r="WP180" s="1"/>
      <c r="WQ180" s="1"/>
      <c r="WR180" s="1"/>
      <c r="WS180" s="1"/>
      <c r="WT180" s="1"/>
      <c r="WU180" s="1"/>
      <c r="WV180" s="1"/>
      <c r="WW180" s="1"/>
      <c r="WX180" s="1"/>
      <c r="WY180" s="1"/>
      <c r="WZ180" s="1"/>
      <c r="XA180" s="1"/>
      <c r="XB180" s="1"/>
      <c r="XC180" s="1"/>
      <c r="XD180" s="1"/>
      <c r="XE180" s="1"/>
      <c r="XF180" s="1"/>
      <c r="XG180" s="1"/>
      <c r="XH180" s="1"/>
      <c r="XI180" s="1"/>
      <c r="XJ180" s="1"/>
      <c r="XK180" s="1"/>
      <c r="XL180" s="1"/>
      <c r="XM180" s="1"/>
      <c r="XN180" s="1"/>
      <c r="XO180" s="1"/>
      <c r="XP180" s="1"/>
      <c r="XQ180" s="1"/>
      <c r="XR180" s="1"/>
      <c r="XS180" s="1"/>
      <c r="XT180" s="1"/>
      <c r="XU180" s="1"/>
      <c r="XV180" s="1"/>
      <c r="XW180" s="1"/>
      <c r="XX180" s="1"/>
      <c r="XY180" s="1"/>
      <c r="XZ180" s="1"/>
      <c r="YA180" s="1"/>
      <c r="YB180" s="1"/>
      <c r="YC180" s="1"/>
      <c r="YD180" s="1"/>
      <c r="YE180" s="1"/>
      <c r="YF180" s="1"/>
      <c r="YG180" s="1"/>
      <c r="YH180" s="1"/>
      <c r="YI180" s="1"/>
      <c r="YJ180" s="1"/>
      <c r="YK180" s="1"/>
      <c r="YL180" s="1"/>
      <c r="YM180" s="1"/>
      <c r="YN180" s="1"/>
      <c r="YO180" s="1"/>
      <c r="YP180" s="1"/>
      <c r="YQ180" s="1"/>
      <c r="YR180" s="1"/>
      <c r="YS180" s="1"/>
      <c r="YT180" s="1"/>
      <c r="YU180" s="1"/>
      <c r="YV180" s="1"/>
      <c r="YW180" s="1"/>
      <c r="YX180" s="1"/>
      <c r="YY180" s="1"/>
      <c r="YZ180" s="1"/>
      <c r="ZA180" s="1"/>
      <c r="ZB180" s="1"/>
      <c r="ZC180" s="1"/>
      <c r="ZD180" s="1"/>
      <c r="ZE180" s="1"/>
      <c r="ZF180" s="1"/>
      <c r="ZG180" s="1"/>
      <c r="ZH180" s="1"/>
      <c r="ZI180" s="1"/>
      <c r="ZJ180" s="1"/>
      <c r="ZK180" s="1"/>
      <c r="ZL180" s="1"/>
      <c r="ZM180" s="1"/>
      <c r="ZN180" s="1"/>
      <c r="ZO180" s="1"/>
      <c r="ZP180" s="1"/>
      <c r="ZQ180" s="1"/>
      <c r="ZR180" s="1"/>
      <c r="ZS180" s="1"/>
      <c r="ZT180" s="1"/>
      <c r="ZU180" s="1"/>
      <c r="ZV180" s="1"/>
      <c r="ZW180" s="1"/>
      <c r="ZX180" s="1"/>
      <c r="ZY180" s="1"/>
      <c r="ZZ180" s="1"/>
      <c r="AAA180" s="1"/>
      <c r="AAB180" s="1"/>
      <c r="AAC180" s="1"/>
      <c r="AAD180" s="1"/>
      <c r="AAE180" s="1"/>
      <c r="AAF180" s="1"/>
      <c r="AAG180" s="1"/>
      <c r="AAH180" s="1"/>
      <c r="AAI180" s="1"/>
      <c r="AAJ180" s="1"/>
      <c r="AAK180" s="1"/>
      <c r="AAL180" s="1"/>
      <c r="AAM180" s="1"/>
      <c r="AAN180" s="1"/>
      <c r="AAO180" s="1"/>
      <c r="AAP180" s="1"/>
      <c r="AAQ180" s="1"/>
      <c r="AAR180" s="1"/>
      <c r="AAS180" s="1"/>
      <c r="AAT180" s="1"/>
      <c r="AAU180" s="1"/>
      <c r="AAV180" s="1"/>
      <c r="AAW180" s="1"/>
      <c r="AAX180" s="1"/>
      <c r="AAY180" s="1"/>
      <c r="AAZ180" s="1"/>
      <c r="ABA180" s="1"/>
      <c r="ABB180" s="1"/>
      <c r="ABC180" s="1"/>
      <c r="ABD180" s="1"/>
      <c r="ABE180" s="1"/>
      <c r="ABF180" s="1"/>
      <c r="ABG180" s="1"/>
      <c r="ABH180" s="1"/>
      <c r="ABI180" s="1"/>
      <c r="ABJ180" s="1"/>
      <c r="ABK180" s="1"/>
      <c r="ABL180" s="1"/>
      <c r="ABM180" s="1"/>
      <c r="ABN180" s="1"/>
      <c r="ABO180" s="1"/>
      <c r="ABP180" s="1"/>
      <c r="ABQ180" s="1"/>
      <c r="ABR180" s="1"/>
      <c r="ABS180" s="1"/>
      <c r="ABT180" s="1"/>
      <c r="ABU180" s="1"/>
      <c r="ABV180" s="1"/>
      <c r="ABW180" s="1"/>
      <c r="ABX180" s="1"/>
      <c r="ABY180" s="1"/>
      <c r="ABZ180" s="1"/>
      <c r="ACA180" s="1"/>
      <c r="ACB180" s="1"/>
      <c r="ACC180" s="1"/>
      <c r="ACD180" s="1"/>
      <c r="ACE180" s="1"/>
      <c r="ACF180" s="1"/>
      <c r="ACG180" s="1"/>
      <c r="ACH180" s="1"/>
      <c r="ACI180" s="1"/>
      <c r="ACJ180" s="1"/>
      <c r="ACK180" s="1"/>
      <c r="ACL180" s="1"/>
      <c r="ACM180" s="1"/>
      <c r="ACN180" s="1"/>
      <c r="ACO180" s="1"/>
      <c r="ACP180" s="1"/>
      <c r="ACQ180" s="1"/>
      <c r="ACR180" s="1"/>
      <c r="ACS180" s="1"/>
      <c r="ACT180" s="1"/>
      <c r="ACU180" s="1"/>
      <c r="ACV180" s="1"/>
      <c r="ACW180" s="1"/>
      <c r="ACX180" s="1"/>
      <c r="ACY180" s="1"/>
      <c r="ACZ180" s="1"/>
      <c r="ADA180" s="1"/>
      <c r="ADB180" s="1"/>
      <c r="ADC180" s="1"/>
      <c r="ADD180" s="1"/>
      <c r="ADE180" s="1"/>
      <c r="ADF180" s="1"/>
      <c r="ADG180" s="1"/>
      <c r="ADH180" s="1"/>
      <c r="ADI180" s="1"/>
      <c r="ADJ180" s="1"/>
      <c r="ADK180" s="1"/>
      <c r="ADL180" s="1"/>
      <c r="ADM180" s="1"/>
      <c r="ADN180" s="1"/>
      <c r="ADO180" s="1"/>
      <c r="ADP180" s="1"/>
      <c r="ADQ180" s="1"/>
      <c r="ADR180" s="1"/>
      <c r="ADS180" s="1"/>
      <c r="ADT180" s="1"/>
      <c r="ADU180" s="1"/>
      <c r="ADV180" s="1"/>
      <c r="ADW180" s="1"/>
      <c r="ADX180" s="1"/>
      <c r="ADY180" s="1"/>
      <c r="ADZ180" s="1"/>
      <c r="AEA180" s="1"/>
      <c r="AEB180" s="1"/>
      <c r="AEC180" s="1"/>
      <c r="AED180" s="1"/>
      <c r="AEE180" s="1"/>
      <c r="AEF180" s="1"/>
      <c r="AEG180" s="1"/>
      <c r="AEH180" s="1"/>
      <c r="AEI180" s="1"/>
      <c r="AEJ180" s="1"/>
      <c r="AEK180" s="1"/>
      <c r="AEL180" s="1"/>
      <c r="AEM180" s="1"/>
      <c r="AEN180" s="1"/>
      <c r="AEO180" s="1"/>
      <c r="AEP180" s="1"/>
      <c r="AEQ180" s="1"/>
      <c r="AER180" s="1"/>
      <c r="AES180" s="1"/>
      <c r="AET180" s="1"/>
      <c r="AEU180" s="1"/>
      <c r="AEV180" s="1"/>
      <c r="AEW180" s="1"/>
      <c r="AEX180" s="1"/>
      <c r="AEY180" s="1"/>
      <c r="AEZ180" s="1"/>
      <c r="AFA180" s="1"/>
      <c r="AFB180" s="1"/>
      <c r="AFC180" s="1"/>
      <c r="AFD180" s="1"/>
      <c r="AFE180" s="1"/>
      <c r="AFF180" s="1"/>
      <c r="AFG180" s="1"/>
      <c r="AFH180" s="1"/>
      <c r="AFI180" s="1"/>
      <c r="AFJ180" s="1"/>
      <c r="AFK180" s="1"/>
      <c r="AFL180" s="1"/>
      <c r="AFM180" s="1"/>
      <c r="AFN180" s="1"/>
      <c r="AFO180" s="1"/>
      <c r="AFP180" s="1"/>
      <c r="AFQ180" s="1"/>
      <c r="AFR180" s="1"/>
      <c r="AFS180" s="1"/>
      <c r="AFT180" s="1"/>
      <c r="AFU180" s="1"/>
      <c r="AFV180" s="1"/>
      <c r="AFW180" s="1"/>
      <c r="AFX180" s="1"/>
      <c r="AFY180" s="1"/>
      <c r="AFZ180" s="1"/>
      <c r="AGA180" s="1"/>
      <c r="AGB180" s="1"/>
      <c r="AGC180" s="1"/>
      <c r="AGD180" s="1"/>
      <c r="AGE180" s="1"/>
      <c r="AGF180" s="1"/>
      <c r="AGG180" s="1"/>
      <c r="AGH180" s="1"/>
      <c r="AGI180" s="1"/>
      <c r="AGJ180" s="1"/>
      <c r="AGK180" s="1"/>
      <c r="AGL180" s="1"/>
      <c r="AGM180" s="1"/>
      <c r="AGN180" s="1"/>
      <c r="AGO180" s="1"/>
      <c r="AGP180" s="1"/>
      <c r="AGQ180" s="1"/>
      <c r="AGR180" s="1"/>
      <c r="AGS180" s="1"/>
      <c r="AGT180" s="1"/>
      <c r="AGU180" s="1"/>
      <c r="AGV180" s="1"/>
      <c r="AGW180" s="1"/>
      <c r="AGX180" s="1"/>
      <c r="AGY180" s="1"/>
      <c r="AGZ180" s="1"/>
      <c r="AHA180" s="1"/>
      <c r="AHB180" s="1"/>
      <c r="AHC180" s="1"/>
      <c r="AHD180" s="1"/>
      <c r="AHE180" s="1"/>
      <c r="AHF180" s="1"/>
      <c r="AHG180" s="1"/>
      <c r="AHH180" s="1"/>
      <c r="AHI180" s="1"/>
      <c r="AHJ180" s="1"/>
      <c r="AHK180" s="1"/>
      <c r="AHL180" s="1"/>
      <c r="AHM180" s="1"/>
      <c r="AHN180" s="1"/>
      <c r="AHO180" s="1"/>
      <c r="AHP180" s="1"/>
      <c r="AHQ180" s="1"/>
      <c r="AHR180" s="1"/>
      <c r="AHS180" s="1"/>
      <c r="AHT180" s="1"/>
      <c r="AHU180" s="1"/>
      <c r="AHV180" s="1"/>
      <c r="AHW180" s="1"/>
      <c r="AHX180" s="1"/>
      <c r="AHY180" s="1"/>
      <c r="AHZ180" s="1"/>
      <c r="AIA180" s="1"/>
      <c r="AIB180" s="1"/>
      <c r="AIC180" s="1"/>
      <c r="AID180" s="1"/>
      <c r="AIE180" s="1"/>
      <c r="AIF180" s="1"/>
      <c r="AIG180" s="1"/>
      <c r="AIH180" s="1"/>
      <c r="AII180" s="1"/>
      <c r="AIJ180" s="1"/>
      <c r="AIK180" s="1"/>
      <c r="AIL180" s="1"/>
      <c r="AIM180" s="1"/>
      <c r="AIN180" s="1"/>
      <c r="AIO180" s="1"/>
      <c r="AIP180" s="1"/>
      <c r="AIQ180" s="1"/>
      <c r="AIR180" s="1"/>
      <c r="AIS180" s="1"/>
      <c r="AIT180" s="1"/>
      <c r="AIU180" s="1"/>
      <c r="AIV180" s="1"/>
      <c r="AIW180" s="1"/>
      <c r="AIX180" s="1"/>
      <c r="AIY180" s="1"/>
      <c r="AIZ180" s="1"/>
      <c r="AJA180" s="1"/>
      <c r="AJB180" s="1"/>
      <c r="AJC180" s="1"/>
      <c r="AJD180" s="1"/>
      <c r="AJE180" s="1"/>
      <c r="AJF180" s="1"/>
      <c r="AJG180" s="1"/>
      <c r="AJH180" s="1"/>
      <c r="AJI180" s="1"/>
      <c r="AJJ180" s="1"/>
      <c r="AJK180" s="1"/>
      <c r="AJL180" s="1"/>
      <c r="AJM180" s="1"/>
      <c r="AJN180" s="1"/>
      <c r="AJO180" s="1"/>
      <c r="AJP180" s="1"/>
      <c r="AJQ180" s="1"/>
      <c r="AJR180" s="1"/>
      <c r="AJS180" s="1"/>
      <c r="AJT180" s="1"/>
      <c r="AJU180" s="1"/>
      <c r="AJV180" s="1"/>
      <c r="AJW180" s="1"/>
      <c r="AJX180" s="1"/>
      <c r="AJY180" s="1"/>
      <c r="AJZ180" s="1"/>
      <c r="AKA180" s="1"/>
      <c r="AKB180" s="1"/>
      <c r="AKC180" s="1"/>
      <c r="AKD180" s="1"/>
      <c r="AKE180" s="1"/>
      <c r="AKF180" s="1"/>
      <c r="AKG180" s="1"/>
      <c r="AKH180" s="1"/>
      <c r="AKI180" s="1"/>
      <c r="AKJ180" s="1"/>
      <c r="AKK180" s="1"/>
      <c r="AKL180" s="1"/>
      <c r="AKM180" s="1"/>
      <c r="AKN180" s="1"/>
      <c r="AKO180" s="1"/>
      <c r="AKP180" s="1"/>
      <c r="AKQ180" s="1"/>
      <c r="AKR180" s="1"/>
      <c r="AKS180" s="1"/>
      <c r="AKT180" s="1"/>
      <c r="AKU180" s="1"/>
      <c r="AKV180" s="1"/>
      <c r="AKW180" s="1"/>
      <c r="AKX180" s="1"/>
      <c r="AKY180" s="1"/>
      <c r="AKZ180" s="1"/>
      <c r="ALA180" s="1"/>
      <c r="ALB180" s="1"/>
      <c r="ALC180" s="1"/>
      <c r="ALD180" s="1"/>
      <c r="ALE180" s="1"/>
      <c r="ALF180" s="1"/>
      <c r="ALG180" s="1"/>
      <c r="ALH180" s="1"/>
      <c r="ALI180" s="1"/>
      <c r="ALJ180" s="1"/>
      <c r="ALK180" s="1"/>
      <c r="ALL180" s="1"/>
      <c r="ALM180" s="1"/>
      <c r="ALN180" s="1"/>
      <c r="ALO180" s="1"/>
      <c r="ALP180" s="1"/>
      <c r="ALQ180" s="1"/>
      <c r="ALR180" s="1"/>
      <c r="ALS180" s="1"/>
      <c r="ALT180" s="1"/>
      <c r="ALU180" s="1"/>
      <c r="ALV180" s="1"/>
      <c r="ALW180" s="1"/>
      <c r="ALX180" s="1"/>
      <c r="ALY180" s="1"/>
      <c r="ALZ180" s="1"/>
      <c r="AMA180" s="1"/>
      <c r="AMB180" s="1"/>
      <c r="AMC180" s="1"/>
      <c r="AMD180" s="1"/>
      <c r="AME180" s="1"/>
      <c r="AMF180" s="1"/>
      <c r="AMG180" s="1"/>
      <c r="AMH180" s="1"/>
      <c r="AMI180" s="1"/>
      <c r="AMJ180" s="1"/>
    </row>
    <row r="181" customFormat="false" ht="2.25" hidden="false" customHeight="true" outlineLevel="0" collapsed="false">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5"/>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c r="IY181" s="1"/>
      <c r="IZ181" s="1"/>
      <c r="JA181" s="1"/>
      <c r="JB181" s="1"/>
      <c r="JC181" s="1"/>
      <c r="JD181" s="1"/>
      <c r="JE181" s="1"/>
      <c r="JF181" s="1"/>
      <c r="JG181" s="1"/>
      <c r="JH181" s="1"/>
      <c r="JI181" s="1"/>
      <c r="JJ181" s="1"/>
      <c r="JK181" s="1"/>
      <c r="JL181" s="1"/>
      <c r="JM181" s="1"/>
      <c r="JN181" s="1"/>
      <c r="JO181" s="1"/>
      <c r="JP181" s="1"/>
      <c r="JQ181" s="1"/>
      <c r="JR181" s="1"/>
      <c r="JS181" s="1"/>
      <c r="JT181" s="1"/>
      <c r="JU181" s="1"/>
      <c r="JV181" s="1"/>
      <c r="JW181" s="1"/>
      <c r="JX181" s="1"/>
      <c r="JY181" s="1"/>
      <c r="JZ181" s="1"/>
      <c r="KA181" s="1"/>
      <c r="KB181" s="1"/>
      <c r="KC181" s="1"/>
      <c r="KD181" s="1"/>
      <c r="KE181" s="1"/>
      <c r="KF181" s="1"/>
      <c r="KG181" s="1"/>
      <c r="KH181" s="1"/>
      <c r="KI181" s="1"/>
      <c r="KJ181" s="1"/>
      <c r="KK181" s="1"/>
      <c r="KL181" s="1"/>
      <c r="KM181" s="1"/>
      <c r="KN181" s="1"/>
      <c r="KO181" s="1"/>
      <c r="KP181" s="1"/>
      <c r="KQ181" s="1"/>
      <c r="KR181" s="1"/>
      <c r="KS181" s="1"/>
      <c r="KT181" s="1"/>
      <c r="KU181" s="1"/>
      <c r="KV181" s="1"/>
      <c r="KW181" s="1"/>
      <c r="KX181" s="1"/>
      <c r="KY181" s="1"/>
      <c r="KZ181" s="1"/>
      <c r="LA181" s="1"/>
      <c r="LB181" s="1"/>
      <c r="LC181" s="1"/>
      <c r="LD181" s="1"/>
      <c r="LE181" s="1"/>
      <c r="LF181" s="1"/>
      <c r="LG181" s="1"/>
      <c r="LH181" s="1"/>
      <c r="LI181" s="1"/>
      <c r="LJ181" s="1"/>
      <c r="LK181" s="1"/>
      <c r="LL181" s="1"/>
      <c r="LM181" s="1"/>
      <c r="LN181" s="1"/>
      <c r="LO181" s="1"/>
      <c r="LP181" s="1"/>
      <c r="LQ181" s="1"/>
      <c r="LR181" s="1"/>
      <c r="LS181" s="1"/>
      <c r="LT181" s="1"/>
      <c r="LU181" s="1"/>
      <c r="LV181" s="1"/>
      <c r="LW181" s="1"/>
      <c r="LX181" s="1"/>
      <c r="LY181" s="1"/>
      <c r="LZ181" s="1"/>
      <c r="MA181" s="1"/>
      <c r="MB181" s="1"/>
      <c r="MC181" s="1"/>
      <c r="MD181" s="1"/>
      <c r="ME181" s="1"/>
      <c r="MF181" s="1"/>
      <c r="MG181" s="1"/>
      <c r="MH181" s="1"/>
      <c r="MI181" s="1"/>
      <c r="MJ181" s="1"/>
      <c r="MK181" s="1"/>
      <c r="ML181" s="1"/>
      <c r="MM181" s="1"/>
      <c r="MN181" s="1"/>
      <c r="MO181" s="1"/>
      <c r="MP181" s="1"/>
      <c r="MQ181" s="1"/>
      <c r="MR181" s="1"/>
      <c r="MS181" s="1"/>
      <c r="MT181" s="1"/>
      <c r="MU181" s="1"/>
      <c r="MV181" s="1"/>
      <c r="MW181" s="1"/>
      <c r="MX181" s="1"/>
      <c r="MY181" s="1"/>
      <c r="MZ181" s="1"/>
      <c r="NA181" s="1"/>
      <c r="NB181" s="1"/>
      <c r="NC181" s="1"/>
      <c r="ND181" s="1"/>
      <c r="NE181" s="1"/>
      <c r="NF181" s="1"/>
      <c r="NG181" s="1"/>
      <c r="NH181" s="1"/>
      <c r="NI181" s="1"/>
      <c r="NJ181" s="1"/>
      <c r="NK181" s="1"/>
      <c r="NL181" s="1"/>
      <c r="NM181" s="1"/>
      <c r="NN181" s="1"/>
      <c r="NO181" s="1"/>
      <c r="NP181" s="1"/>
      <c r="NQ181" s="1"/>
      <c r="NR181" s="1"/>
      <c r="NS181" s="1"/>
      <c r="NT181" s="1"/>
      <c r="NU181" s="1"/>
      <c r="NV181" s="1"/>
      <c r="NW181" s="1"/>
      <c r="NX181" s="1"/>
      <c r="NY181" s="1"/>
      <c r="NZ181" s="1"/>
      <c r="OA181" s="1"/>
      <c r="OB181" s="1"/>
      <c r="OC181" s="1"/>
      <c r="OD181" s="1"/>
      <c r="OE181" s="1"/>
      <c r="OF181" s="1"/>
      <c r="OG181" s="1"/>
      <c r="OH181" s="1"/>
      <c r="OI181" s="1"/>
      <c r="OJ181" s="1"/>
      <c r="OK181" s="1"/>
      <c r="OL181" s="1"/>
      <c r="OM181" s="1"/>
      <c r="ON181" s="1"/>
      <c r="OO181" s="1"/>
      <c r="OP181" s="1"/>
      <c r="OQ181" s="1"/>
      <c r="OR181" s="1"/>
      <c r="OS181" s="1"/>
      <c r="OT181" s="1"/>
      <c r="OU181" s="1"/>
      <c r="OV181" s="1"/>
      <c r="OW181" s="1"/>
      <c r="OX181" s="1"/>
      <c r="OY181" s="1"/>
      <c r="OZ181" s="1"/>
      <c r="PA181" s="1"/>
      <c r="PB181" s="1"/>
      <c r="PC181" s="1"/>
      <c r="PD181" s="1"/>
      <c r="PE181" s="1"/>
      <c r="PF181" s="1"/>
      <c r="PG181" s="1"/>
      <c r="PH181" s="1"/>
      <c r="PI181" s="1"/>
      <c r="PJ181" s="1"/>
      <c r="PK181" s="1"/>
      <c r="PL181" s="1"/>
      <c r="PM181" s="1"/>
      <c r="PN181" s="1"/>
      <c r="PO181" s="1"/>
      <c r="PP181" s="1"/>
      <c r="PQ181" s="1"/>
      <c r="PR181" s="1"/>
      <c r="PS181" s="1"/>
      <c r="PT181" s="1"/>
      <c r="PU181" s="1"/>
      <c r="PV181" s="1"/>
      <c r="PW181" s="1"/>
      <c r="PX181" s="1"/>
      <c r="PY181" s="1"/>
      <c r="PZ181" s="1"/>
      <c r="QA181" s="1"/>
      <c r="QB181" s="1"/>
      <c r="QC181" s="1"/>
      <c r="QD181" s="1"/>
      <c r="QE181" s="1"/>
      <c r="QF181" s="1"/>
      <c r="QG181" s="1"/>
      <c r="QH181" s="1"/>
      <c r="QI181" s="1"/>
      <c r="QJ181" s="1"/>
      <c r="QK181" s="1"/>
      <c r="QL181" s="1"/>
      <c r="QM181" s="1"/>
      <c r="QN181" s="1"/>
      <c r="QO181" s="1"/>
      <c r="QP181" s="1"/>
      <c r="QQ181" s="1"/>
      <c r="QR181" s="1"/>
      <c r="QS181" s="1"/>
      <c r="QT181" s="1"/>
      <c r="QU181" s="1"/>
      <c r="QV181" s="1"/>
      <c r="QW181" s="1"/>
      <c r="QX181" s="1"/>
      <c r="QY181" s="1"/>
      <c r="QZ181" s="1"/>
      <c r="RA181" s="1"/>
      <c r="RB181" s="1"/>
      <c r="RC181" s="1"/>
      <c r="RD181" s="1"/>
      <c r="RE181" s="1"/>
      <c r="RF181" s="1"/>
      <c r="RG181" s="1"/>
      <c r="RH181" s="1"/>
      <c r="RI181" s="1"/>
      <c r="RJ181" s="1"/>
      <c r="RK181" s="1"/>
      <c r="RL181" s="1"/>
      <c r="RM181" s="1"/>
      <c r="RN181" s="1"/>
      <c r="RO181" s="1"/>
      <c r="RP181" s="1"/>
      <c r="RQ181" s="1"/>
      <c r="RR181" s="1"/>
      <c r="RS181" s="1"/>
      <c r="RT181" s="1"/>
      <c r="RU181" s="1"/>
      <c r="RV181" s="1"/>
      <c r="RW181" s="1"/>
      <c r="RX181" s="1"/>
      <c r="RY181" s="1"/>
      <c r="RZ181" s="1"/>
      <c r="SA181" s="1"/>
      <c r="SB181" s="1"/>
      <c r="SC181" s="1"/>
      <c r="SD181" s="1"/>
      <c r="SE181" s="1"/>
      <c r="SF181" s="1"/>
      <c r="SG181" s="1"/>
      <c r="SH181" s="1"/>
      <c r="SI181" s="1"/>
      <c r="SJ181" s="1"/>
      <c r="SK181" s="1"/>
      <c r="SL181" s="1"/>
      <c r="SM181" s="1"/>
      <c r="SN181" s="1"/>
      <c r="SO181" s="1"/>
      <c r="SP181" s="1"/>
      <c r="SQ181" s="1"/>
      <c r="SR181" s="1"/>
      <c r="SS181" s="1"/>
      <c r="ST181" s="1"/>
      <c r="SU181" s="1"/>
      <c r="SV181" s="1"/>
      <c r="SW181" s="1"/>
      <c r="SX181" s="1"/>
      <c r="SY181" s="1"/>
      <c r="SZ181" s="1"/>
      <c r="TA181" s="1"/>
      <c r="TB181" s="1"/>
      <c r="TC181" s="1"/>
      <c r="TD181" s="1"/>
      <c r="TE181" s="1"/>
      <c r="TF181" s="1"/>
      <c r="TG181" s="1"/>
      <c r="TH181" s="1"/>
      <c r="TI181" s="1"/>
      <c r="TJ181" s="1"/>
      <c r="TK181" s="1"/>
      <c r="TL181" s="1"/>
      <c r="TM181" s="1"/>
      <c r="TN181" s="1"/>
      <c r="TO181" s="1"/>
      <c r="TP181" s="1"/>
      <c r="TQ181" s="1"/>
      <c r="TR181" s="1"/>
      <c r="TS181" s="1"/>
      <c r="TT181" s="1"/>
      <c r="TU181" s="1"/>
      <c r="TV181" s="1"/>
      <c r="TW181" s="1"/>
      <c r="TX181" s="1"/>
      <c r="TY181" s="1"/>
      <c r="TZ181" s="1"/>
      <c r="UA181" s="1"/>
      <c r="UB181" s="1"/>
      <c r="UC181" s="1"/>
      <c r="UD181" s="1"/>
      <c r="UE181" s="1"/>
      <c r="UF181" s="1"/>
      <c r="UG181" s="1"/>
      <c r="UH181" s="1"/>
      <c r="UI181" s="1"/>
      <c r="UJ181" s="1"/>
      <c r="UK181" s="1"/>
      <c r="UL181" s="1"/>
      <c r="UM181" s="1"/>
      <c r="UN181" s="1"/>
      <c r="UO181" s="1"/>
      <c r="UP181" s="1"/>
      <c r="UQ181" s="1"/>
      <c r="UR181" s="1"/>
      <c r="US181" s="1"/>
      <c r="UT181" s="1"/>
      <c r="UU181" s="1"/>
      <c r="UV181" s="1"/>
      <c r="UW181" s="1"/>
      <c r="UX181" s="1"/>
      <c r="UY181" s="1"/>
      <c r="UZ181" s="1"/>
      <c r="VA181" s="1"/>
      <c r="VB181" s="1"/>
      <c r="VC181" s="1"/>
      <c r="VD181" s="1"/>
      <c r="VE181" s="1"/>
      <c r="VF181" s="1"/>
      <c r="VG181" s="1"/>
      <c r="VH181" s="1"/>
      <c r="VI181" s="1"/>
      <c r="VJ181" s="1"/>
      <c r="VK181" s="1"/>
      <c r="VL181" s="1"/>
      <c r="VM181" s="1"/>
      <c r="VN181" s="1"/>
      <c r="VO181" s="1"/>
      <c r="VP181" s="1"/>
      <c r="VQ181" s="1"/>
      <c r="VR181" s="1"/>
      <c r="VS181" s="1"/>
      <c r="VT181" s="1"/>
      <c r="VU181" s="1"/>
      <c r="VV181" s="1"/>
      <c r="VW181" s="1"/>
      <c r="VX181" s="1"/>
      <c r="VY181" s="1"/>
      <c r="VZ181" s="1"/>
      <c r="WA181" s="1"/>
      <c r="WB181" s="1"/>
      <c r="WC181" s="1"/>
      <c r="WD181" s="1"/>
      <c r="WE181" s="1"/>
      <c r="WF181" s="1"/>
      <c r="WG181" s="1"/>
      <c r="WH181" s="1"/>
      <c r="WI181" s="1"/>
      <c r="WJ181" s="1"/>
      <c r="WK181" s="1"/>
      <c r="WL181" s="1"/>
      <c r="WM181" s="1"/>
      <c r="WN181" s="1"/>
      <c r="WO181" s="1"/>
      <c r="WP181" s="1"/>
      <c r="WQ181" s="1"/>
      <c r="WR181" s="1"/>
      <c r="WS181" s="1"/>
      <c r="WT181" s="1"/>
      <c r="WU181" s="1"/>
      <c r="WV181" s="1"/>
      <c r="WW181" s="1"/>
      <c r="WX181" s="1"/>
      <c r="WY181" s="1"/>
      <c r="WZ181" s="1"/>
      <c r="XA181" s="1"/>
      <c r="XB181" s="1"/>
      <c r="XC181" s="1"/>
      <c r="XD181" s="1"/>
      <c r="XE181" s="1"/>
      <c r="XF181" s="1"/>
      <c r="XG181" s="1"/>
      <c r="XH181" s="1"/>
      <c r="XI181" s="1"/>
      <c r="XJ181" s="1"/>
      <c r="XK181" s="1"/>
      <c r="XL181" s="1"/>
      <c r="XM181" s="1"/>
      <c r="XN181" s="1"/>
      <c r="XO181" s="1"/>
      <c r="XP181" s="1"/>
      <c r="XQ181" s="1"/>
      <c r="XR181" s="1"/>
      <c r="XS181" s="1"/>
      <c r="XT181" s="1"/>
      <c r="XU181" s="1"/>
      <c r="XV181" s="1"/>
      <c r="XW181" s="1"/>
      <c r="XX181" s="1"/>
      <c r="XY181" s="1"/>
      <c r="XZ181" s="1"/>
      <c r="YA181" s="1"/>
      <c r="YB181" s="1"/>
      <c r="YC181" s="1"/>
      <c r="YD181" s="1"/>
      <c r="YE181" s="1"/>
      <c r="YF181" s="1"/>
      <c r="YG181" s="1"/>
      <c r="YH181" s="1"/>
      <c r="YI181" s="1"/>
      <c r="YJ181" s="1"/>
      <c r="YK181" s="1"/>
      <c r="YL181" s="1"/>
      <c r="YM181" s="1"/>
      <c r="YN181" s="1"/>
      <c r="YO181" s="1"/>
      <c r="YP181" s="1"/>
      <c r="YQ181" s="1"/>
      <c r="YR181" s="1"/>
      <c r="YS181" s="1"/>
      <c r="YT181" s="1"/>
      <c r="YU181" s="1"/>
      <c r="YV181" s="1"/>
      <c r="YW181" s="1"/>
      <c r="YX181" s="1"/>
      <c r="YY181" s="1"/>
      <c r="YZ181" s="1"/>
      <c r="ZA181" s="1"/>
      <c r="ZB181" s="1"/>
      <c r="ZC181" s="1"/>
      <c r="ZD181" s="1"/>
      <c r="ZE181" s="1"/>
      <c r="ZF181" s="1"/>
      <c r="ZG181" s="1"/>
      <c r="ZH181" s="1"/>
      <c r="ZI181" s="1"/>
      <c r="ZJ181" s="1"/>
      <c r="ZK181" s="1"/>
      <c r="ZL181" s="1"/>
      <c r="ZM181" s="1"/>
      <c r="ZN181" s="1"/>
      <c r="ZO181" s="1"/>
      <c r="ZP181" s="1"/>
      <c r="ZQ181" s="1"/>
      <c r="ZR181" s="1"/>
      <c r="ZS181" s="1"/>
      <c r="ZT181" s="1"/>
      <c r="ZU181" s="1"/>
      <c r="ZV181" s="1"/>
      <c r="ZW181" s="1"/>
      <c r="ZX181" s="1"/>
      <c r="ZY181" s="1"/>
      <c r="ZZ181" s="1"/>
      <c r="AAA181" s="1"/>
      <c r="AAB181" s="1"/>
      <c r="AAC181" s="1"/>
      <c r="AAD181" s="1"/>
      <c r="AAE181" s="1"/>
      <c r="AAF181" s="1"/>
      <c r="AAG181" s="1"/>
      <c r="AAH181" s="1"/>
      <c r="AAI181" s="1"/>
      <c r="AAJ181" s="1"/>
      <c r="AAK181" s="1"/>
      <c r="AAL181" s="1"/>
      <c r="AAM181" s="1"/>
      <c r="AAN181" s="1"/>
      <c r="AAO181" s="1"/>
      <c r="AAP181" s="1"/>
      <c r="AAQ181" s="1"/>
      <c r="AAR181" s="1"/>
      <c r="AAS181" s="1"/>
      <c r="AAT181" s="1"/>
      <c r="AAU181" s="1"/>
      <c r="AAV181" s="1"/>
      <c r="AAW181" s="1"/>
      <c r="AAX181" s="1"/>
      <c r="AAY181" s="1"/>
      <c r="AAZ181" s="1"/>
      <c r="ABA181" s="1"/>
      <c r="ABB181" s="1"/>
      <c r="ABC181" s="1"/>
      <c r="ABD181" s="1"/>
      <c r="ABE181" s="1"/>
      <c r="ABF181" s="1"/>
      <c r="ABG181" s="1"/>
      <c r="ABH181" s="1"/>
      <c r="ABI181" s="1"/>
      <c r="ABJ181" s="1"/>
      <c r="ABK181" s="1"/>
      <c r="ABL181" s="1"/>
      <c r="ABM181" s="1"/>
      <c r="ABN181" s="1"/>
      <c r="ABO181" s="1"/>
      <c r="ABP181" s="1"/>
      <c r="ABQ181" s="1"/>
      <c r="ABR181" s="1"/>
      <c r="ABS181" s="1"/>
      <c r="ABT181" s="1"/>
      <c r="ABU181" s="1"/>
      <c r="ABV181" s="1"/>
      <c r="ABW181" s="1"/>
      <c r="ABX181" s="1"/>
      <c r="ABY181" s="1"/>
      <c r="ABZ181" s="1"/>
      <c r="ACA181" s="1"/>
      <c r="ACB181" s="1"/>
      <c r="ACC181" s="1"/>
      <c r="ACD181" s="1"/>
      <c r="ACE181" s="1"/>
      <c r="ACF181" s="1"/>
      <c r="ACG181" s="1"/>
      <c r="ACH181" s="1"/>
      <c r="ACI181" s="1"/>
      <c r="ACJ181" s="1"/>
      <c r="ACK181" s="1"/>
      <c r="ACL181" s="1"/>
      <c r="ACM181" s="1"/>
      <c r="ACN181" s="1"/>
      <c r="ACO181" s="1"/>
      <c r="ACP181" s="1"/>
      <c r="ACQ181" s="1"/>
      <c r="ACR181" s="1"/>
      <c r="ACS181" s="1"/>
      <c r="ACT181" s="1"/>
      <c r="ACU181" s="1"/>
      <c r="ACV181" s="1"/>
      <c r="ACW181" s="1"/>
      <c r="ACX181" s="1"/>
      <c r="ACY181" s="1"/>
      <c r="ACZ181" s="1"/>
      <c r="ADA181" s="1"/>
      <c r="ADB181" s="1"/>
      <c r="ADC181" s="1"/>
      <c r="ADD181" s="1"/>
      <c r="ADE181" s="1"/>
      <c r="ADF181" s="1"/>
      <c r="ADG181" s="1"/>
      <c r="ADH181" s="1"/>
      <c r="ADI181" s="1"/>
      <c r="ADJ181" s="1"/>
      <c r="ADK181" s="1"/>
      <c r="ADL181" s="1"/>
      <c r="ADM181" s="1"/>
      <c r="ADN181" s="1"/>
      <c r="ADO181" s="1"/>
      <c r="ADP181" s="1"/>
      <c r="ADQ181" s="1"/>
      <c r="ADR181" s="1"/>
      <c r="ADS181" s="1"/>
      <c r="ADT181" s="1"/>
      <c r="ADU181" s="1"/>
      <c r="ADV181" s="1"/>
      <c r="ADW181" s="1"/>
      <c r="ADX181" s="1"/>
      <c r="ADY181" s="1"/>
      <c r="ADZ181" s="1"/>
      <c r="AEA181" s="1"/>
      <c r="AEB181" s="1"/>
      <c r="AEC181" s="1"/>
      <c r="AED181" s="1"/>
      <c r="AEE181" s="1"/>
      <c r="AEF181" s="1"/>
      <c r="AEG181" s="1"/>
      <c r="AEH181" s="1"/>
      <c r="AEI181" s="1"/>
      <c r="AEJ181" s="1"/>
      <c r="AEK181" s="1"/>
      <c r="AEL181" s="1"/>
      <c r="AEM181" s="1"/>
      <c r="AEN181" s="1"/>
      <c r="AEO181" s="1"/>
      <c r="AEP181" s="1"/>
      <c r="AEQ181" s="1"/>
      <c r="AER181" s="1"/>
      <c r="AES181" s="1"/>
      <c r="AET181" s="1"/>
      <c r="AEU181" s="1"/>
      <c r="AEV181" s="1"/>
      <c r="AEW181" s="1"/>
      <c r="AEX181" s="1"/>
      <c r="AEY181" s="1"/>
      <c r="AEZ181" s="1"/>
      <c r="AFA181" s="1"/>
      <c r="AFB181" s="1"/>
      <c r="AFC181" s="1"/>
      <c r="AFD181" s="1"/>
      <c r="AFE181" s="1"/>
      <c r="AFF181" s="1"/>
      <c r="AFG181" s="1"/>
      <c r="AFH181" s="1"/>
      <c r="AFI181" s="1"/>
      <c r="AFJ181" s="1"/>
      <c r="AFK181" s="1"/>
      <c r="AFL181" s="1"/>
      <c r="AFM181" s="1"/>
      <c r="AFN181" s="1"/>
      <c r="AFO181" s="1"/>
      <c r="AFP181" s="1"/>
      <c r="AFQ181" s="1"/>
      <c r="AFR181" s="1"/>
      <c r="AFS181" s="1"/>
      <c r="AFT181" s="1"/>
      <c r="AFU181" s="1"/>
      <c r="AFV181" s="1"/>
      <c r="AFW181" s="1"/>
      <c r="AFX181" s="1"/>
      <c r="AFY181" s="1"/>
      <c r="AFZ181" s="1"/>
      <c r="AGA181" s="1"/>
      <c r="AGB181" s="1"/>
      <c r="AGC181" s="1"/>
      <c r="AGD181" s="1"/>
      <c r="AGE181" s="1"/>
      <c r="AGF181" s="1"/>
      <c r="AGG181" s="1"/>
      <c r="AGH181" s="1"/>
      <c r="AGI181" s="1"/>
      <c r="AGJ181" s="1"/>
      <c r="AGK181" s="1"/>
      <c r="AGL181" s="1"/>
      <c r="AGM181" s="1"/>
      <c r="AGN181" s="1"/>
      <c r="AGO181" s="1"/>
      <c r="AGP181" s="1"/>
      <c r="AGQ181" s="1"/>
      <c r="AGR181" s="1"/>
      <c r="AGS181" s="1"/>
      <c r="AGT181" s="1"/>
      <c r="AGU181" s="1"/>
      <c r="AGV181" s="1"/>
      <c r="AGW181" s="1"/>
      <c r="AGX181" s="1"/>
      <c r="AGY181" s="1"/>
      <c r="AGZ181" s="1"/>
      <c r="AHA181" s="1"/>
      <c r="AHB181" s="1"/>
      <c r="AHC181" s="1"/>
      <c r="AHD181" s="1"/>
      <c r="AHE181" s="1"/>
      <c r="AHF181" s="1"/>
      <c r="AHG181" s="1"/>
      <c r="AHH181" s="1"/>
      <c r="AHI181" s="1"/>
      <c r="AHJ181" s="1"/>
      <c r="AHK181" s="1"/>
      <c r="AHL181" s="1"/>
      <c r="AHM181" s="1"/>
      <c r="AHN181" s="1"/>
      <c r="AHO181" s="1"/>
      <c r="AHP181" s="1"/>
      <c r="AHQ181" s="1"/>
      <c r="AHR181" s="1"/>
      <c r="AHS181" s="1"/>
      <c r="AHT181" s="1"/>
      <c r="AHU181" s="1"/>
      <c r="AHV181" s="1"/>
      <c r="AHW181" s="1"/>
      <c r="AHX181" s="1"/>
      <c r="AHY181" s="1"/>
      <c r="AHZ181" s="1"/>
      <c r="AIA181" s="1"/>
      <c r="AIB181" s="1"/>
      <c r="AIC181" s="1"/>
      <c r="AID181" s="1"/>
      <c r="AIE181" s="1"/>
      <c r="AIF181" s="1"/>
      <c r="AIG181" s="1"/>
      <c r="AIH181" s="1"/>
      <c r="AII181" s="1"/>
      <c r="AIJ181" s="1"/>
      <c r="AIK181" s="1"/>
      <c r="AIL181" s="1"/>
      <c r="AIM181" s="1"/>
      <c r="AIN181" s="1"/>
      <c r="AIO181" s="1"/>
      <c r="AIP181" s="1"/>
      <c r="AIQ181" s="1"/>
      <c r="AIR181" s="1"/>
      <c r="AIS181" s="1"/>
      <c r="AIT181" s="1"/>
      <c r="AIU181" s="1"/>
      <c r="AIV181" s="1"/>
      <c r="AIW181" s="1"/>
      <c r="AIX181" s="1"/>
      <c r="AIY181" s="1"/>
      <c r="AIZ181" s="1"/>
      <c r="AJA181" s="1"/>
      <c r="AJB181" s="1"/>
      <c r="AJC181" s="1"/>
      <c r="AJD181" s="1"/>
      <c r="AJE181" s="1"/>
      <c r="AJF181" s="1"/>
      <c r="AJG181" s="1"/>
      <c r="AJH181" s="1"/>
      <c r="AJI181" s="1"/>
      <c r="AJJ181" s="1"/>
      <c r="AJK181" s="1"/>
      <c r="AJL181" s="1"/>
      <c r="AJM181" s="1"/>
      <c r="AJN181" s="1"/>
      <c r="AJO181" s="1"/>
      <c r="AJP181" s="1"/>
      <c r="AJQ181" s="1"/>
      <c r="AJR181" s="1"/>
      <c r="AJS181" s="1"/>
      <c r="AJT181" s="1"/>
      <c r="AJU181" s="1"/>
      <c r="AJV181" s="1"/>
      <c r="AJW181" s="1"/>
      <c r="AJX181" s="1"/>
      <c r="AJY181" s="1"/>
      <c r="AJZ181" s="1"/>
      <c r="AKA181" s="1"/>
      <c r="AKB181" s="1"/>
      <c r="AKC181" s="1"/>
      <c r="AKD181" s="1"/>
      <c r="AKE181" s="1"/>
      <c r="AKF181" s="1"/>
      <c r="AKG181" s="1"/>
      <c r="AKH181" s="1"/>
      <c r="AKI181" s="1"/>
      <c r="AKJ181" s="1"/>
      <c r="AKK181" s="1"/>
      <c r="AKL181" s="1"/>
      <c r="AKM181" s="1"/>
      <c r="AKN181" s="1"/>
      <c r="AKO181" s="1"/>
      <c r="AKP181" s="1"/>
      <c r="AKQ181" s="1"/>
      <c r="AKR181" s="1"/>
      <c r="AKS181" s="1"/>
      <c r="AKT181" s="1"/>
      <c r="AKU181" s="1"/>
      <c r="AKV181" s="1"/>
      <c r="AKW181" s="1"/>
      <c r="AKX181" s="1"/>
      <c r="AKY181" s="1"/>
      <c r="AKZ181" s="1"/>
      <c r="ALA181" s="1"/>
      <c r="ALB181" s="1"/>
      <c r="ALC181" s="1"/>
      <c r="ALD181" s="1"/>
      <c r="ALE181" s="1"/>
      <c r="ALF181" s="1"/>
      <c r="ALG181" s="1"/>
      <c r="ALH181" s="1"/>
      <c r="ALI181" s="1"/>
      <c r="ALJ181" s="1"/>
      <c r="ALK181" s="1"/>
      <c r="ALL181" s="1"/>
      <c r="ALM181" s="1"/>
      <c r="ALN181" s="1"/>
      <c r="ALO181" s="1"/>
      <c r="ALP181" s="1"/>
      <c r="ALQ181" s="1"/>
      <c r="ALR181" s="1"/>
      <c r="ALS181" s="1"/>
      <c r="ALT181" s="1"/>
      <c r="ALU181" s="1"/>
      <c r="ALV181" s="1"/>
      <c r="ALW181" s="1"/>
      <c r="ALX181" s="1"/>
      <c r="ALY181" s="1"/>
      <c r="ALZ181" s="1"/>
      <c r="AMA181" s="1"/>
      <c r="AMB181" s="1"/>
      <c r="AMC181" s="1"/>
      <c r="AMD181" s="1"/>
      <c r="AME181" s="1"/>
      <c r="AMF181" s="1"/>
      <c r="AMG181" s="1"/>
      <c r="AMH181" s="1"/>
      <c r="AMI181" s="1"/>
      <c r="AMJ181" s="1"/>
    </row>
    <row r="182" customFormat="false" ht="2.25" hidden="false" customHeight="true" outlineLevel="0" collapsed="false">
      <c r="A182" s="7"/>
      <c r="AO182" s="40"/>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c r="IY182" s="1"/>
      <c r="IZ182" s="1"/>
      <c r="JA182" s="1"/>
      <c r="JB182" s="1"/>
      <c r="JC182" s="1"/>
      <c r="JD182" s="1"/>
      <c r="JE182" s="1"/>
      <c r="JF182" s="1"/>
      <c r="JG182" s="1"/>
      <c r="JH182" s="1"/>
      <c r="JI182" s="1"/>
      <c r="JJ182" s="1"/>
      <c r="JK182" s="1"/>
      <c r="JL182" s="1"/>
      <c r="JM182" s="1"/>
      <c r="JN182" s="1"/>
      <c r="JO182" s="1"/>
      <c r="JP182" s="1"/>
      <c r="JQ182" s="1"/>
      <c r="JR182" s="1"/>
      <c r="JS182" s="1"/>
      <c r="JT182" s="1"/>
      <c r="JU182" s="1"/>
      <c r="JV182" s="1"/>
      <c r="JW182" s="1"/>
      <c r="JX182" s="1"/>
      <c r="JY182" s="1"/>
      <c r="JZ182" s="1"/>
      <c r="KA182" s="1"/>
      <c r="KB182" s="1"/>
      <c r="KC182" s="1"/>
      <c r="KD182" s="1"/>
      <c r="KE182" s="1"/>
      <c r="KF182" s="1"/>
      <c r="KG182" s="1"/>
      <c r="KH182" s="1"/>
      <c r="KI182" s="1"/>
      <c r="KJ182" s="1"/>
      <c r="KK182" s="1"/>
      <c r="KL182" s="1"/>
      <c r="KM182" s="1"/>
      <c r="KN182" s="1"/>
      <c r="KO182" s="1"/>
      <c r="KP182" s="1"/>
      <c r="KQ182" s="1"/>
      <c r="KR182" s="1"/>
      <c r="KS182" s="1"/>
      <c r="KT182" s="1"/>
      <c r="KU182" s="1"/>
      <c r="KV182" s="1"/>
      <c r="KW182" s="1"/>
      <c r="KX182" s="1"/>
      <c r="KY182" s="1"/>
      <c r="KZ182" s="1"/>
      <c r="LA182" s="1"/>
      <c r="LB182" s="1"/>
      <c r="LC182" s="1"/>
      <c r="LD182" s="1"/>
      <c r="LE182" s="1"/>
      <c r="LF182" s="1"/>
      <c r="LG182" s="1"/>
      <c r="LH182" s="1"/>
      <c r="LI182" s="1"/>
      <c r="LJ182" s="1"/>
      <c r="LK182" s="1"/>
      <c r="LL182" s="1"/>
      <c r="LM182" s="1"/>
      <c r="LN182" s="1"/>
      <c r="LO182" s="1"/>
      <c r="LP182" s="1"/>
      <c r="LQ182" s="1"/>
      <c r="LR182" s="1"/>
      <c r="LS182" s="1"/>
      <c r="LT182" s="1"/>
      <c r="LU182" s="1"/>
      <c r="LV182" s="1"/>
      <c r="LW182" s="1"/>
      <c r="LX182" s="1"/>
      <c r="LY182" s="1"/>
      <c r="LZ182" s="1"/>
      <c r="MA182" s="1"/>
      <c r="MB182" s="1"/>
      <c r="MC182" s="1"/>
      <c r="MD182" s="1"/>
      <c r="ME182" s="1"/>
      <c r="MF182" s="1"/>
      <c r="MG182" s="1"/>
      <c r="MH182" s="1"/>
      <c r="MI182" s="1"/>
      <c r="MJ182" s="1"/>
      <c r="MK182" s="1"/>
      <c r="ML182" s="1"/>
      <c r="MM182" s="1"/>
      <c r="MN182" s="1"/>
      <c r="MO182" s="1"/>
      <c r="MP182" s="1"/>
      <c r="MQ182" s="1"/>
      <c r="MR182" s="1"/>
      <c r="MS182" s="1"/>
      <c r="MT182" s="1"/>
      <c r="MU182" s="1"/>
      <c r="MV182" s="1"/>
      <c r="MW182" s="1"/>
      <c r="MX182" s="1"/>
      <c r="MY182" s="1"/>
      <c r="MZ182" s="1"/>
      <c r="NA182" s="1"/>
      <c r="NB182" s="1"/>
      <c r="NC182" s="1"/>
      <c r="ND182" s="1"/>
      <c r="NE182" s="1"/>
      <c r="NF182" s="1"/>
      <c r="NG182" s="1"/>
      <c r="NH182" s="1"/>
      <c r="NI182" s="1"/>
      <c r="NJ182" s="1"/>
      <c r="NK182" s="1"/>
      <c r="NL182" s="1"/>
      <c r="NM182" s="1"/>
      <c r="NN182" s="1"/>
      <c r="NO182" s="1"/>
      <c r="NP182" s="1"/>
      <c r="NQ182" s="1"/>
      <c r="NR182" s="1"/>
      <c r="NS182" s="1"/>
      <c r="NT182" s="1"/>
      <c r="NU182" s="1"/>
      <c r="NV182" s="1"/>
      <c r="NW182" s="1"/>
      <c r="NX182" s="1"/>
      <c r="NY182" s="1"/>
      <c r="NZ182" s="1"/>
      <c r="OA182" s="1"/>
      <c r="OB182" s="1"/>
      <c r="OC182" s="1"/>
      <c r="OD182" s="1"/>
      <c r="OE182" s="1"/>
      <c r="OF182" s="1"/>
      <c r="OG182" s="1"/>
      <c r="OH182" s="1"/>
      <c r="OI182" s="1"/>
      <c r="OJ182" s="1"/>
      <c r="OK182" s="1"/>
      <c r="OL182" s="1"/>
      <c r="OM182" s="1"/>
      <c r="ON182" s="1"/>
      <c r="OO182" s="1"/>
      <c r="OP182" s="1"/>
      <c r="OQ182" s="1"/>
      <c r="OR182" s="1"/>
      <c r="OS182" s="1"/>
      <c r="OT182" s="1"/>
      <c r="OU182" s="1"/>
      <c r="OV182" s="1"/>
      <c r="OW182" s="1"/>
      <c r="OX182" s="1"/>
      <c r="OY182" s="1"/>
      <c r="OZ182" s="1"/>
      <c r="PA182" s="1"/>
      <c r="PB182" s="1"/>
      <c r="PC182" s="1"/>
      <c r="PD182" s="1"/>
      <c r="PE182" s="1"/>
      <c r="PF182" s="1"/>
      <c r="PG182" s="1"/>
      <c r="PH182" s="1"/>
      <c r="PI182" s="1"/>
      <c r="PJ182" s="1"/>
      <c r="PK182" s="1"/>
      <c r="PL182" s="1"/>
      <c r="PM182" s="1"/>
      <c r="PN182" s="1"/>
      <c r="PO182" s="1"/>
      <c r="PP182" s="1"/>
      <c r="PQ182" s="1"/>
      <c r="PR182" s="1"/>
      <c r="PS182" s="1"/>
      <c r="PT182" s="1"/>
      <c r="PU182" s="1"/>
      <c r="PV182" s="1"/>
      <c r="PW182" s="1"/>
      <c r="PX182" s="1"/>
      <c r="PY182" s="1"/>
      <c r="PZ182" s="1"/>
      <c r="QA182" s="1"/>
      <c r="QB182" s="1"/>
      <c r="QC182" s="1"/>
      <c r="QD182" s="1"/>
      <c r="QE182" s="1"/>
      <c r="QF182" s="1"/>
      <c r="QG182" s="1"/>
      <c r="QH182" s="1"/>
      <c r="QI182" s="1"/>
      <c r="QJ182" s="1"/>
      <c r="QK182" s="1"/>
      <c r="QL182" s="1"/>
      <c r="QM182" s="1"/>
      <c r="QN182" s="1"/>
      <c r="QO182" s="1"/>
      <c r="QP182" s="1"/>
      <c r="QQ182" s="1"/>
      <c r="QR182" s="1"/>
      <c r="QS182" s="1"/>
      <c r="QT182" s="1"/>
      <c r="QU182" s="1"/>
      <c r="QV182" s="1"/>
      <c r="QW182" s="1"/>
      <c r="QX182" s="1"/>
      <c r="QY182" s="1"/>
      <c r="QZ182" s="1"/>
      <c r="RA182" s="1"/>
      <c r="RB182" s="1"/>
      <c r="RC182" s="1"/>
      <c r="RD182" s="1"/>
      <c r="RE182" s="1"/>
      <c r="RF182" s="1"/>
      <c r="RG182" s="1"/>
      <c r="RH182" s="1"/>
      <c r="RI182" s="1"/>
      <c r="RJ182" s="1"/>
      <c r="RK182" s="1"/>
      <c r="RL182" s="1"/>
      <c r="RM182" s="1"/>
      <c r="RN182" s="1"/>
      <c r="RO182" s="1"/>
      <c r="RP182" s="1"/>
      <c r="RQ182" s="1"/>
      <c r="RR182" s="1"/>
      <c r="RS182" s="1"/>
      <c r="RT182" s="1"/>
      <c r="RU182" s="1"/>
      <c r="RV182" s="1"/>
      <c r="RW182" s="1"/>
      <c r="RX182" s="1"/>
      <c r="RY182" s="1"/>
      <c r="RZ182" s="1"/>
      <c r="SA182" s="1"/>
      <c r="SB182" s="1"/>
      <c r="SC182" s="1"/>
      <c r="SD182" s="1"/>
      <c r="SE182" s="1"/>
      <c r="SF182" s="1"/>
      <c r="SG182" s="1"/>
      <c r="SH182" s="1"/>
      <c r="SI182" s="1"/>
      <c r="SJ182" s="1"/>
      <c r="SK182" s="1"/>
      <c r="SL182" s="1"/>
      <c r="SM182" s="1"/>
      <c r="SN182" s="1"/>
      <c r="SO182" s="1"/>
      <c r="SP182" s="1"/>
      <c r="SQ182" s="1"/>
      <c r="SR182" s="1"/>
      <c r="SS182" s="1"/>
      <c r="ST182" s="1"/>
      <c r="SU182" s="1"/>
      <c r="SV182" s="1"/>
      <c r="SW182" s="1"/>
      <c r="SX182" s="1"/>
      <c r="SY182" s="1"/>
      <c r="SZ182" s="1"/>
      <c r="TA182" s="1"/>
      <c r="TB182" s="1"/>
      <c r="TC182" s="1"/>
      <c r="TD182" s="1"/>
      <c r="TE182" s="1"/>
      <c r="TF182" s="1"/>
      <c r="TG182" s="1"/>
      <c r="TH182" s="1"/>
      <c r="TI182" s="1"/>
      <c r="TJ182" s="1"/>
      <c r="TK182" s="1"/>
      <c r="TL182" s="1"/>
      <c r="TM182" s="1"/>
      <c r="TN182" s="1"/>
      <c r="TO182" s="1"/>
      <c r="TP182" s="1"/>
      <c r="TQ182" s="1"/>
      <c r="TR182" s="1"/>
      <c r="TS182" s="1"/>
      <c r="TT182" s="1"/>
      <c r="TU182" s="1"/>
      <c r="TV182" s="1"/>
      <c r="TW182" s="1"/>
      <c r="TX182" s="1"/>
      <c r="TY182" s="1"/>
      <c r="TZ182" s="1"/>
      <c r="UA182" s="1"/>
      <c r="UB182" s="1"/>
      <c r="UC182" s="1"/>
      <c r="UD182" s="1"/>
      <c r="UE182" s="1"/>
      <c r="UF182" s="1"/>
      <c r="UG182" s="1"/>
      <c r="UH182" s="1"/>
      <c r="UI182" s="1"/>
      <c r="UJ182" s="1"/>
      <c r="UK182" s="1"/>
      <c r="UL182" s="1"/>
      <c r="UM182" s="1"/>
      <c r="UN182" s="1"/>
      <c r="UO182" s="1"/>
      <c r="UP182" s="1"/>
      <c r="UQ182" s="1"/>
      <c r="UR182" s="1"/>
      <c r="US182" s="1"/>
      <c r="UT182" s="1"/>
      <c r="UU182" s="1"/>
      <c r="UV182" s="1"/>
      <c r="UW182" s="1"/>
      <c r="UX182" s="1"/>
      <c r="UY182" s="1"/>
      <c r="UZ182" s="1"/>
      <c r="VA182" s="1"/>
      <c r="VB182" s="1"/>
      <c r="VC182" s="1"/>
      <c r="VD182" s="1"/>
      <c r="VE182" s="1"/>
      <c r="VF182" s="1"/>
      <c r="VG182" s="1"/>
      <c r="VH182" s="1"/>
      <c r="VI182" s="1"/>
      <c r="VJ182" s="1"/>
      <c r="VK182" s="1"/>
      <c r="VL182" s="1"/>
      <c r="VM182" s="1"/>
      <c r="VN182" s="1"/>
      <c r="VO182" s="1"/>
      <c r="VP182" s="1"/>
      <c r="VQ182" s="1"/>
      <c r="VR182" s="1"/>
      <c r="VS182" s="1"/>
      <c r="VT182" s="1"/>
      <c r="VU182" s="1"/>
      <c r="VV182" s="1"/>
      <c r="VW182" s="1"/>
      <c r="VX182" s="1"/>
      <c r="VY182" s="1"/>
      <c r="VZ182" s="1"/>
      <c r="WA182" s="1"/>
      <c r="WB182" s="1"/>
      <c r="WC182" s="1"/>
      <c r="WD182" s="1"/>
      <c r="WE182" s="1"/>
      <c r="WF182" s="1"/>
      <c r="WG182" s="1"/>
      <c r="WH182" s="1"/>
      <c r="WI182" s="1"/>
      <c r="WJ182" s="1"/>
      <c r="WK182" s="1"/>
      <c r="WL182" s="1"/>
      <c r="WM182" s="1"/>
      <c r="WN182" s="1"/>
      <c r="WO182" s="1"/>
      <c r="WP182" s="1"/>
      <c r="WQ182" s="1"/>
      <c r="WR182" s="1"/>
      <c r="WS182" s="1"/>
      <c r="WT182" s="1"/>
      <c r="WU182" s="1"/>
      <c r="WV182" s="1"/>
      <c r="WW182" s="1"/>
      <c r="WX182" s="1"/>
      <c r="WY182" s="1"/>
      <c r="WZ182" s="1"/>
      <c r="XA182" s="1"/>
      <c r="XB182" s="1"/>
      <c r="XC182" s="1"/>
      <c r="XD182" s="1"/>
      <c r="XE182" s="1"/>
      <c r="XF182" s="1"/>
      <c r="XG182" s="1"/>
      <c r="XH182" s="1"/>
      <c r="XI182" s="1"/>
      <c r="XJ182" s="1"/>
      <c r="XK182" s="1"/>
      <c r="XL182" s="1"/>
      <c r="XM182" s="1"/>
      <c r="XN182" s="1"/>
      <c r="XO182" s="1"/>
      <c r="XP182" s="1"/>
      <c r="XQ182" s="1"/>
      <c r="XR182" s="1"/>
      <c r="XS182" s="1"/>
      <c r="XT182" s="1"/>
      <c r="XU182" s="1"/>
      <c r="XV182" s="1"/>
      <c r="XW182" s="1"/>
      <c r="XX182" s="1"/>
      <c r="XY182" s="1"/>
      <c r="XZ182" s="1"/>
      <c r="YA182" s="1"/>
      <c r="YB182" s="1"/>
      <c r="YC182" s="1"/>
      <c r="YD182" s="1"/>
      <c r="YE182" s="1"/>
      <c r="YF182" s="1"/>
      <c r="YG182" s="1"/>
      <c r="YH182" s="1"/>
      <c r="YI182" s="1"/>
      <c r="YJ182" s="1"/>
      <c r="YK182" s="1"/>
      <c r="YL182" s="1"/>
      <c r="YM182" s="1"/>
      <c r="YN182" s="1"/>
      <c r="YO182" s="1"/>
      <c r="YP182" s="1"/>
      <c r="YQ182" s="1"/>
      <c r="YR182" s="1"/>
      <c r="YS182" s="1"/>
      <c r="YT182" s="1"/>
      <c r="YU182" s="1"/>
      <c r="YV182" s="1"/>
      <c r="YW182" s="1"/>
      <c r="YX182" s="1"/>
      <c r="YY182" s="1"/>
      <c r="YZ182" s="1"/>
      <c r="ZA182" s="1"/>
      <c r="ZB182" s="1"/>
      <c r="ZC182" s="1"/>
      <c r="ZD182" s="1"/>
      <c r="ZE182" s="1"/>
      <c r="ZF182" s="1"/>
      <c r="ZG182" s="1"/>
      <c r="ZH182" s="1"/>
      <c r="ZI182" s="1"/>
      <c r="ZJ182" s="1"/>
      <c r="ZK182" s="1"/>
      <c r="ZL182" s="1"/>
      <c r="ZM182" s="1"/>
      <c r="ZN182" s="1"/>
      <c r="ZO182" s="1"/>
      <c r="ZP182" s="1"/>
      <c r="ZQ182" s="1"/>
      <c r="ZR182" s="1"/>
      <c r="ZS182" s="1"/>
      <c r="ZT182" s="1"/>
      <c r="ZU182" s="1"/>
      <c r="ZV182" s="1"/>
      <c r="ZW182" s="1"/>
      <c r="ZX182" s="1"/>
      <c r="ZY182" s="1"/>
      <c r="ZZ182" s="1"/>
      <c r="AAA182" s="1"/>
      <c r="AAB182" s="1"/>
      <c r="AAC182" s="1"/>
      <c r="AAD182" s="1"/>
      <c r="AAE182" s="1"/>
      <c r="AAF182" s="1"/>
      <c r="AAG182" s="1"/>
      <c r="AAH182" s="1"/>
      <c r="AAI182" s="1"/>
      <c r="AAJ182" s="1"/>
      <c r="AAK182" s="1"/>
      <c r="AAL182" s="1"/>
      <c r="AAM182" s="1"/>
      <c r="AAN182" s="1"/>
      <c r="AAO182" s="1"/>
      <c r="AAP182" s="1"/>
      <c r="AAQ182" s="1"/>
      <c r="AAR182" s="1"/>
      <c r="AAS182" s="1"/>
      <c r="AAT182" s="1"/>
      <c r="AAU182" s="1"/>
      <c r="AAV182" s="1"/>
      <c r="AAW182" s="1"/>
      <c r="AAX182" s="1"/>
      <c r="AAY182" s="1"/>
      <c r="AAZ182" s="1"/>
      <c r="ABA182" s="1"/>
      <c r="ABB182" s="1"/>
      <c r="ABC182" s="1"/>
      <c r="ABD182" s="1"/>
      <c r="ABE182" s="1"/>
      <c r="ABF182" s="1"/>
      <c r="ABG182" s="1"/>
      <c r="ABH182" s="1"/>
      <c r="ABI182" s="1"/>
      <c r="ABJ182" s="1"/>
      <c r="ABK182" s="1"/>
      <c r="ABL182" s="1"/>
      <c r="ABM182" s="1"/>
      <c r="ABN182" s="1"/>
      <c r="ABO182" s="1"/>
      <c r="ABP182" s="1"/>
      <c r="ABQ182" s="1"/>
      <c r="ABR182" s="1"/>
      <c r="ABS182" s="1"/>
      <c r="ABT182" s="1"/>
      <c r="ABU182" s="1"/>
      <c r="ABV182" s="1"/>
      <c r="ABW182" s="1"/>
      <c r="ABX182" s="1"/>
      <c r="ABY182" s="1"/>
      <c r="ABZ182" s="1"/>
      <c r="ACA182" s="1"/>
      <c r="ACB182" s="1"/>
      <c r="ACC182" s="1"/>
      <c r="ACD182" s="1"/>
      <c r="ACE182" s="1"/>
      <c r="ACF182" s="1"/>
      <c r="ACG182" s="1"/>
      <c r="ACH182" s="1"/>
      <c r="ACI182" s="1"/>
      <c r="ACJ182" s="1"/>
      <c r="ACK182" s="1"/>
      <c r="ACL182" s="1"/>
      <c r="ACM182" s="1"/>
      <c r="ACN182" s="1"/>
      <c r="ACO182" s="1"/>
      <c r="ACP182" s="1"/>
      <c r="ACQ182" s="1"/>
      <c r="ACR182" s="1"/>
      <c r="ACS182" s="1"/>
      <c r="ACT182" s="1"/>
      <c r="ACU182" s="1"/>
      <c r="ACV182" s="1"/>
      <c r="ACW182" s="1"/>
      <c r="ACX182" s="1"/>
      <c r="ACY182" s="1"/>
      <c r="ACZ182" s="1"/>
      <c r="ADA182" s="1"/>
      <c r="ADB182" s="1"/>
      <c r="ADC182" s="1"/>
      <c r="ADD182" s="1"/>
      <c r="ADE182" s="1"/>
      <c r="ADF182" s="1"/>
      <c r="ADG182" s="1"/>
      <c r="ADH182" s="1"/>
      <c r="ADI182" s="1"/>
      <c r="ADJ182" s="1"/>
      <c r="ADK182" s="1"/>
      <c r="ADL182" s="1"/>
      <c r="ADM182" s="1"/>
      <c r="ADN182" s="1"/>
      <c r="ADO182" s="1"/>
      <c r="ADP182" s="1"/>
      <c r="ADQ182" s="1"/>
      <c r="ADR182" s="1"/>
      <c r="ADS182" s="1"/>
      <c r="ADT182" s="1"/>
      <c r="ADU182" s="1"/>
      <c r="ADV182" s="1"/>
      <c r="ADW182" s="1"/>
      <c r="ADX182" s="1"/>
      <c r="ADY182" s="1"/>
      <c r="ADZ182" s="1"/>
      <c r="AEA182" s="1"/>
      <c r="AEB182" s="1"/>
      <c r="AEC182" s="1"/>
      <c r="AED182" s="1"/>
      <c r="AEE182" s="1"/>
      <c r="AEF182" s="1"/>
      <c r="AEG182" s="1"/>
      <c r="AEH182" s="1"/>
      <c r="AEI182" s="1"/>
      <c r="AEJ182" s="1"/>
      <c r="AEK182" s="1"/>
      <c r="AEL182" s="1"/>
      <c r="AEM182" s="1"/>
      <c r="AEN182" s="1"/>
      <c r="AEO182" s="1"/>
      <c r="AEP182" s="1"/>
      <c r="AEQ182" s="1"/>
      <c r="AER182" s="1"/>
      <c r="AES182" s="1"/>
      <c r="AET182" s="1"/>
      <c r="AEU182" s="1"/>
      <c r="AEV182" s="1"/>
      <c r="AEW182" s="1"/>
      <c r="AEX182" s="1"/>
      <c r="AEY182" s="1"/>
      <c r="AEZ182" s="1"/>
      <c r="AFA182" s="1"/>
      <c r="AFB182" s="1"/>
      <c r="AFC182" s="1"/>
      <c r="AFD182" s="1"/>
      <c r="AFE182" s="1"/>
      <c r="AFF182" s="1"/>
      <c r="AFG182" s="1"/>
      <c r="AFH182" s="1"/>
      <c r="AFI182" s="1"/>
      <c r="AFJ182" s="1"/>
      <c r="AFK182" s="1"/>
      <c r="AFL182" s="1"/>
      <c r="AFM182" s="1"/>
      <c r="AFN182" s="1"/>
      <c r="AFO182" s="1"/>
      <c r="AFP182" s="1"/>
      <c r="AFQ182" s="1"/>
      <c r="AFR182" s="1"/>
      <c r="AFS182" s="1"/>
      <c r="AFT182" s="1"/>
      <c r="AFU182" s="1"/>
      <c r="AFV182" s="1"/>
      <c r="AFW182" s="1"/>
      <c r="AFX182" s="1"/>
      <c r="AFY182" s="1"/>
      <c r="AFZ182" s="1"/>
      <c r="AGA182" s="1"/>
      <c r="AGB182" s="1"/>
      <c r="AGC182" s="1"/>
      <c r="AGD182" s="1"/>
      <c r="AGE182" s="1"/>
      <c r="AGF182" s="1"/>
      <c r="AGG182" s="1"/>
      <c r="AGH182" s="1"/>
      <c r="AGI182" s="1"/>
      <c r="AGJ182" s="1"/>
      <c r="AGK182" s="1"/>
      <c r="AGL182" s="1"/>
      <c r="AGM182" s="1"/>
      <c r="AGN182" s="1"/>
      <c r="AGO182" s="1"/>
      <c r="AGP182" s="1"/>
      <c r="AGQ182" s="1"/>
      <c r="AGR182" s="1"/>
      <c r="AGS182" s="1"/>
      <c r="AGT182" s="1"/>
      <c r="AGU182" s="1"/>
      <c r="AGV182" s="1"/>
      <c r="AGW182" s="1"/>
      <c r="AGX182" s="1"/>
      <c r="AGY182" s="1"/>
      <c r="AGZ182" s="1"/>
      <c r="AHA182" s="1"/>
      <c r="AHB182" s="1"/>
      <c r="AHC182" s="1"/>
      <c r="AHD182" s="1"/>
      <c r="AHE182" s="1"/>
      <c r="AHF182" s="1"/>
      <c r="AHG182" s="1"/>
      <c r="AHH182" s="1"/>
      <c r="AHI182" s="1"/>
      <c r="AHJ182" s="1"/>
      <c r="AHK182" s="1"/>
      <c r="AHL182" s="1"/>
      <c r="AHM182" s="1"/>
      <c r="AHN182" s="1"/>
      <c r="AHO182" s="1"/>
      <c r="AHP182" s="1"/>
      <c r="AHQ182" s="1"/>
      <c r="AHR182" s="1"/>
      <c r="AHS182" s="1"/>
      <c r="AHT182" s="1"/>
      <c r="AHU182" s="1"/>
      <c r="AHV182" s="1"/>
      <c r="AHW182" s="1"/>
      <c r="AHX182" s="1"/>
      <c r="AHY182" s="1"/>
      <c r="AHZ182" s="1"/>
      <c r="AIA182" s="1"/>
      <c r="AIB182" s="1"/>
      <c r="AIC182" s="1"/>
      <c r="AID182" s="1"/>
      <c r="AIE182" s="1"/>
      <c r="AIF182" s="1"/>
      <c r="AIG182" s="1"/>
      <c r="AIH182" s="1"/>
      <c r="AII182" s="1"/>
      <c r="AIJ182" s="1"/>
      <c r="AIK182" s="1"/>
      <c r="AIL182" s="1"/>
      <c r="AIM182" s="1"/>
      <c r="AIN182" s="1"/>
      <c r="AIO182" s="1"/>
      <c r="AIP182" s="1"/>
      <c r="AIQ182" s="1"/>
      <c r="AIR182" s="1"/>
      <c r="AIS182" s="1"/>
      <c r="AIT182" s="1"/>
      <c r="AIU182" s="1"/>
      <c r="AIV182" s="1"/>
      <c r="AIW182" s="1"/>
      <c r="AIX182" s="1"/>
      <c r="AIY182" s="1"/>
      <c r="AIZ182" s="1"/>
      <c r="AJA182" s="1"/>
      <c r="AJB182" s="1"/>
      <c r="AJC182" s="1"/>
      <c r="AJD182" s="1"/>
      <c r="AJE182" s="1"/>
      <c r="AJF182" s="1"/>
      <c r="AJG182" s="1"/>
      <c r="AJH182" s="1"/>
      <c r="AJI182" s="1"/>
      <c r="AJJ182" s="1"/>
      <c r="AJK182" s="1"/>
      <c r="AJL182" s="1"/>
      <c r="AJM182" s="1"/>
      <c r="AJN182" s="1"/>
      <c r="AJO182" s="1"/>
      <c r="AJP182" s="1"/>
      <c r="AJQ182" s="1"/>
      <c r="AJR182" s="1"/>
      <c r="AJS182" s="1"/>
      <c r="AJT182" s="1"/>
      <c r="AJU182" s="1"/>
      <c r="AJV182" s="1"/>
      <c r="AJW182" s="1"/>
      <c r="AJX182" s="1"/>
      <c r="AJY182" s="1"/>
      <c r="AJZ182" s="1"/>
      <c r="AKA182" s="1"/>
      <c r="AKB182" s="1"/>
      <c r="AKC182" s="1"/>
      <c r="AKD182" s="1"/>
      <c r="AKE182" s="1"/>
      <c r="AKF182" s="1"/>
      <c r="AKG182" s="1"/>
      <c r="AKH182" s="1"/>
      <c r="AKI182" s="1"/>
      <c r="AKJ182" s="1"/>
      <c r="AKK182" s="1"/>
      <c r="AKL182" s="1"/>
      <c r="AKM182" s="1"/>
      <c r="AKN182" s="1"/>
      <c r="AKO182" s="1"/>
      <c r="AKP182" s="1"/>
      <c r="AKQ182" s="1"/>
      <c r="AKR182" s="1"/>
      <c r="AKS182" s="1"/>
      <c r="AKT182" s="1"/>
      <c r="AKU182" s="1"/>
      <c r="AKV182" s="1"/>
      <c r="AKW182" s="1"/>
      <c r="AKX182" s="1"/>
      <c r="AKY182" s="1"/>
      <c r="AKZ182" s="1"/>
      <c r="ALA182" s="1"/>
      <c r="ALB182" s="1"/>
      <c r="ALC182" s="1"/>
      <c r="ALD182" s="1"/>
      <c r="ALE182" s="1"/>
      <c r="ALF182" s="1"/>
      <c r="ALG182" s="1"/>
      <c r="ALH182" s="1"/>
      <c r="ALI182" s="1"/>
      <c r="ALJ182" s="1"/>
      <c r="ALK182" s="1"/>
      <c r="ALL182" s="1"/>
      <c r="ALM182" s="1"/>
      <c r="ALN182" s="1"/>
      <c r="ALO182" s="1"/>
      <c r="ALP182" s="1"/>
      <c r="ALQ182" s="1"/>
      <c r="ALR182" s="1"/>
      <c r="ALS182" s="1"/>
      <c r="ALT182" s="1"/>
      <c r="ALU182" s="1"/>
      <c r="ALV182" s="1"/>
      <c r="ALW182" s="1"/>
      <c r="ALX182" s="1"/>
      <c r="ALY182" s="1"/>
      <c r="ALZ182" s="1"/>
      <c r="AMA182" s="1"/>
      <c r="AMB182" s="1"/>
      <c r="AMC182" s="1"/>
      <c r="AMD182" s="1"/>
      <c r="AME182" s="1"/>
      <c r="AMF182" s="1"/>
      <c r="AMG182" s="1"/>
      <c r="AMH182" s="1"/>
      <c r="AMI182" s="1"/>
      <c r="AMJ182" s="1"/>
    </row>
    <row r="183" customFormat="false" ht="2.25" hidden="false" customHeight="true" outlineLevel="0" collapsed="false">
      <c r="A183" s="7"/>
      <c r="AO183" s="40"/>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c r="IY183" s="1"/>
      <c r="IZ183" s="1"/>
      <c r="JA183" s="1"/>
      <c r="JB183" s="1"/>
      <c r="JC183" s="1"/>
      <c r="JD183" s="1"/>
      <c r="JE183" s="1"/>
      <c r="JF183" s="1"/>
      <c r="JG183" s="1"/>
      <c r="JH183" s="1"/>
      <c r="JI183" s="1"/>
      <c r="JJ183" s="1"/>
      <c r="JK183" s="1"/>
      <c r="JL183" s="1"/>
      <c r="JM183" s="1"/>
      <c r="JN183" s="1"/>
      <c r="JO183" s="1"/>
      <c r="JP183" s="1"/>
      <c r="JQ183" s="1"/>
      <c r="JR183" s="1"/>
      <c r="JS183" s="1"/>
      <c r="JT183" s="1"/>
      <c r="JU183" s="1"/>
      <c r="JV183" s="1"/>
      <c r="JW183" s="1"/>
      <c r="JX183" s="1"/>
      <c r="JY183" s="1"/>
      <c r="JZ183" s="1"/>
      <c r="KA183" s="1"/>
      <c r="KB183" s="1"/>
      <c r="KC183" s="1"/>
      <c r="KD183" s="1"/>
      <c r="KE183" s="1"/>
      <c r="KF183" s="1"/>
      <c r="KG183" s="1"/>
      <c r="KH183" s="1"/>
      <c r="KI183" s="1"/>
      <c r="KJ183" s="1"/>
      <c r="KK183" s="1"/>
      <c r="KL183" s="1"/>
      <c r="KM183" s="1"/>
      <c r="KN183" s="1"/>
      <c r="KO183" s="1"/>
      <c r="KP183" s="1"/>
      <c r="KQ183" s="1"/>
      <c r="KR183" s="1"/>
      <c r="KS183" s="1"/>
      <c r="KT183" s="1"/>
      <c r="KU183" s="1"/>
      <c r="KV183" s="1"/>
      <c r="KW183" s="1"/>
      <c r="KX183" s="1"/>
      <c r="KY183" s="1"/>
      <c r="KZ183" s="1"/>
      <c r="LA183" s="1"/>
      <c r="LB183" s="1"/>
      <c r="LC183" s="1"/>
      <c r="LD183" s="1"/>
      <c r="LE183" s="1"/>
      <c r="LF183" s="1"/>
      <c r="LG183" s="1"/>
      <c r="LH183" s="1"/>
      <c r="LI183" s="1"/>
      <c r="LJ183" s="1"/>
      <c r="LK183" s="1"/>
      <c r="LL183" s="1"/>
      <c r="LM183" s="1"/>
      <c r="LN183" s="1"/>
      <c r="LO183" s="1"/>
      <c r="LP183" s="1"/>
      <c r="LQ183" s="1"/>
      <c r="LR183" s="1"/>
      <c r="LS183" s="1"/>
      <c r="LT183" s="1"/>
      <c r="LU183" s="1"/>
      <c r="LV183" s="1"/>
      <c r="LW183" s="1"/>
      <c r="LX183" s="1"/>
      <c r="LY183" s="1"/>
      <c r="LZ183" s="1"/>
      <c r="MA183" s="1"/>
      <c r="MB183" s="1"/>
      <c r="MC183" s="1"/>
      <c r="MD183" s="1"/>
      <c r="ME183" s="1"/>
      <c r="MF183" s="1"/>
      <c r="MG183" s="1"/>
      <c r="MH183" s="1"/>
      <c r="MI183" s="1"/>
      <c r="MJ183" s="1"/>
      <c r="MK183" s="1"/>
      <c r="ML183" s="1"/>
      <c r="MM183" s="1"/>
      <c r="MN183" s="1"/>
      <c r="MO183" s="1"/>
      <c r="MP183" s="1"/>
      <c r="MQ183" s="1"/>
      <c r="MR183" s="1"/>
      <c r="MS183" s="1"/>
      <c r="MT183" s="1"/>
      <c r="MU183" s="1"/>
      <c r="MV183" s="1"/>
      <c r="MW183" s="1"/>
      <c r="MX183" s="1"/>
      <c r="MY183" s="1"/>
      <c r="MZ183" s="1"/>
      <c r="NA183" s="1"/>
      <c r="NB183" s="1"/>
      <c r="NC183" s="1"/>
      <c r="ND183" s="1"/>
      <c r="NE183" s="1"/>
      <c r="NF183" s="1"/>
      <c r="NG183" s="1"/>
      <c r="NH183" s="1"/>
      <c r="NI183" s="1"/>
      <c r="NJ183" s="1"/>
      <c r="NK183" s="1"/>
      <c r="NL183" s="1"/>
      <c r="NM183" s="1"/>
      <c r="NN183" s="1"/>
      <c r="NO183" s="1"/>
      <c r="NP183" s="1"/>
      <c r="NQ183" s="1"/>
      <c r="NR183" s="1"/>
      <c r="NS183" s="1"/>
      <c r="NT183" s="1"/>
      <c r="NU183" s="1"/>
      <c r="NV183" s="1"/>
      <c r="NW183" s="1"/>
      <c r="NX183" s="1"/>
      <c r="NY183" s="1"/>
      <c r="NZ183" s="1"/>
      <c r="OA183" s="1"/>
      <c r="OB183" s="1"/>
      <c r="OC183" s="1"/>
      <c r="OD183" s="1"/>
      <c r="OE183" s="1"/>
      <c r="OF183" s="1"/>
      <c r="OG183" s="1"/>
      <c r="OH183" s="1"/>
      <c r="OI183" s="1"/>
      <c r="OJ183" s="1"/>
      <c r="OK183" s="1"/>
      <c r="OL183" s="1"/>
      <c r="OM183" s="1"/>
      <c r="ON183" s="1"/>
      <c r="OO183" s="1"/>
      <c r="OP183" s="1"/>
      <c r="OQ183" s="1"/>
      <c r="OR183" s="1"/>
      <c r="OS183" s="1"/>
      <c r="OT183" s="1"/>
      <c r="OU183" s="1"/>
      <c r="OV183" s="1"/>
      <c r="OW183" s="1"/>
      <c r="OX183" s="1"/>
      <c r="OY183" s="1"/>
      <c r="OZ183" s="1"/>
      <c r="PA183" s="1"/>
      <c r="PB183" s="1"/>
      <c r="PC183" s="1"/>
      <c r="PD183" s="1"/>
      <c r="PE183" s="1"/>
      <c r="PF183" s="1"/>
      <c r="PG183" s="1"/>
      <c r="PH183" s="1"/>
      <c r="PI183" s="1"/>
      <c r="PJ183" s="1"/>
      <c r="PK183" s="1"/>
      <c r="PL183" s="1"/>
      <c r="PM183" s="1"/>
      <c r="PN183" s="1"/>
      <c r="PO183" s="1"/>
      <c r="PP183" s="1"/>
      <c r="PQ183" s="1"/>
      <c r="PR183" s="1"/>
      <c r="PS183" s="1"/>
      <c r="PT183" s="1"/>
      <c r="PU183" s="1"/>
      <c r="PV183" s="1"/>
      <c r="PW183" s="1"/>
      <c r="PX183" s="1"/>
      <c r="PY183" s="1"/>
      <c r="PZ183" s="1"/>
      <c r="QA183" s="1"/>
      <c r="QB183" s="1"/>
      <c r="QC183" s="1"/>
      <c r="QD183" s="1"/>
      <c r="QE183" s="1"/>
      <c r="QF183" s="1"/>
      <c r="QG183" s="1"/>
      <c r="QH183" s="1"/>
      <c r="QI183" s="1"/>
      <c r="QJ183" s="1"/>
      <c r="QK183" s="1"/>
      <c r="QL183" s="1"/>
      <c r="QM183" s="1"/>
      <c r="QN183" s="1"/>
      <c r="QO183" s="1"/>
      <c r="QP183" s="1"/>
      <c r="QQ183" s="1"/>
      <c r="QR183" s="1"/>
      <c r="QS183" s="1"/>
      <c r="QT183" s="1"/>
      <c r="QU183" s="1"/>
      <c r="QV183" s="1"/>
      <c r="QW183" s="1"/>
      <c r="QX183" s="1"/>
      <c r="QY183" s="1"/>
      <c r="QZ183" s="1"/>
      <c r="RA183" s="1"/>
      <c r="RB183" s="1"/>
      <c r="RC183" s="1"/>
      <c r="RD183" s="1"/>
      <c r="RE183" s="1"/>
      <c r="RF183" s="1"/>
      <c r="RG183" s="1"/>
      <c r="RH183" s="1"/>
      <c r="RI183" s="1"/>
      <c r="RJ183" s="1"/>
      <c r="RK183" s="1"/>
      <c r="RL183" s="1"/>
      <c r="RM183" s="1"/>
      <c r="RN183" s="1"/>
      <c r="RO183" s="1"/>
      <c r="RP183" s="1"/>
      <c r="RQ183" s="1"/>
      <c r="RR183" s="1"/>
      <c r="RS183" s="1"/>
      <c r="RT183" s="1"/>
      <c r="RU183" s="1"/>
      <c r="RV183" s="1"/>
      <c r="RW183" s="1"/>
      <c r="RX183" s="1"/>
      <c r="RY183" s="1"/>
      <c r="RZ183" s="1"/>
      <c r="SA183" s="1"/>
      <c r="SB183" s="1"/>
      <c r="SC183" s="1"/>
      <c r="SD183" s="1"/>
      <c r="SE183" s="1"/>
      <c r="SF183" s="1"/>
      <c r="SG183" s="1"/>
      <c r="SH183" s="1"/>
      <c r="SI183" s="1"/>
      <c r="SJ183" s="1"/>
      <c r="SK183" s="1"/>
      <c r="SL183" s="1"/>
      <c r="SM183" s="1"/>
      <c r="SN183" s="1"/>
      <c r="SO183" s="1"/>
      <c r="SP183" s="1"/>
      <c r="SQ183" s="1"/>
      <c r="SR183" s="1"/>
      <c r="SS183" s="1"/>
      <c r="ST183" s="1"/>
      <c r="SU183" s="1"/>
      <c r="SV183" s="1"/>
      <c r="SW183" s="1"/>
      <c r="SX183" s="1"/>
      <c r="SY183" s="1"/>
      <c r="SZ183" s="1"/>
      <c r="TA183" s="1"/>
      <c r="TB183" s="1"/>
      <c r="TC183" s="1"/>
      <c r="TD183" s="1"/>
      <c r="TE183" s="1"/>
      <c r="TF183" s="1"/>
      <c r="TG183" s="1"/>
      <c r="TH183" s="1"/>
      <c r="TI183" s="1"/>
      <c r="TJ183" s="1"/>
      <c r="TK183" s="1"/>
      <c r="TL183" s="1"/>
      <c r="TM183" s="1"/>
      <c r="TN183" s="1"/>
      <c r="TO183" s="1"/>
      <c r="TP183" s="1"/>
      <c r="TQ183" s="1"/>
      <c r="TR183" s="1"/>
      <c r="TS183" s="1"/>
      <c r="TT183" s="1"/>
      <c r="TU183" s="1"/>
      <c r="TV183" s="1"/>
      <c r="TW183" s="1"/>
      <c r="TX183" s="1"/>
      <c r="TY183" s="1"/>
      <c r="TZ183" s="1"/>
      <c r="UA183" s="1"/>
      <c r="UB183" s="1"/>
      <c r="UC183" s="1"/>
      <c r="UD183" s="1"/>
      <c r="UE183" s="1"/>
      <c r="UF183" s="1"/>
      <c r="UG183" s="1"/>
      <c r="UH183" s="1"/>
      <c r="UI183" s="1"/>
      <c r="UJ183" s="1"/>
      <c r="UK183" s="1"/>
      <c r="UL183" s="1"/>
      <c r="UM183" s="1"/>
      <c r="UN183" s="1"/>
      <c r="UO183" s="1"/>
      <c r="UP183" s="1"/>
      <c r="UQ183" s="1"/>
      <c r="UR183" s="1"/>
      <c r="US183" s="1"/>
      <c r="UT183" s="1"/>
      <c r="UU183" s="1"/>
      <c r="UV183" s="1"/>
      <c r="UW183" s="1"/>
      <c r="UX183" s="1"/>
      <c r="UY183" s="1"/>
      <c r="UZ183" s="1"/>
      <c r="VA183" s="1"/>
      <c r="VB183" s="1"/>
      <c r="VC183" s="1"/>
      <c r="VD183" s="1"/>
      <c r="VE183" s="1"/>
      <c r="VF183" s="1"/>
      <c r="VG183" s="1"/>
      <c r="VH183" s="1"/>
      <c r="VI183" s="1"/>
      <c r="VJ183" s="1"/>
      <c r="VK183" s="1"/>
      <c r="VL183" s="1"/>
      <c r="VM183" s="1"/>
      <c r="VN183" s="1"/>
      <c r="VO183" s="1"/>
      <c r="VP183" s="1"/>
      <c r="VQ183" s="1"/>
      <c r="VR183" s="1"/>
      <c r="VS183" s="1"/>
      <c r="VT183" s="1"/>
      <c r="VU183" s="1"/>
      <c r="VV183" s="1"/>
      <c r="VW183" s="1"/>
      <c r="VX183" s="1"/>
      <c r="VY183" s="1"/>
      <c r="VZ183" s="1"/>
      <c r="WA183" s="1"/>
      <c r="WB183" s="1"/>
      <c r="WC183" s="1"/>
      <c r="WD183" s="1"/>
      <c r="WE183" s="1"/>
      <c r="WF183" s="1"/>
      <c r="WG183" s="1"/>
      <c r="WH183" s="1"/>
      <c r="WI183" s="1"/>
      <c r="WJ183" s="1"/>
      <c r="WK183" s="1"/>
      <c r="WL183" s="1"/>
      <c r="WM183" s="1"/>
      <c r="WN183" s="1"/>
      <c r="WO183" s="1"/>
      <c r="WP183" s="1"/>
      <c r="WQ183" s="1"/>
      <c r="WR183" s="1"/>
      <c r="WS183" s="1"/>
      <c r="WT183" s="1"/>
      <c r="WU183" s="1"/>
      <c r="WV183" s="1"/>
      <c r="WW183" s="1"/>
      <c r="WX183" s="1"/>
      <c r="WY183" s="1"/>
      <c r="WZ183" s="1"/>
      <c r="XA183" s="1"/>
      <c r="XB183" s="1"/>
      <c r="XC183" s="1"/>
      <c r="XD183" s="1"/>
      <c r="XE183" s="1"/>
      <c r="XF183" s="1"/>
      <c r="XG183" s="1"/>
      <c r="XH183" s="1"/>
      <c r="XI183" s="1"/>
      <c r="XJ183" s="1"/>
      <c r="XK183" s="1"/>
      <c r="XL183" s="1"/>
      <c r="XM183" s="1"/>
      <c r="XN183" s="1"/>
      <c r="XO183" s="1"/>
      <c r="XP183" s="1"/>
      <c r="XQ183" s="1"/>
      <c r="XR183" s="1"/>
      <c r="XS183" s="1"/>
      <c r="XT183" s="1"/>
      <c r="XU183" s="1"/>
      <c r="XV183" s="1"/>
      <c r="XW183" s="1"/>
      <c r="XX183" s="1"/>
      <c r="XY183" s="1"/>
      <c r="XZ183" s="1"/>
      <c r="YA183" s="1"/>
      <c r="YB183" s="1"/>
      <c r="YC183" s="1"/>
      <c r="YD183" s="1"/>
      <c r="YE183" s="1"/>
      <c r="YF183" s="1"/>
      <c r="YG183" s="1"/>
      <c r="YH183" s="1"/>
      <c r="YI183" s="1"/>
      <c r="YJ183" s="1"/>
      <c r="YK183" s="1"/>
      <c r="YL183" s="1"/>
      <c r="YM183" s="1"/>
      <c r="YN183" s="1"/>
      <c r="YO183" s="1"/>
      <c r="YP183" s="1"/>
      <c r="YQ183" s="1"/>
      <c r="YR183" s="1"/>
      <c r="YS183" s="1"/>
      <c r="YT183" s="1"/>
      <c r="YU183" s="1"/>
      <c r="YV183" s="1"/>
      <c r="YW183" s="1"/>
      <c r="YX183" s="1"/>
      <c r="YY183" s="1"/>
      <c r="YZ183" s="1"/>
      <c r="ZA183" s="1"/>
      <c r="ZB183" s="1"/>
      <c r="ZC183" s="1"/>
      <c r="ZD183" s="1"/>
      <c r="ZE183" s="1"/>
      <c r="ZF183" s="1"/>
      <c r="ZG183" s="1"/>
      <c r="ZH183" s="1"/>
      <c r="ZI183" s="1"/>
      <c r="ZJ183" s="1"/>
      <c r="ZK183" s="1"/>
      <c r="ZL183" s="1"/>
      <c r="ZM183" s="1"/>
      <c r="ZN183" s="1"/>
      <c r="ZO183" s="1"/>
      <c r="ZP183" s="1"/>
      <c r="ZQ183" s="1"/>
      <c r="ZR183" s="1"/>
      <c r="ZS183" s="1"/>
      <c r="ZT183" s="1"/>
      <c r="ZU183" s="1"/>
      <c r="ZV183" s="1"/>
      <c r="ZW183" s="1"/>
      <c r="ZX183" s="1"/>
      <c r="ZY183" s="1"/>
      <c r="ZZ183" s="1"/>
      <c r="AAA183" s="1"/>
      <c r="AAB183" s="1"/>
      <c r="AAC183" s="1"/>
      <c r="AAD183" s="1"/>
      <c r="AAE183" s="1"/>
      <c r="AAF183" s="1"/>
      <c r="AAG183" s="1"/>
      <c r="AAH183" s="1"/>
      <c r="AAI183" s="1"/>
      <c r="AAJ183" s="1"/>
      <c r="AAK183" s="1"/>
      <c r="AAL183" s="1"/>
      <c r="AAM183" s="1"/>
      <c r="AAN183" s="1"/>
      <c r="AAO183" s="1"/>
      <c r="AAP183" s="1"/>
      <c r="AAQ183" s="1"/>
      <c r="AAR183" s="1"/>
      <c r="AAS183" s="1"/>
      <c r="AAT183" s="1"/>
      <c r="AAU183" s="1"/>
      <c r="AAV183" s="1"/>
      <c r="AAW183" s="1"/>
      <c r="AAX183" s="1"/>
      <c r="AAY183" s="1"/>
      <c r="AAZ183" s="1"/>
      <c r="ABA183" s="1"/>
      <c r="ABB183" s="1"/>
      <c r="ABC183" s="1"/>
      <c r="ABD183" s="1"/>
      <c r="ABE183" s="1"/>
      <c r="ABF183" s="1"/>
      <c r="ABG183" s="1"/>
      <c r="ABH183" s="1"/>
      <c r="ABI183" s="1"/>
      <c r="ABJ183" s="1"/>
      <c r="ABK183" s="1"/>
      <c r="ABL183" s="1"/>
      <c r="ABM183" s="1"/>
      <c r="ABN183" s="1"/>
      <c r="ABO183" s="1"/>
      <c r="ABP183" s="1"/>
      <c r="ABQ183" s="1"/>
      <c r="ABR183" s="1"/>
      <c r="ABS183" s="1"/>
      <c r="ABT183" s="1"/>
      <c r="ABU183" s="1"/>
      <c r="ABV183" s="1"/>
      <c r="ABW183" s="1"/>
      <c r="ABX183" s="1"/>
      <c r="ABY183" s="1"/>
      <c r="ABZ183" s="1"/>
      <c r="ACA183" s="1"/>
      <c r="ACB183" s="1"/>
      <c r="ACC183" s="1"/>
      <c r="ACD183" s="1"/>
      <c r="ACE183" s="1"/>
      <c r="ACF183" s="1"/>
      <c r="ACG183" s="1"/>
      <c r="ACH183" s="1"/>
      <c r="ACI183" s="1"/>
      <c r="ACJ183" s="1"/>
      <c r="ACK183" s="1"/>
      <c r="ACL183" s="1"/>
      <c r="ACM183" s="1"/>
      <c r="ACN183" s="1"/>
      <c r="ACO183" s="1"/>
      <c r="ACP183" s="1"/>
      <c r="ACQ183" s="1"/>
      <c r="ACR183" s="1"/>
      <c r="ACS183" s="1"/>
      <c r="ACT183" s="1"/>
      <c r="ACU183" s="1"/>
      <c r="ACV183" s="1"/>
      <c r="ACW183" s="1"/>
      <c r="ACX183" s="1"/>
      <c r="ACY183" s="1"/>
      <c r="ACZ183" s="1"/>
      <c r="ADA183" s="1"/>
      <c r="ADB183" s="1"/>
      <c r="ADC183" s="1"/>
      <c r="ADD183" s="1"/>
      <c r="ADE183" s="1"/>
      <c r="ADF183" s="1"/>
      <c r="ADG183" s="1"/>
      <c r="ADH183" s="1"/>
      <c r="ADI183" s="1"/>
      <c r="ADJ183" s="1"/>
      <c r="ADK183" s="1"/>
      <c r="ADL183" s="1"/>
      <c r="ADM183" s="1"/>
      <c r="ADN183" s="1"/>
      <c r="ADO183" s="1"/>
      <c r="ADP183" s="1"/>
      <c r="ADQ183" s="1"/>
      <c r="ADR183" s="1"/>
      <c r="ADS183" s="1"/>
      <c r="ADT183" s="1"/>
      <c r="ADU183" s="1"/>
      <c r="ADV183" s="1"/>
      <c r="ADW183" s="1"/>
      <c r="ADX183" s="1"/>
      <c r="ADY183" s="1"/>
      <c r="ADZ183" s="1"/>
      <c r="AEA183" s="1"/>
      <c r="AEB183" s="1"/>
      <c r="AEC183" s="1"/>
      <c r="AED183" s="1"/>
      <c r="AEE183" s="1"/>
      <c r="AEF183" s="1"/>
      <c r="AEG183" s="1"/>
      <c r="AEH183" s="1"/>
      <c r="AEI183" s="1"/>
      <c r="AEJ183" s="1"/>
      <c r="AEK183" s="1"/>
      <c r="AEL183" s="1"/>
      <c r="AEM183" s="1"/>
      <c r="AEN183" s="1"/>
      <c r="AEO183" s="1"/>
      <c r="AEP183" s="1"/>
      <c r="AEQ183" s="1"/>
      <c r="AER183" s="1"/>
      <c r="AES183" s="1"/>
      <c r="AET183" s="1"/>
      <c r="AEU183" s="1"/>
      <c r="AEV183" s="1"/>
      <c r="AEW183" s="1"/>
      <c r="AEX183" s="1"/>
      <c r="AEY183" s="1"/>
      <c r="AEZ183" s="1"/>
      <c r="AFA183" s="1"/>
      <c r="AFB183" s="1"/>
      <c r="AFC183" s="1"/>
      <c r="AFD183" s="1"/>
      <c r="AFE183" s="1"/>
      <c r="AFF183" s="1"/>
      <c r="AFG183" s="1"/>
      <c r="AFH183" s="1"/>
      <c r="AFI183" s="1"/>
      <c r="AFJ183" s="1"/>
      <c r="AFK183" s="1"/>
      <c r="AFL183" s="1"/>
      <c r="AFM183" s="1"/>
      <c r="AFN183" s="1"/>
      <c r="AFO183" s="1"/>
      <c r="AFP183" s="1"/>
      <c r="AFQ183" s="1"/>
      <c r="AFR183" s="1"/>
      <c r="AFS183" s="1"/>
      <c r="AFT183" s="1"/>
      <c r="AFU183" s="1"/>
      <c r="AFV183" s="1"/>
      <c r="AFW183" s="1"/>
      <c r="AFX183" s="1"/>
      <c r="AFY183" s="1"/>
      <c r="AFZ183" s="1"/>
      <c r="AGA183" s="1"/>
      <c r="AGB183" s="1"/>
      <c r="AGC183" s="1"/>
      <c r="AGD183" s="1"/>
      <c r="AGE183" s="1"/>
      <c r="AGF183" s="1"/>
      <c r="AGG183" s="1"/>
      <c r="AGH183" s="1"/>
      <c r="AGI183" s="1"/>
      <c r="AGJ183" s="1"/>
      <c r="AGK183" s="1"/>
      <c r="AGL183" s="1"/>
      <c r="AGM183" s="1"/>
      <c r="AGN183" s="1"/>
      <c r="AGO183" s="1"/>
      <c r="AGP183" s="1"/>
      <c r="AGQ183" s="1"/>
      <c r="AGR183" s="1"/>
      <c r="AGS183" s="1"/>
      <c r="AGT183" s="1"/>
      <c r="AGU183" s="1"/>
      <c r="AGV183" s="1"/>
      <c r="AGW183" s="1"/>
      <c r="AGX183" s="1"/>
      <c r="AGY183" s="1"/>
      <c r="AGZ183" s="1"/>
      <c r="AHA183" s="1"/>
      <c r="AHB183" s="1"/>
      <c r="AHC183" s="1"/>
      <c r="AHD183" s="1"/>
      <c r="AHE183" s="1"/>
      <c r="AHF183" s="1"/>
      <c r="AHG183" s="1"/>
      <c r="AHH183" s="1"/>
      <c r="AHI183" s="1"/>
      <c r="AHJ183" s="1"/>
      <c r="AHK183" s="1"/>
      <c r="AHL183" s="1"/>
      <c r="AHM183" s="1"/>
      <c r="AHN183" s="1"/>
      <c r="AHO183" s="1"/>
      <c r="AHP183" s="1"/>
      <c r="AHQ183" s="1"/>
      <c r="AHR183" s="1"/>
      <c r="AHS183" s="1"/>
      <c r="AHT183" s="1"/>
      <c r="AHU183" s="1"/>
      <c r="AHV183" s="1"/>
      <c r="AHW183" s="1"/>
      <c r="AHX183" s="1"/>
      <c r="AHY183" s="1"/>
      <c r="AHZ183" s="1"/>
      <c r="AIA183" s="1"/>
      <c r="AIB183" s="1"/>
      <c r="AIC183" s="1"/>
      <c r="AID183" s="1"/>
      <c r="AIE183" s="1"/>
      <c r="AIF183" s="1"/>
      <c r="AIG183" s="1"/>
      <c r="AIH183" s="1"/>
      <c r="AII183" s="1"/>
      <c r="AIJ183" s="1"/>
      <c r="AIK183" s="1"/>
      <c r="AIL183" s="1"/>
      <c r="AIM183" s="1"/>
      <c r="AIN183" s="1"/>
      <c r="AIO183" s="1"/>
      <c r="AIP183" s="1"/>
      <c r="AIQ183" s="1"/>
      <c r="AIR183" s="1"/>
      <c r="AIS183" s="1"/>
      <c r="AIT183" s="1"/>
      <c r="AIU183" s="1"/>
      <c r="AIV183" s="1"/>
      <c r="AIW183" s="1"/>
      <c r="AIX183" s="1"/>
      <c r="AIY183" s="1"/>
      <c r="AIZ183" s="1"/>
      <c r="AJA183" s="1"/>
      <c r="AJB183" s="1"/>
      <c r="AJC183" s="1"/>
      <c r="AJD183" s="1"/>
      <c r="AJE183" s="1"/>
      <c r="AJF183" s="1"/>
      <c r="AJG183" s="1"/>
      <c r="AJH183" s="1"/>
      <c r="AJI183" s="1"/>
      <c r="AJJ183" s="1"/>
      <c r="AJK183" s="1"/>
      <c r="AJL183" s="1"/>
      <c r="AJM183" s="1"/>
      <c r="AJN183" s="1"/>
      <c r="AJO183" s="1"/>
      <c r="AJP183" s="1"/>
      <c r="AJQ183" s="1"/>
      <c r="AJR183" s="1"/>
      <c r="AJS183" s="1"/>
      <c r="AJT183" s="1"/>
      <c r="AJU183" s="1"/>
      <c r="AJV183" s="1"/>
      <c r="AJW183" s="1"/>
      <c r="AJX183" s="1"/>
      <c r="AJY183" s="1"/>
      <c r="AJZ183" s="1"/>
      <c r="AKA183" s="1"/>
      <c r="AKB183" s="1"/>
      <c r="AKC183" s="1"/>
      <c r="AKD183" s="1"/>
      <c r="AKE183" s="1"/>
      <c r="AKF183" s="1"/>
      <c r="AKG183" s="1"/>
      <c r="AKH183" s="1"/>
      <c r="AKI183" s="1"/>
      <c r="AKJ183" s="1"/>
      <c r="AKK183" s="1"/>
      <c r="AKL183" s="1"/>
      <c r="AKM183" s="1"/>
      <c r="AKN183" s="1"/>
      <c r="AKO183" s="1"/>
      <c r="AKP183" s="1"/>
      <c r="AKQ183" s="1"/>
      <c r="AKR183" s="1"/>
      <c r="AKS183" s="1"/>
      <c r="AKT183" s="1"/>
      <c r="AKU183" s="1"/>
      <c r="AKV183" s="1"/>
      <c r="AKW183" s="1"/>
      <c r="AKX183" s="1"/>
      <c r="AKY183" s="1"/>
      <c r="AKZ183" s="1"/>
      <c r="ALA183" s="1"/>
      <c r="ALB183" s="1"/>
      <c r="ALC183" s="1"/>
      <c r="ALD183" s="1"/>
      <c r="ALE183" s="1"/>
      <c r="ALF183" s="1"/>
      <c r="ALG183" s="1"/>
      <c r="ALH183" s="1"/>
      <c r="ALI183" s="1"/>
      <c r="ALJ183" s="1"/>
      <c r="ALK183" s="1"/>
      <c r="ALL183" s="1"/>
      <c r="ALM183" s="1"/>
      <c r="ALN183" s="1"/>
      <c r="ALO183" s="1"/>
      <c r="ALP183" s="1"/>
      <c r="ALQ183" s="1"/>
      <c r="ALR183" s="1"/>
      <c r="ALS183" s="1"/>
      <c r="ALT183" s="1"/>
      <c r="ALU183" s="1"/>
      <c r="ALV183" s="1"/>
      <c r="ALW183" s="1"/>
      <c r="ALX183" s="1"/>
      <c r="ALY183" s="1"/>
      <c r="ALZ183" s="1"/>
      <c r="AMA183" s="1"/>
      <c r="AMB183" s="1"/>
      <c r="AMC183" s="1"/>
      <c r="AMD183" s="1"/>
      <c r="AME183" s="1"/>
      <c r="AMF183" s="1"/>
      <c r="AMG183" s="1"/>
      <c r="AMH183" s="1"/>
      <c r="AMI183" s="1"/>
      <c r="AMJ183" s="1"/>
    </row>
    <row r="184" customFormat="false" ht="10.5" hidden="false" customHeight="true" outlineLevel="0" collapsed="false">
      <c r="A184" s="48" t="s">
        <v>322</v>
      </c>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8"/>
      <c r="AN184" s="48"/>
      <c r="AO184" s="48"/>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c r="IY184" s="1"/>
      <c r="IZ184" s="1"/>
      <c r="JA184" s="1"/>
      <c r="JB184" s="1"/>
      <c r="JC184" s="1"/>
      <c r="JD184" s="1"/>
      <c r="JE184" s="1"/>
      <c r="JF184" s="1"/>
      <c r="JG184" s="1"/>
      <c r="JH184" s="1"/>
      <c r="JI184" s="1"/>
      <c r="JJ184" s="1"/>
      <c r="JK184" s="1"/>
      <c r="JL184" s="1"/>
      <c r="JM184" s="1"/>
      <c r="JN184" s="1"/>
      <c r="JO184" s="1"/>
      <c r="JP184" s="1"/>
      <c r="JQ184" s="1"/>
      <c r="JR184" s="1"/>
      <c r="JS184" s="1"/>
      <c r="JT184" s="1"/>
      <c r="JU184" s="1"/>
      <c r="JV184" s="1"/>
      <c r="JW184" s="1"/>
      <c r="JX184" s="1"/>
      <c r="JY184" s="1"/>
      <c r="JZ184" s="1"/>
      <c r="KA184" s="1"/>
      <c r="KB184" s="1"/>
      <c r="KC184" s="1"/>
      <c r="KD184" s="1"/>
      <c r="KE184" s="1"/>
      <c r="KF184" s="1"/>
      <c r="KG184" s="1"/>
      <c r="KH184" s="1"/>
      <c r="KI184" s="1"/>
      <c r="KJ184" s="1"/>
      <c r="KK184" s="1"/>
      <c r="KL184" s="1"/>
      <c r="KM184" s="1"/>
      <c r="KN184" s="1"/>
      <c r="KO184" s="1"/>
      <c r="KP184" s="1"/>
      <c r="KQ184" s="1"/>
      <c r="KR184" s="1"/>
      <c r="KS184" s="1"/>
      <c r="KT184" s="1"/>
      <c r="KU184" s="1"/>
      <c r="KV184" s="1"/>
      <c r="KW184" s="1"/>
      <c r="KX184" s="1"/>
      <c r="KY184" s="1"/>
      <c r="KZ184" s="1"/>
      <c r="LA184" s="1"/>
      <c r="LB184" s="1"/>
      <c r="LC184" s="1"/>
      <c r="LD184" s="1"/>
      <c r="LE184" s="1"/>
      <c r="LF184" s="1"/>
      <c r="LG184" s="1"/>
      <c r="LH184" s="1"/>
      <c r="LI184" s="1"/>
      <c r="LJ184" s="1"/>
      <c r="LK184" s="1"/>
      <c r="LL184" s="1"/>
      <c r="LM184" s="1"/>
      <c r="LN184" s="1"/>
      <c r="LO184" s="1"/>
      <c r="LP184" s="1"/>
      <c r="LQ184" s="1"/>
      <c r="LR184" s="1"/>
      <c r="LS184" s="1"/>
      <c r="LT184" s="1"/>
      <c r="LU184" s="1"/>
      <c r="LV184" s="1"/>
      <c r="LW184" s="1"/>
      <c r="LX184" s="1"/>
      <c r="LY184" s="1"/>
      <c r="LZ184" s="1"/>
      <c r="MA184" s="1"/>
      <c r="MB184" s="1"/>
      <c r="MC184" s="1"/>
      <c r="MD184" s="1"/>
      <c r="ME184" s="1"/>
      <c r="MF184" s="1"/>
      <c r="MG184" s="1"/>
      <c r="MH184" s="1"/>
      <c r="MI184" s="1"/>
      <c r="MJ184" s="1"/>
      <c r="MK184" s="1"/>
      <c r="ML184" s="1"/>
      <c r="MM184" s="1"/>
      <c r="MN184" s="1"/>
      <c r="MO184" s="1"/>
      <c r="MP184" s="1"/>
      <c r="MQ184" s="1"/>
      <c r="MR184" s="1"/>
      <c r="MS184" s="1"/>
      <c r="MT184" s="1"/>
      <c r="MU184" s="1"/>
      <c r="MV184" s="1"/>
      <c r="MW184" s="1"/>
      <c r="MX184" s="1"/>
      <c r="MY184" s="1"/>
      <c r="MZ184" s="1"/>
      <c r="NA184" s="1"/>
      <c r="NB184" s="1"/>
      <c r="NC184" s="1"/>
      <c r="ND184" s="1"/>
      <c r="NE184" s="1"/>
      <c r="NF184" s="1"/>
      <c r="NG184" s="1"/>
      <c r="NH184" s="1"/>
      <c r="NI184" s="1"/>
      <c r="NJ184" s="1"/>
      <c r="NK184" s="1"/>
      <c r="NL184" s="1"/>
      <c r="NM184" s="1"/>
      <c r="NN184" s="1"/>
      <c r="NO184" s="1"/>
      <c r="NP184" s="1"/>
      <c r="NQ184" s="1"/>
      <c r="NR184" s="1"/>
      <c r="NS184" s="1"/>
      <c r="NT184" s="1"/>
      <c r="NU184" s="1"/>
      <c r="NV184" s="1"/>
      <c r="NW184" s="1"/>
      <c r="NX184" s="1"/>
      <c r="NY184" s="1"/>
      <c r="NZ184" s="1"/>
      <c r="OA184" s="1"/>
      <c r="OB184" s="1"/>
      <c r="OC184" s="1"/>
      <c r="OD184" s="1"/>
      <c r="OE184" s="1"/>
      <c r="OF184" s="1"/>
      <c r="OG184" s="1"/>
      <c r="OH184" s="1"/>
      <c r="OI184" s="1"/>
      <c r="OJ184" s="1"/>
      <c r="OK184" s="1"/>
      <c r="OL184" s="1"/>
      <c r="OM184" s="1"/>
      <c r="ON184" s="1"/>
      <c r="OO184" s="1"/>
      <c r="OP184" s="1"/>
      <c r="OQ184" s="1"/>
      <c r="OR184" s="1"/>
      <c r="OS184" s="1"/>
      <c r="OT184" s="1"/>
      <c r="OU184" s="1"/>
      <c r="OV184" s="1"/>
      <c r="OW184" s="1"/>
      <c r="OX184" s="1"/>
      <c r="OY184" s="1"/>
      <c r="OZ184" s="1"/>
      <c r="PA184" s="1"/>
      <c r="PB184" s="1"/>
      <c r="PC184" s="1"/>
      <c r="PD184" s="1"/>
      <c r="PE184" s="1"/>
      <c r="PF184" s="1"/>
      <c r="PG184" s="1"/>
      <c r="PH184" s="1"/>
      <c r="PI184" s="1"/>
      <c r="PJ184" s="1"/>
      <c r="PK184" s="1"/>
      <c r="PL184" s="1"/>
      <c r="PM184" s="1"/>
      <c r="PN184" s="1"/>
      <c r="PO184" s="1"/>
      <c r="PP184" s="1"/>
      <c r="PQ184" s="1"/>
      <c r="PR184" s="1"/>
      <c r="PS184" s="1"/>
      <c r="PT184" s="1"/>
      <c r="PU184" s="1"/>
      <c r="PV184" s="1"/>
      <c r="PW184" s="1"/>
      <c r="PX184" s="1"/>
      <c r="PY184" s="1"/>
      <c r="PZ184" s="1"/>
      <c r="QA184" s="1"/>
      <c r="QB184" s="1"/>
      <c r="QC184" s="1"/>
      <c r="QD184" s="1"/>
      <c r="QE184" s="1"/>
      <c r="QF184" s="1"/>
      <c r="QG184" s="1"/>
      <c r="QH184" s="1"/>
      <c r="QI184" s="1"/>
      <c r="QJ184" s="1"/>
      <c r="QK184" s="1"/>
      <c r="QL184" s="1"/>
      <c r="QM184" s="1"/>
      <c r="QN184" s="1"/>
      <c r="QO184" s="1"/>
      <c r="QP184" s="1"/>
      <c r="QQ184" s="1"/>
      <c r="QR184" s="1"/>
      <c r="QS184" s="1"/>
      <c r="QT184" s="1"/>
      <c r="QU184" s="1"/>
      <c r="QV184" s="1"/>
      <c r="QW184" s="1"/>
      <c r="QX184" s="1"/>
      <c r="QY184" s="1"/>
      <c r="QZ184" s="1"/>
      <c r="RA184" s="1"/>
      <c r="RB184" s="1"/>
      <c r="RC184" s="1"/>
      <c r="RD184" s="1"/>
      <c r="RE184" s="1"/>
      <c r="RF184" s="1"/>
      <c r="RG184" s="1"/>
      <c r="RH184" s="1"/>
      <c r="RI184" s="1"/>
      <c r="RJ184" s="1"/>
      <c r="RK184" s="1"/>
      <c r="RL184" s="1"/>
      <c r="RM184" s="1"/>
      <c r="RN184" s="1"/>
      <c r="RO184" s="1"/>
      <c r="RP184" s="1"/>
      <c r="RQ184" s="1"/>
      <c r="RR184" s="1"/>
      <c r="RS184" s="1"/>
      <c r="RT184" s="1"/>
      <c r="RU184" s="1"/>
      <c r="RV184" s="1"/>
      <c r="RW184" s="1"/>
      <c r="RX184" s="1"/>
      <c r="RY184" s="1"/>
      <c r="RZ184" s="1"/>
      <c r="SA184" s="1"/>
      <c r="SB184" s="1"/>
      <c r="SC184" s="1"/>
      <c r="SD184" s="1"/>
      <c r="SE184" s="1"/>
      <c r="SF184" s="1"/>
      <c r="SG184" s="1"/>
      <c r="SH184" s="1"/>
      <c r="SI184" s="1"/>
      <c r="SJ184" s="1"/>
      <c r="SK184" s="1"/>
      <c r="SL184" s="1"/>
      <c r="SM184" s="1"/>
      <c r="SN184" s="1"/>
      <c r="SO184" s="1"/>
      <c r="SP184" s="1"/>
      <c r="SQ184" s="1"/>
      <c r="SR184" s="1"/>
      <c r="SS184" s="1"/>
      <c r="ST184" s="1"/>
      <c r="SU184" s="1"/>
      <c r="SV184" s="1"/>
      <c r="SW184" s="1"/>
      <c r="SX184" s="1"/>
      <c r="SY184" s="1"/>
      <c r="SZ184" s="1"/>
      <c r="TA184" s="1"/>
      <c r="TB184" s="1"/>
      <c r="TC184" s="1"/>
      <c r="TD184" s="1"/>
      <c r="TE184" s="1"/>
      <c r="TF184" s="1"/>
      <c r="TG184" s="1"/>
      <c r="TH184" s="1"/>
      <c r="TI184" s="1"/>
      <c r="TJ184" s="1"/>
      <c r="TK184" s="1"/>
      <c r="TL184" s="1"/>
      <c r="TM184" s="1"/>
      <c r="TN184" s="1"/>
      <c r="TO184" s="1"/>
      <c r="TP184" s="1"/>
      <c r="TQ184" s="1"/>
      <c r="TR184" s="1"/>
      <c r="TS184" s="1"/>
      <c r="TT184" s="1"/>
      <c r="TU184" s="1"/>
      <c r="TV184" s="1"/>
      <c r="TW184" s="1"/>
      <c r="TX184" s="1"/>
      <c r="TY184" s="1"/>
      <c r="TZ184" s="1"/>
      <c r="UA184" s="1"/>
      <c r="UB184" s="1"/>
      <c r="UC184" s="1"/>
      <c r="UD184" s="1"/>
      <c r="UE184" s="1"/>
      <c r="UF184" s="1"/>
      <c r="UG184" s="1"/>
      <c r="UH184" s="1"/>
      <c r="UI184" s="1"/>
      <c r="UJ184" s="1"/>
      <c r="UK184" s="1"/>
      <c r="UL184" s="1"/>
      <c r="UM184" s="1"/>
      <c r="UN184" s="1"/>
      <c r="UO184" s="1"/>
      <c r="UP184" s="1"/>
      <c r="UQ184" s="1"/>
      <c r="UR184" s="1"/>
      <c r="US184" s="1"/>
      <c r="UT184" s="1"/>
      <c r="UU184" s="1"/>
      <c r="UV184" s="1"/>
      <c r="UW184" s="1"/>
      <c r="UX184" s="1"/>
      <c r="UY184" s="1"/>
      <c r="UZ184" s="1"/>
      <c r="VA184" s="1"/>
      <c r="VB184" s="1"/>
      <c r="VC184" s="1"/>
      <c r="VD184" s="1"/>
      <c r="VE184" s="1"/>
      <c r="VF184" s="1"/>
      <c r="VG184" s="1"/>
      <c r="VH184" s="1"/>
      <c r="VI184" s="1"/>
      <c r="VJ184" s="1"/>
      <c r="VK184" s="1"/>
      <c r="VL184" s="1"/>
      <c r="VM184" s="1"/>
      <c r="VN184" s="1"/>
      <c r="VO184" s="1"/>
      <c r="VP184" s="1"/>
      <c r="VQ184" s="1"/>
      <c r="VR184" s="1"/>
      <c r="VS184" s="1"/>
      <c r="VT184" s="1"/>
      <c r="VU184" s="1"/>
      <c r="VV184" s="1"/>
      <c r="VW184" s="1"/>
      <c r="VX184" s="1"/>
      <c r="VY184" s="1"/>
      <c r="VZ184" s="1"/>
      <c r="WA184" s="1"/>
      <c r="WB184" s="1"/>
      <c r="WC184" s="1"/>
      <c r="WD184" s="1"/>
      <c r="WE184" s="1"/>
      <c r="WF184" s="1"/>
      <c r="WG184" s="1"/>
      <c r="WH184" s="1"/>
      <c r="WI184" s="1"/>
      <c r="WJ184" s="1"/>
      <c r="WK184" s="1"/>
      <c r="WL184" s="1"/>
      <c r="WM184" s="1"/>
      <c r="WN184" s="1"/>
      <c r="WO184" s="1"/>
      <c r="WP184" s="1"/>
      <c r="WQ184" s="1"/>
      <c r="WR184" s="1"/>
      <c r="WS184" s="1"/>
      <c r="WT184" s="1"/>
      <c r="WU184" s="1"/>
      <c r="WV184" s="1"/>
      <c r="WW184" s="1"/>
      <c r="WX184" s="1"/>
      <c r="WY184" s="1"/>
      <c r="WZ184" s="1"/>
      <c r="XA184" s="1"/>
      <c r="XB184" s="1"/>
      <c r="XC184" s="1"/>
      <c r="XD184" s="1"/>
      <c r="XE184" s="1"/>
      <c r="XF184" s="1"/>
      <c r="XG184" s="1"/>
      <c r="XH184" s="1"/>
      <c r="XI184" s="1"/>
      <c r="XJ184" s="1"/>
      <c r="XK184" s="1"/>
      <c r="XL184" s="1"/>
      <c r="XM184" s="1"/>
      <c r="XN184" s="1"/>
      <c r="XO184" s="1"/>
      <c r="XP184" s="1"/>
      <c r="XQ184" s="1"/>
      <c r="XR184" s="1"/>
      <c r="XS184" s="1"/>
      <c r="XT184" s="1"/>
      <c r="XU184" s="1"/>
      <c r="XV184" s="1"/>
      <c r="XW184" s="1"/>
      <c r="XX184" s="1"/>
      <c r="XY184" s="1"/>
      <c r="XZ184" s="1"/>
      <c r="YA184" s="1"/>
      <c r="YB184" s="1"/>
      <c r="YC184" s="1"/>
      <c r="YD184" s="1"/>
      <c r="YE184" s="1"/>
      <c r="YF184" s="1"/>
      <c r="YG184" s="1"/>
      <c r="YH184" s="1"/>
      <c r="YI184" s="1"/>
      <c r="YJ184" s="1"/>
      <c r="YK184" s="1"/>
      <c r="YL184" s="1"/>
      <c r="YM184" s="1"/>
      <c r="YN184" s="1"/>
      <c r="YO184" s="1"/>
      <c r="YP184" s="1"/>
      <c r="YQ184" s="1"/>
      <c r="YR184" s="1"/>
      <c r="YS184" s="1"/>
      <c r="YT184" s="1"/>
      <c r="YU184" s="1"/>
      <c r="YV184" s="1"/>
      <c r="YW184" s="1"/>
      <c r="YX184" s="1"/>
      <c r="YY184" s="1"/>
      <c r="YZ184" s="1"/>
      <c r="ZA184" s="1"/>
      <c r="ZB184" s="1"/>
      <c r="ZC184" s="1"/>
      <c r="ZD184" s="1"/>
      <c r="ZE184" s="1"/>
      <c r="ZF184" s="1"/>
      <c r="ZG184" s="1"/>
      <c r="ZH184" s="1"/>
      <c r="ZI184" s="1"/>
      <c r="ZJ184" s="1"/>
      <c r="ZK184" s="1"/>
      <c r="ZL184" s="1"/>
      <c r="ZM184" s="1"/>
      <c r="ZN184" s="1"/>
      <c r="ZO184" s="1"/>
      <c r="ZP184" s="1"/>
      <c r="ZQ184" s="1"/>
      <c r="ZR184" s="1"/>
      <c r="ZS184" s="1"/>
      <c r="ZT184" s="1"/>
      <c r="ZU184" s="1"/>
      <c r="ZV184" s="1"/>
      <c r="ZW184" s="1"/>
      <c r="ZX184" s="1"/>
      <c r="ZY184" s="1"/>
      <c r="ZZ184" s="1"/>
      <c r="AAA184" s="1"/>
      <c r="AAB184" s="1"/>
      <c r="AAC184" s="1"/>
      <c r="AAD184" s="1"/>
      <c r="AAE184" s="1"/>
      <c r="AAF184" s="1"/>
      <c r="AAG184" s="1"/>
      <c r="AAH184" s="1"/>
      <c r="AAI184" s="1"/>
      <c r="AAJ184" s="1"/>
      <c r="AAK184" s="1"/>
      <c r="AAL184" s="1"/>
      <c r="AAM184" s="1"/>
      <c r="AAN184" s="1"/>
      <c r="AAO184" s="1"/>
      <c r="AAP184" s="1"/>
      <c r="AAQ184" s="1"/>
      <c r="AAR184" s="1"/>
      <c r="AAS184" s="1"/>
      <c r="AAT184" s="1"/>
      <c r="AAU184" s="1"/>
      <c r="AAV184" s="1"/>
      <c r="AAW184" s="1"/>
      <c r="AAX184" s="1"/>
      <c r="AAY184" s="1"/>
      <c r="AAZ184" s="1"/>
      <c r="ABA184" s="1"/>
      <c r="ABB184" s="1"/>
      <c r="ABC184" s="1"/>
      <c r="ABD184" s="1"/>
      <c r="ABE184" s="1"/>
      <c r="ABF184" s="1"/>
      <c r="ABG184" s="1"/>
      <c r="ABH184" s="1"/>
      <c r="ABI184" s="1"/>
      <c r="ABJ184" s="1"/>
      <c r="ABK184" s="1"/>
      <c r="ABL184" s="1"/>
      <c r="ABM184" s="1"/>
      <c r="ABN184" s="1"/>
      <c r="ABO184" s="1"/>
      <c r="ABP184" s="1"/>
      <c r="ABQ184" s="1"/>
      <c r="ABR184" s="1"/>
      <c r="ABS184" s="1"/>
      <c r="ABT184" s="1"/>
      <c r="ABU184" s="1"/>
      <c r="ABV184" s="1"/>
      <c r="ABW184" s="1"/>
      <c r="ABX184" s="1"/>
      <c r="ABY184" s="1"/>
      <c r="ABZ184" s="1"/>
      <c r="ACA184" s="1"/>
      <c r="ACB184" s="1"/>
      <c r="ACC184" s="1"/>
      <c r="ACD184" s="1"/>
      <c r="ACE184" s="1"/>
      <c r="ACF184" s="1"/>
      <c r="ACG184" s="1"/>
      <c r="ACH184" s="1"/>
      <c r="ACI184" s="1"/>
      <c r="ACJ184" s="1"/>
      <c r="ACK184" s="1"/>
      <c r="ACL184" s="1"/>
      <c r="ACM184" s="1"/>
      <c r="ACN184" s="1"/>
      <c r="ACO184" s="1"/>
      <c r="ACP184" s="1"/>
      <c r="ACQ184" s="1"/>
      <c r="ACR184" s="1"/>
      <c r="ACS184" s="1"/>
      <c r="ACT184" s="1"/>
      <c r="ACU184" s="1"/>
      <c r="ACV184" s="1"/>
      <c r="ACW184" s="1"/>
      <c r="ACX184" s="1"/>
      <c r="ACY184" s="1"/>
      <c r="ACZ184" s="1"/>
      <c r="ADA184" s="1"/>
      <c r="ADB184" s="1"/>
      <c r="ADC184" s="1"/>
      <c r="ADD184" s="1"/>
      <c r="ADE184" s="1"/>
      <c r="ADF184" s="1"/>
      <c r="ADG184" s="1"/>
      <c r="ADH184" s="1"/>
      <c r="ADI184" s="1"/>
      <c r="ADJ184" s="1"/>
      <c r="ADK184" s="1"/>
      <c r="ADL184" s="1"/>
      <c r="ADM184" s="1"/>
      <c r="ADN184" s="1"/>
      <c r="ADO184" s="1"/>
      <c r="ADP184" s="1"/>
      <c r="ADQ184" s="1"/>
      <c r="ADR184" s="1"/>
      <c r="ADS184" s="1"/>
      <c r="ADT184" s="1"/>
      <c r="ADU184" s="1"/>
      <c r="ADV184" s="1"/>
      <c r="ADW184" s="1"/>
      <c r="ADX184" s="1"/>
      <c r="ADY184" s="1"/>
      <c r="ADZ184" s="1"/>
      <c r="AEA184" s="1"/>
      <c r="AEB184" s="1"/>
      <c r="AEC184" s="1"/>
      <c r="AED184" s="1"/>
      <c r="AEE184" s="1"/>
      <c r="AEF184" s="1"/>
      <c r="AEG184" s="1"/>
      <c r="AEH184" s="1"/>
      <c r="AEI184" s="1"/>
      <c r="AEJ184" s="1"/>
      <c r="AEK184" s="1"/>
      <c r="AEL184" s="1"/>
      <c r="AEM184" s="1"/>
      <c r="AEN184" s="1"/>
      <c r="AEO184" s="1"/>
      <c r="AEP184" s="1"/>
      <c r="AEQ184" s="1"/>
      <c r="AER184" s="1"/>
      <c r="AES184" s="1"/>
      <c r="AET184" s="1"/>
      <c r="AEU184" s="1"/>
      <c r="AEV184" s="1"/>
      <c r="AEW184" s="1"/>
      <c r="AEX184" s="1"/>
      <c r="AEY184" s="1"/>
      <c r="AEZ184" s="1"/>
      <c r="AFA184" s="1"/>
      <c r="AFB184" s="1"/>
      <c r="AFC184" s="1"/>
      <c r="AFD184" s="1"/>
      <c r="AFE184" s="1"/>
      <c r="AFF184" s="1"/>
      <c r="AFG184" s="1"/>
      <c r="AFH184" s="1"/>
      <c r="AFI184" s="1"/>
      <c r="AFJ184" s="1"/>
      <c r="AFK184" s="1"/>
      <c r="AFL184" s="1"/>
      <c r="AFM184" s="1"/>
      <c r="AFN184" s="1"/>
      <c r="AFO184" s="1"/>
      <c r="AFP184" s="1"/>
      <c r="AFQ184" s="1"/>
      <c r="AFR184" s="1"/>
      <c r="AFS184" s="1"/>
      <c r="AFT184" s="1"/>
      <c r="AFU184" s="1"/>
      <c r="AFV184" s="1"/>
      <c r="AFW184" s="1"/>
      <c r="AFX184" s="1"/>
      <c r="AFY184" s="1"/>
      <c r="AFZ184" s="1"/>
      <c r="AGA184" s="1"/>
      <c r="AGB184" s="1"/>
      <c r="AGC184" s="1"/>
      <c r="AGD184" s="1"/>
      <c r="AGE184" s="1"/>
      <c r="AGF184" s="1"/>
      <c r="AGG184" s="1"/>
      <c r="AGH184" s="1"/>
      <c r="AGI184" s="1"/>
      <c r="AGJ184" s="1"/>
      <c r="AGK184" s="1"/>
      <c r="AGL184" s="1"/>
      <c r="AGM184" s="1"/>
      <c r="AGN184" s="1"/>
      <c r="AGO184" s="1"/>
      <c r="AGP184" s="1"/>
      <c r="AGQ184" s="1"/>
      <c r="AGR184" s="1"/>
      <c r="AGS184" s="1"/>
      <c r="AGT184" s="1"/>
      <c r="AGU184" s="1"/>
      <c r="AGV184" s="1"/>
      <c r="AGW184" s="1"/>
      <c r="AGX184" s="1"/>
      <c r="AGY184" s="1"/>
      <c r="AGZ184" s="1"/>
      <c r="AHA184" s="1"/>
      <c r="AHB184" s="1"/>
      <c r="AHC184" s="1"/>
      <c r="AHD184" s="1"/>
      <c r="AHE184" s="1"/>
      <c r="AHF184" s="1"/>
      <c r="AHG184" s="1"/>
      <c r="AHH184" s="1"/>
      <c r="AHI184" s="1"/>
      <c r="AHJ184" s="1"/>
      <c r="AHK184" s="1"/>
      <c r="AHL184" s="1"/>
      <c r="AHM184" s="1"/>
      <c r="AHN184" s="1"/>
      <c r="AHO184" s="1"/>
      <c r="AHP184" s="1"/>
      <c r="AHQ184" s="1"/>
      <c r="AHR184" s="1"/>
      <c r="AHS184" s="1"/>
      <c r="AHT184" s="1"/>
      <c r="AHU184" s="1"/>
      <c r="AHV184" s="1"/>
      <c r="AHW184" s="1"/>
      <c r="AHX184" s="1"/>
      <c r="AHY184" s="1"/>
      <c r="AHZ184" s="1"/>
      <c r="AIA184" s="1"/>
      <c r="AIB184" s="1"/>
      <c r="AIC184" s="1"/>
      <c r="AID184" s="1"/>
      <c r="AIE184" s="1"/>
      <c r="AIF184" s="1"/>
      <c r="AIG184" s="1"/>
      <c r="AIH184" s="1"/>
      <c r="AII184" s="1"/>
      <c r="AIJ184" s="1"/>
      <c r="AIK184" s="1"/>
      <c r="AIL184" s="1"/>
      <c r="AIM184" s="1"/>
      <c r="AIN184" s="1"/>
      <c r="AIO184" s="1"/>
      <c r="AIP184" s="1"/>
      <c r="AIQ184" s="1"/>
      <c r="AIR184" s="1"/>
      <c r="AIS184" s="1"/>
      <c r="AIT184" s="1"/>
      <c r="AIU184" s="1"/>
      <c r="AIV184" s="1"/>
      <c r="AIW184" s="1"/>
      <c r="AIX184" s="1"/>
      <c r="AIY184" s="1"/>
      <c r="AIZ184" s="1"/>
      <c r="AJA184" s="1"/>
      <c r="AJB184" s="1"/>
      <c r="AJC184" s="1"/>
      <c r="AJD184" s="1"/>
      <c r="AJE184" s="1"/>
      <c r="AJF184" s="1"/>
      <c r="AJG184" s="1"/>
      <c r="AJH184" s="1"/>
      <c r="AJI184" s="1"/>
      <c r="AJJ184" s="1"/>
      <c r="AJK184" s="1"/>
      <c r="AJL184" s="1"/>
      <c r="AJM184" s="1"/>
      <c r="AJN184" s="1"/>
      <c r="AJO184" s="1"/>
      <c r="AJP184" s="1"/>
      <c r="AJQ184" s="1"/>
      <c r="AJR184" s="1"/>
      <c r="AJS184" s="1"/>
      <c r="AJT184" s="1"/>
      <c r="AJU184" s="1"/>
      <c r="AJV184" s="1"/>
      <c r="AJW184" s="1"/>
      <c r="AJX184" s="1"/>
      <c r="AJY184" s="1"/>
      <c r="AJZ184" s="1"/>
      <c r="AKA184" s="1"/>
      <c r="AKB184" s="1"/>
      <c r="AKC184" s="1"/>
      <c r="AKD184" s="1"/>
      <c r="AKE184" s="1"/>
      <c r="AKF184" s="1"/>
      <c r="AKG184" s="1"/>
      <c r="AKH184" s="1"/>
      <c r="AKI184" s="1"/>
      <c r="AKJ184" s="1"/>
      <c r="AKK184" s="1"/>
      <c r="AKL184" s="1"/>
      <c r="AKM184" s="1"/>
      <c r="AKN184" s="1"/>
      <c r="AKO184" s="1"/>
      <c r="AKP184" s="1"/>
      <c r="AKQ184" s="1"/>
      <c r="AKR184" s="1"/>
      <c r="AKS184" s="1"/>
      <c r="AKT184" s="1"/>
      <c r="AKU184" s="1"/>
      <c r="AKV184" s="1"/>
      <c r="AKW184" s="1"/>
      <c r="AKX184" s="1"/>
      <c r="AKY184" s="1"/>
      <c r="AKZ184" s="1"/>
      <c r="ALA184" s="1"/>
      <c r="ALB184" s="1"/>
      <c r="ALC184" s="1"/>
      <c r="ALD184" s="1"/>
      <c r="ALE184" s="1"/>
      <c r="ALF184" s="1"/>
      <c r="ALG184" s="1"/>
      <c r="ALH184" s="1"/>
      <c r="ALI184" s="1"/>
      <c r="ALJ184" s="1"/>
      <c r="ALK184" s="1"/>
      <c r="ALL184" s="1"/>
      <c r="ALM184" s="1"/>
      <c r="ALN184" s="1"/>
      <c r="ALO184" s="1"/>
      <c r="ALP184" s="1"/>
      <c r="ALQ184" s="1"/>
      <c r="ALR184" s="1"/>
      <c r="ALS184" s="1"/>
      <c r="ALT184" s="1"/>
      <c r="ALU184" s="1"/>
      <c r="ALV184" s="1"/>
      <c r="ALW184" s="1"/>
      <c r="ALX184" s="1"/>
      <c r="ALY184" s="1"/>
      <c r="ALZ184" s="1"/>
      <c r="AMA184" s="1"/>
      <c r="AMB184" s="1"/>
      <c r="AMC184" s="1"/>
      <c r="AMD184" s="1"/>
      <c r="AME184" s="1"/>
      <c r="AMF184" s="1"/>
      <c r="AMG184" s="1"/>
      <c r="AMH184" s="1"/>
      <c r="AMI184" s="1"/>
      <c r="AMJ184" s="1"/>
    </row>
    <row r="185" customFormat="false" ht="10.5" hidden="false" customHeight="true" outlineLevel="0" collapsed="false">
      <c r="A185" s="136" t="s">
        <v>318</v>
      </c>
      <c r="B185" s="136"/>
      <c r="C185" s="136"/>
      <c r="D185" s="136"/>
      <c r="E185" s="136"/>
      <c r="F185" s="136"/>
      <c r="G185" s="136"/>
      <c r="H185" s="136"/>
      <c r="I185" s="136"/>
      <c r="J185" s="136"/>
      <c r="K185" s="219" t="s">
        <v>124</v>
      </c>
      <c r="L185" s="219"/>
      <c r="M185" s="219"/>
      <c r="N185" s="219"/>
      <c r="O185" s="219" t="s">
        <v>323</v>
      </c>
      <c r="P185" s="219"/>
      <c r="Q185" s="219"/>
      <c r="R185" s="219" t="s">
        <v>324</v>
      </c>
      <c r="S185" s="219"/>
      <c r="T185" s="219"/>
      <c r="U185" s="219" t="s">
        <v>325</v>
      </c>
      <c r="V185" s="219"/>
      <c r="W185" s="219"/>
      <c r="X185" s="219"/>
      <c r="Y185" s="219" t="s">
        <v>326</v>
      </c>
      <c r="Z185" s="219"/>
      <c r="AA185" s="219"/>
      <c r="AB185" s="219"/>
      <c r="AC185" s="219"/>
      <c r="AD185" s="219"/>
      <c r="AE185" s="219"/>
      <c r="AF185" s="219"/>
      <c r="AG185" s="219"/>
      <c r="AH185" s="219"/>
      <c r="AI185" s="219"/>
      <c r="AJ185" s="220" t="s">
        <v>128</v>
      </c>
      <c r="AK185" s="220"/>
      <c r="AL185" s="220"/>
      <c r="AM185" s="220"/>
      <c r="AN185" s="220"/>
      <c r="AO185" s="220"/>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c r="IY185" s="1"/>
      <c r="IZ185" s="1"/>
      <c r="JA185" s="1"/>
      <c r="JB185" s="1"/>
      <c r="JC185" s="1"/>
      <c r="JD185" s="1"/>
      <c r="JE185" s="1"/>
      <c r="JF185" s="1"/>
      <c r="JG185" s="1"/>
      <c r="JH185" s="1"/>
      <c r="JI185" s="1"/>
      <c r="JJ185" s="1"/>
      <c r="JK185" s="1"/>
      <c r="JL185" s="1"/>
      <c r="JM185" s="1"/>
      <c r="JN185" s="1"/>
      <c r="JO185" s="1"/>
      <c r="JP185" s="1"/>
      <c r="JQ185" s="1"/>
      <c r="JR185" s="1"/>
      <c r="JS185" s="1"/>
      <c r="JT185" s="1"/>
      <c r="JU185" s="1"/>
      <c r="JV185" s="1"/>
      <c r="JW185" s="1"/>
      <c r="JX185" s="1"/>
      <c r="JY185" s="1"/>
      <c r="JZ185" s="1"/>
      <c r="KA185" s="1"/>
      <c r="KB185" s="1"/>
      <c r="KC185" s="1"/>
      <c r="KD185" s="1"/>
      <c r="KE185" s="1"/>
      <c r="KF185" s="1"/>
      <c r="KG185" s="1"/>
      <c r="KH185" s="1"/>
      <c r="KI185" s="1"/>
      <c r="KJ185" s="1"/>
      <c r="KK185" s="1"/>
      <c r="KL185" s="1"/>
      <c r="KM185" s="1"/>
      <c r="KN185" s="1"/>
      <c r="KO185" s="1"/>
      <c r="KP185" s="1"/>
      <c r="KQ185" s="1"/>
      <c r="KR185" s="1"/>
      <c r="KS185" s="1"/>
      <c r="KT185" s="1"/>
      <c r="KU185" s="1"/>
      <c r="KV185" s="1"/>
      <c r="KW185" s="1"/>
      <c r="KX185" s="1"/>
      <c r="KY185" s="1"/>
      <c r="KZ185" s="1"/>
      <c r="LA185" s="1"/>
      <c r="LB185" s="1"/>
      <c r="LC185" s="1"/>
      <c r="LD185" s="1"/>
      <c r="LE185" s="1"/>
      <c r="LF185" s="1"/>
      <c r="LG185" s="1"/>
      <c r="LH185" s="1"/>
      <c r="LI185" s="1"/>
      <c r="LJ185" s="1"/>
      <c r="LK185" s="1"/>
      <c r="LL185" s="1"/>
      <c r="LM185" s="1"/>
      <c r="LN185" s="1"/>
      <c r="LO185" s="1"/>
      <c r="LP185" s="1"/>
      <c r="LQ185" s="1"/>
      <c r="LR185" s="1"/>
      <c r="LS185" s="1"/>
      <c r="LT185" s="1"/>
      <c r="LU185" s="1"/>
      <c r="LV185" s="1"/>
      <c r="LW185" s="1"/>
      <c r="LX185" s="1"/>
      <c r="LY185" s="1"/>
      <c r="LZ185" s="1"/>
      <c r="MA185" s="1"/>
      <c r="MB185" s="1"/>
      <c r="MC185" s="1"/>
      <c r="MD185" s="1"/>
      <c r="ME185" s="1"/>
      <c r="MF185" s="1"/>
      <c r="MG185" s="1"/>
      <c r="MH185" s="1"/>
      <c r="MI185" s="1"/>
      <c r="MJ185" s="1"/>
      <c r="MK185" s="1"/>
      <c r="ML185" s="1"/>
      <c r="MM185" s="1"/>
      <c r="MN185" s="1"/>
      <c r="MO185" s="1"/>
      <c r="MP185" s="1"/>
      <c r="MQ185" s="1"/>
      <c r="MR185" s="1"/>
      <c r="MS185" s="1"/>
      <c r="MT185" s="1"/>
      <c r="MU185" s="1"/>
      <c r="MV185" s="1"/>
      <c r="MW185" s="1"/>
      <c r="MX185" s="1"/>
      <c r="MY185" s="1"/>
      <c r="MZ185" s="1"/>
      <c r="NA185" s="1"/>
      <c r="NB185" s="1"/>
      <c r="NC185" s="1"/>
      <c r="ND185" s="1"/>
      <c r="NE185" s="1"/>
      <c r="NF185" s="1"/>
      <c r="NG185" s="1"/>
      <c r="NH185" s="1"/>
      <c r="NI185" s="1"/>
      <c r="NJ185" s="1"/>
      <c r="NK185" s="1"/>
      <c r="NL185" s="1"/>
      <c r="NM185" s="1"/>
      <c r="NN185" s="1"/>
      <c r="NO185" s="1"/>
      <c r="NP185" s="1"/>
      <c r="NQ185" s="1"/>
      <c r="NR185" s="1"/>
      <c r="NS185" s="1"/>
      <c r="NT185" s="1"/>
      <c r="NU185" s="1"/>
      <c r="NV185" s="1"/>
      <c r="NW185" s="1"/>
      <c r="NX185" s="1"/>
      <c r="NY185" s="1"/>
      <c r="NZ185" s="1"/>
      <c r="OA185" s="1"/>
      <c r="OB185" s="1"/>
      <c r="OC185" s="1"/>
      <c r="OD185" s="1"/>
      <c r="OE185" s="1"/>
      <c r="OF185" s="1"/>
      <c r="OG185" s="1"/>
      <c r="OH185" s="1"/>
      <c r="OI185" s="1"/>
      <c r="OJ185" s="1"/>
      <c r="OK185" s="1"/>
      <c r="OL185" s="1"/>
      <c r="OM185" s="1"/>
      <c r="ON185" s="1"/>
      <c r="OO185" s="1"/>
      <c r="OP185" s="1"/>
      <c r="OQ185" s="1"/>
      <c r="OR185" s="1"/>
      <c r="OS185" s="1"/>
      <c r="OT185" s="1"/>
      <c r="OU185" s="1"/>
      <c r="OV185" s="1"/>
      <c r="OW185" s="1"/>
      <c r="OX185" s="1"/>
      <c r="OY185" s="1"/>
      <c r="OZ185" s="1"/>
      <c r="PA185" s="1"/>
      <c r="PB185" s="1"/>
      <c r="PC185" s="1"/>
      <c r="PD185" s="1"/>
      <c r="PE185" s="1"/>
      <c r="PF185" s="1"/>
      <c r="PG185" s="1"/>
      <c r="PH185" s="1"/>
      <c r="PI185" s="1"/>
      <c r="PJ185" s="1"/>
      <c r="PK185" s="1"/>
      <c r="PL185" s="1"/>
      <c r="PM185" s="1"/>
      <c r="PN185" s="1"/>
      <c r="PO185" s="1"/>
      <c r="PP185" s="1"/>
      <c r="PQ185" s="1"/>
      <c r="PR185" s="1"/>
      <c r="PS185" s="1"/>
      <c r="PT185" s="1"/>
      <c r="PU185" s="1"/>
      <c r="PV185" s="1"/>
      <c r="PW185" s="1"/>
      <c r="PX185" s="1"/>
      <c r="PY185" s="1"/>
      <c r="PZ185" s="1"/>
      <c r="QA185" s="1"/>
      <c r="QB185" s="1"/>
      <c r="QC185" s="1"/>
      <c r="QD185" s="1"/>
      <c r="QE185" s="1"/>
      <c r="QF185" s="1"/>
      <c r="QG185" s="1"/>
      <c r="QH185" s="1"/>
      <c r="QI185" s="1"/>
      <c r="QJ185" s="1"/>
      <c r="QK185" s="1"/>
      <c r="QL185" s="1"/>
      <c r="QM185" s="1"/>
      <c r="QN185" s="1"/>
      <c r="QO185" s="1"/>
      <c r="QP185" s="1"/>
      <c r="QQ185" s="1"/>
      <c r="QR185" s="1"/>
      <c r="QS185" s="1"/>
      <c r="QT185" s="1"/>
      <c r="QU185" s="1"/>
      <c r="QV185" s="1"/>
      <c r="QW185" s="1"/>
      <c r="QX185" s="1"/>
      <c r="QY185" s="1"/>
      <c r="QZ185" s="1"/>
      <c r="RA185" s="1"/>
      <c r="RB185" s="1"/>
      <c r="RC185" s="1"/>
      <c r="RD185" s="1"/>
      <c r="RE185" s="1"/>
      <c r="RF185" s="1"/>
      <c r="RG185" s="1"/>
      <c r="RH185" s="1"/>
      <c r="RI185" s="1"/>
      <c r="RJ185" s="1"/>
      <c r="RK185" s="1"/>
      <c r="RL185" s="1"/>
      <c r="RM185" s="1"/>
      <c r="RN185" s="1"/>
      <c r="RO185" s="1"/>
      <c r="RP185" s="1"/>
      <c r="RQ185" s="1"/>
      <c r="RR185" s="1"/>
      <c r="RS185" s="1"/>
      <c r="RT185" s="1"/>
      <c r="RU185" s="1"/>
      <c r="RV185" s="1"/>
      <c r="RW185" s="1"/>
      <c r="RX185" s="1"/>
      <c r="RY185" s="1"/>
      <c r="RZ185" s="1"/>
      <c r="SA185" s="1"/>
      <c r="SB185" s="1"/>
      <c r="SC185" s="1"/>
      <c r="SD185" s="1"/>
      <c r="SE185" s="1"/>
      <c r="SF185" s="1"/>
      <c r="SG185" s="1"/>
      <c r="SH185" s="1"/>
      <c r="SI185" s="1"/>
      <c r="SJ185" s="1"/>
      <c r="SK185" s="1"/>
      <c r="SL185" s="1"/>
      <c r="SM185" s="1"/>
      <c r="SN185" s="1"/>
      <c r="SO185" s="1"/>
      <c r="SP185" s="1"/>
      <c r="SQ185" s="1"/>
      <c r="SR185" s="1"/>
      <c r="SS185" s="1"/>
      <c r="ST185" s="1"/>
      <c r="SU185" s="1"/>
      <c r="SV185" s="1"/>
      <c r="SW185" s="1"/>
      <c r="SX185" s="1"/>
      <c r="SY185" s="1"/>
      <c r="SZ185" s="1"/>
      <c r="TA185" s="1"/>
      <c r="TB185" s="1"/>
      <c r="TC185" s="1"/>
      <c r="TD185" s="1"/>
      <c r="TE185" s="1"/>
      <c r="TF185" s="1"/>
      <c r="TG185" s="1"/>
      <c r="TH185" s="1"/>
      <c r="TI185" s="1"/>
      <c r="TJ185" s="1"/>
      <c r="TK185" s="1"/>
      <c r="TL185" s="1"/>
      <c r="TM185" s="1"/>
      <c r="TN185" s="1"/>
      <c r="TO185" s="1"/>
      <c r="TP185" s="1"/>
      <c r="TQ185" s="1"/>
      <c r="TR185" s="1"/>
      <c r="TS185" s="1"/>
      <c r="TT185" s="1"/>
      <c r="TU185" s="1"/>
      <c r="TV185" s="1"/>
      <c r="TW185" s="1"/>
      <c r="TX185" s="1"/>
      <c r="TY185" s="1"/>
      <c r="TZ185" s="1"/>
      <c r="UA185" s="1"/>
      <c r="UB185" s="1"/>
      <c r="UC185" s="1"/>
      <c r="UD185" s="1"/>
      <c r="UE185" s="1"/>
      <c r="UF185" s="1"/>
      <c r="UG185" s="1"/>
      <c r="UH185" s="1"/>
      <c r="UI185" s="1"/>
      <c r="UJ185" s="1"/>
      <c r="UK185" s="1"/>
      <c r="UL185" s="1"/>
      <c r="UM185" s="1"/>
      <c r="UN185" s="1"/>
      <c r="UO185" s="1"/>
      <c r="UP185" s="1"/>
      <c r="UQ185" s="1"/>
      <c r="UR185" s="1"/>
      <c r="US185" s="1"/>
      <c r="UT185" s="1"/>
      <c r="UU185" s="1"/>
      <c r="UV185" s="1"/>
      <c r="UW185" s="1"/>
      <c r="UX185" s="1"/>
      <c r="UY185" s="1"/>
      <c r="UZ185" s="1"/>
      <c r="VA185" s="1"/>
      <c r="VB185" s="1"/>
      <c r="VC185" s="1"/>
      <c r="VD185" s="1"/>
      <c r="VE185" s="1"/>
      <c r="VF185" s="1"/>
      <c r="VG185" s="1"/>
      <c r="VH185" s="1"/>
      <c r="VI185" s="1"/>
      <c r="VJ185" s="1"/>
      <c r="VK185" s="1"/>
      <c r="VL185" s="1"/>
      <c r="VM185" s="1"/>
      <c r="VN185" s="1"/>
      <c r="VO185" s="1"/>
      <c r="VP185" s="1"/>
      <c r="VQ185" s="1"/>
      <c r="VR185" s="1"/>
      <c r="VS185" s="1"/>
      <c r="VT185" s="1"/>
      <c r="VU185" s="1"/>
      <c r="VV185" s="1"/>
      <c r="VW185" s="1"/>
      <c r="VX185" s="1"/>
      <c r="VY185" s="1"/>
      <c r="VZ185" s="1"/>
      <c r="WA185" s="1"/>
      <c r="WB185" s="1"/>
      <c r="WC185" s="1"/>
      <c r="WD185" s="1"/>
      <c r="WE185" s="1"/>
      <c r="WF185" s="1"/>
      <c r="WG185" s="1"/>
      <c r="WH185" s="1"/>
      <c r="WI185" s="1"/>
      <c r="WJ185" s="1"/>
      <c r="WK185" s="1"/>
      <c r="WL185" s="1"/>
      <c r="WM185" s="1"/>
      <c r="WN185" s="1"/>
      <c r="WO185" s="1"/>
      <c r="WP185" s="1"/>
      <c r="WQ185" s="1"/>
      <c r="WR185" s="1"/>
      <c r="WS185" s="1"/>
      <c r="WT185" s="1"/>
      <c r="WU185" s="1"/>
      <c r="WV185" s="1"/>
      <c r="WW185" s="1"/>
      <c r="WX185" s="1"/>
      <c r="WY185" s="1"/>
      <c r="WZ185" s="1"/>
      <c r="XA185" s="1"/>
      <c r="XB185" s="1"/>
      <c r="XC185" s="1"/>
      <c r="XD185" s="1"/>
      <c r="XE185" s="1"/>
      <c r="XF185" s="1"/>
      <c r="XG185" s="1"/>
      <c r="XH185" s="1"/>
      <c r="XI185" s="1"/>
      <c r="XJ185" s="1"/>
      <c r="XK185" s="1"/>
      <c r="XL185" s="1"/>
      <c r="XM185" s="1"/>
      <c r="XN185" s="1"/>
      <c r="XO185" s="1"/>
      <c r="XP185" s="1"/>
      <c r="XQ185" s="1"/>
      <c r="XR185" s="1"/>
      <c r="XS185" s="1"/>
      <c r="XT185" s="1"/>
      <c r="XU185" s="1"/>
      <c r="XV185" s="1"/>
      <c r="XW185" s="1"/>
      <c r="XX185" s="1"/>
      <c r="XY185" s="1"/>
      <c r="XZ185" s="1"/>
      <c r="YA185" s="1"/>
      <c r="YB185" s="1"/>
      <c r="YC185" s="1"/>
      <c r="YD185" s="1"/>
      <c r="YE185" s="1"/>
      <c r="YF185" s="1"/>
      <c r="YG185" s="1"/>
      <c r="YH185" s="1"/>
      <c r="YI185" s="1"/>
      <c r="YJ185" s="1"/>
      <c r="YK185" s="1"/>
      <c r="YL185" s="1"/>
      <c r="YM185" s="1"/>
      <c r="YN185" s="1"/>
      <c r="YO185" s="1"/>
      <c r="YP185" s="1"/>
      <c r="YQ185" s="1"/>
      <c r="YR185" s="1"/>
      <c r="YS185" s="1"/>
      <c r="YT185" s="1"/>
      <c r="YU185" s="1"/>
      <c r="YV185" s="1"/>
      <c r="YW185" s="1"/>
      <c r="YX185" s="1"/>
      <c r="YY185" s="1"/>
      <c r="YZ185" s="1"/>
      <c r="ZA185" s="1"/>
      <c r="ZB185" s="1"/>
      <c r="ZC185" s="1"/>
      <c r="ZD185" s="1"/>
      <c r="ZE185" s="1"/>
      <c r="ZF185" s="1"/>
      <c r="ZG185" s="1"/>
      <c r="ZH185" s="1"/>
      <c r="ZI185" s="1"/>
      <c r="ZJ185" s="1"/>
      <c r="ZK185" s="1"/>
      <c r="ZL185" s="1"/>
      <c r="ZM185" s="1"/>
      <c r="ZN185" s="1"/>
      <c r="ZO185" s="1"/>
      <c r="ZP185" s="1"/>
      <c r="ZQ185" s="1"/>
      <c r="ZR185" s="1"/>
      <c r="ZS185" s="1"/>
      <c r="ZT185" s="1"/>
      <c r="ZU185" s="1"/>
      <c r="ZV185" s="1"/>
      <c r="ZW185" s="1"/>
      <c r="ZX185" s="1"/>
      <c r="ZY185" s="1"/>
      <c r="ZZ185" s="1"/>
      <c r="AAA185" s="1"/>
      <c r="AAB185" s="1"/>
      <c r="AAC185" s="1"/>
      <c r="AAD185" s="1"/>
      <c r="AAE185" s="1"/>
      <c r="AAF185" s="1"/>
      <c r="AAG185" s="1"/>
      <c r="AAH185" s="1"/>
      <c r="AAI185" s="1"/>
      <c r="AAJ185" s="1"/>
      <c r="AAK185" s="1"/>
      <c r="AAL185" s="1"/>
      <c r="AAM185" s="1"/>
      <c r="AAN185" s="1"/>
      <c r="AAO185" s="1"/>
      <c r="AAP185" s="1"/>
      <c r="AAQ185" s="1"/>
      <c r="AAR185" s="1"/>
      <c r="AAS185" s="1"/>
      <c r="AAT185" s="1"/>
      <c r="AAU185" s="1"/>
      <c r="AAV185" s="1"/>
      <c r="AAW185" s="1"/>
      <c r="AAX185" s="1"/>
      <c r="AAY185" s="1"/>
      <c r="AAZ185" s="1"/>
      <c r="ABA185" s="1"/>
      <c r="ABB185" s="1"/>
      <c r="ABC185" s="1"/>
      <c r="ABD185" s="1"/>
      <c r="ABE185" s="1"/>
      <c r="ABF185" s="1"/>
      <c r="ABG185" s="1"/>
      <c r="ABH185" s="1"/>
      <c r="ABI185" s="1"/>
      <c r="ABJ185" s="1"/>
      <c r="ABK185" s="1"/>
      <c r="ABL185" s="1"/>
      <c r="ABM185" s="1"/>
      <c r="ABN185" s="1"/>
      <c r="ABO185" s="1"/>
      <c r="ABP185" s="1"/>
      <c r="ABQ185" s="1"/>
      <c r="ABR185" s="1"/>
      <c r="ABS185" s="1"/>
      <c r="ABT185" s="1"/>
      <c r="ABU185" s="1"/>
      <c r="ABV185" s="1"/>
      <c r="ABW185" s="1"/>
      <c r="ABX185" s="1"/>
      <c r="ABY185" s="1"/>
      <c r="ABZ185" s="1"/>
      <c r="ACA185" s="1"/>
      <c r="ACB185" s="1"/>
      <c r="ACC185" s="1"/>
      <c r="ACD185" s="1"/>
      <c r="ACE185" s="1"/>
      <c r="ACF185" s="1"/>
      <c r="ACG185" s="1"/>
      <c r="ACH185" s="1"/>
      <c r="ACI185" s="1"/>
      <c r="ACJ185" s="1"/>
      <c r="ACK185" s="1"/>
      <c r="ACL185" s="1"/>
      <c r="ACM185" s="1"/>
      <c r="ACN185" s="1"/>
      <c r="ACO185" s="1"/>
      <c r="ACP185" s="1"/>
      <c r="ACQ185" s="1"/>
      <c r="ACR185" s="1"/>
      <c r="ACS185" s="1"/>
      <c r="ACT185" s="1"/>
      <c r="ACU185" s="1"/>
      <c r="ACV185" s="1"/>
      <c r="ACW185" s="1"/>
      <c r="ACX185" s="1"/>
      <c r="ACY185" s="1"/>
      <c r="ACZ185" s="1"/>
      <c r="ADA185" s="1"/>
      <c r="ADB185" s="1"/>
      <c r="ADC185" s="1"/>
      <c r="ADD185" s="1"/>
      <c r="ADE185" s="1"/>
      <c r="ADF185" s="1"/>
      <c r="ADG185" s="1"/>
      <c r="ADH185" s="1"/>
      <c r="ADI185" s="1"/>
      <c r="ADJ185" s="1"/>
      <c r="ADK185" s="1"/>
      <c r="ADL185" s="1"/>
      <c r="ADM185" s="1"/>
      <c r="ADN185" s="1"/>
      <c r="ADO185" s="1"/>
      <c r="ADP185" s="1"/>
      <c r="ADQ185" s="1"/>
      <c r="ADR185" s="1"/>
      <c r="ADS185" s="1"/>
      <c r="ADT185" s="1"/>
      <c r="ADU185" s="1"/>
      <c r="ADV185" s="1"/>
      <c r="ADW185" s="1"/>
      <c r="ADX185" s="1"/>
      <c r="ADY185" s="1"/>
      <c r="ADZ185" s="1"/>
      <c r="AEA185" s="1"/>
      <c r="AEB185" s="1"/>
      <c r="AEC185" s="1"/>
      <c r="AED185" s="1"/>
      <c r="AEE185" s="1"/>
      <c r="AEF185" s="1"/>
      <c r="AEG185" s="1"/>
      <c r="AEH185" s="1"/>
      <c r="AEI185" s="1"/>
      <c r="AEJ185" s="1"/>
      <c r="AEK185" s="1"/>
      <c r="AEL185" s="1"/>
      <c r="AEM185" s="1"/>
      <c r="AEN185" s="1"/>
      <c r="AEO185" s="1"/>
      <c r="AEP185" s="1"/>
      <c r="AEQ185" s="1"/>
      <c r="AER185" s="1"/>
      <c r="AES185" s="1"/>
      <c r="AET185" s="1"/>
      <c r="AEU185" s="1"/>
      <c r="AEV185" s="1"/>
      <c r="AEW185" s="1"/>
      <c r="AEX185" s="1"/>
      <c r="AEY185" s="1"/>
      <c r="AEZ185" s="1"/>
      <c r="AFA185" s="1"/>
      <c r="AFB185" s="1"/>
      <c r="AFC185" s="1"/>
      <c r="AFD185" s="1"/>
      <c r="AFE185" s="1"/>
      <c r="AFF185" s="1"/>
      <c r="AFG185" s="1"/>
      <c r="AFH185" s="1"/>
      <c r="AFI185" s="1"/>
      <c r="AFJ185" s="1"/>
      <c r="AFK185" s="1"/>
      <c r="AFL185" s="1"/>
      <c r="AFM185" s="1"/>
      <c r="AFN185" s="1"/>
      <c r="AFO185" s="1"/>
      <c r="AFP185" s="1"/>
      <c r="AFQ185" s="1"/>
      <c r="AFR185" s="1"/>
      <c r="AFS185" s="1"/>
      <c r="AFT185" s="1"/>
      <c r="AFU185" s="1"/>
      <c r="AFV185" s="1"/>
      <c r="AFW185" s="1"/>
      <c r="AFX185" s="1"/>
      <c r="AFY185" s="1"/>
      <c r="AFZ185" s="1"/>
      <c r="AGA185" s="1"/>
      <c r="AGB185" s="1"/>
      <c r="AGC185" s="1"/>
      <c r="AGD185" s="1"/>
      <c r="AGE185" s="1"/>
      <c r="AGF185" s="1"/>
      <c r="AGG185" s="1"/>
      <c r="AGH185" s="1"/>
      <c r="AGI185" s="1"/>
      <c r="AGJ185" s="1"/>
      <c r="AGK185" s="1"/>
      <c r="AGL185" s="1"/>
      <c r="AGM185" s="1"/>
      <c r="AGN185" s="1"/>
      <c r="AGO185" s="1"/>
      <c r="AGP185" s="1"/>
      <c r="AGQ185" s="1"/>
      <c r="AGR185" s="1"/>
      <c r="AGS185" s="1"/>
      <c r="AGT185" s="1"/>
      <c r="AGU185" s="1"/>
      <c r="AGV185" s="1"/>
      <c r="AGW185" s="1"/>
      <c r="AGX185" s="1"/>
      <c r="AGY185" s="1"/>
      <c r="AGZ185" s="1"/>
      <c r="AHA185" s="1"/>
      <c r="AHB185" s="1"/>
      <c r="AHC185" s="1"/>
      <c r="AHD185" s="1"/>
      <c r="AHE185" s="1"/>
      <c r="AHF185" s="1"/>
      <c r="AHG185" s="1"/>
      <c r="AHH185" s="1"/>
      <c r="AHI185" s="1"/>
      <c r="AHJ185" s="1"/>
      <c r="AHK185" s="1"/>
      <c r="AHL185" s="1"/>
      <c r="AHM185" s="1"/>
      <c r="AHN185" s="1"/>
      <c r="AHO185" s="1"/>
      <c r="AHP185" s="1"/>
      <c r="AHQ185" s="1"/>
      <c r="AHR185" s="1"/>
      <c r="AHS185" s="1"/>
      <c r="AHT185" s="1"/>
      <c r="AHU185" s="1"/>
      <c r="AHV185" s="1"/>
      <c r="AHW185" s="1"/>
      <c r="AHX185" s="1"/>
      <c r="AHY185" s="1"/>
      <c r="AHZ185" s="1"/>
      <c r="AIA185" s="1"/>
      <c r="AIB185" s="1"/>
      <c r="AIC185" s="1"/>
      <c r="AID185" s="1"/>
      <c r="AIE185" s="1"/>
      <c r="AIF185" s="1"/>
      <c r="AIG185" s="1"/>
      <c r="AIH185" s="1"/>
      <c r="AII185" s="1"/>
      <c r="AIJ185" s="1"/>
      <c r="AIK185" s="1"/>
      <c r="AIL185" s="1"/>
      <c r="AIM185" s="1"/>
      <c r="AIN185" s="1"/>
      <c r="AIO185" s="1"/>
      <c r="AIP185" s="1"/>
      <c r="AIQ185" s="1"/>
      <c r="AIR185" s="1"/>
      <c r="AIS185" s="1"/>
      <c r="AIT185" s="1"/>
      <c r="AIU185" s="1"/>
      <c r="AIV185" s="1"/>
      <c r="AIW185" s="1"/>
      <c r="AIX185" s="1"/>
      <c r="AIY185" s="1"/>
      <c r="AIZ185" s="1"/>
      <c r="AJA185" s="1"/>
      <c r="AJB185" s="1"/>
      <c r="AJC185" s="1"/>
      <c r="AJD185" s="1"/>
      <c r="AJE185" s="1"/>
      <c r="AJF185" s="1"/>
      <c r="AJG185" s="1"/>
      <c r="AJH185" s="1"/>
      <c r="AJI185" s="1"/>
      <c r="AJJ185" s="1"/>
      <c r="AJK185" s="1"/>
      <c r="AJL185" s="1"/>
      <c r="AJM185" s="1"/>
      <c r="AJN185" s="1"/>
      <c r="AJO185" s="1"/>
      <c r="AJP185" s="1"/>
      <c r="AJQ185" s="1"/>
      <c r="AJR185" s="1"/>
      <c r="AJS185" s="1"/>
      <c r="AJT185" s="1"/>
      <c r="AJU185" s="1"/>
      <c r="AJV185" s="1"/>
      <c r="AJW185" s="1"/>
      <c r="AJX185" s="1"/>
      <c r="AJY185" s="1"/>
      <c r="AJZ185" s="1"/>
      <c r="AKA185" s="1"/>
      <c r="AKB185" s="1"/>
      <c r="AKC185" s="1"/>
      <c r="AKD185" s="1"/>
      <c r="AKE185" s="1"/>
      <c r="AKF185" s="1"/>
      <c r="AKG185" s="1"/>
      <c r="AKH185" s="1"/>
      <c r="AKI185" s="1"/>
      <c r="AKJ185" s="1"/>
      <c r="AKK185" s="1"/>
      <c r="AKL185" s="1"/>
      <c r="AKM185" s="1"/>
      <c r="AKN185" s="1"/>
      <c r="AKO185" s="1"/>
      <c r="AKP185" s="1"/>
      <c r="AKQ185" s="1"/>
      <c r="AKR185" s="1"/>
      <c r="AKS185" s="1"/>
      <c r="AKT185" s="1"/>
      <c r="AKU185" s="1"/>
      <c r="AKV185" s="1"/>
      <c r="AKW185" s="1"/>
      <c r="AKX185" s="1"/>
      <c r="AKY185" s="1"/>
      <c r="AKZ185" s="1"/>
      <c r="ALA185" s="1"/>
      <c r="ALB185" s="1"/>
      <c r="ALC185" s="1"/>
      <c r="ALD185" s="1"/>
      <c r="ALE185" s="1"/>
      <c r="ALF185" s="1"/>
      <c r="ALG185" s="1"/>
      <c r="ALH185" s="1"/>
      <c r="ALI185" s="1"/>
      <c r="ALJ185" s="1"/>
      <c r="ALK185" s="1"/>
      <c r="ALL185" s="1"/>
      <c r="ALM185" s="1"/>
      <c r="ALN185" s="1"/>
      <c r="ALO185" s="1"/>
      <c r="ALP185" s="1"/>
      <c r="ALQ185" s="1"/>
      <c r="ALR185" s="1"/>
      <c r="ALS185" s="1"/>
      <c r="ALT185" s="1"/>
      <c r="ALU185" s="1"/>
      <c r="ALV185" s="1"/>
      <c r="ALW185" s="1"/>
      <c r="ALX185" s="1"/>
      <c r="ALY185" s="1"/>
      <c r="ALZ185" s="1"/>
      <c r="AMA185" s="1"/>
      <c r="AMB185" s="1"/>
      <c r="AMC185" s="1"/>
      <c r="AMD185" s="1"/>
      <c r="AME185" s="1"/>
      <c r="AMF185" s="1"/>
      <c r="AMG185" s="1"/>
      <c r="AMH185" s="1"/>
      <c r="AMI185" s="1"/>
      <c r="AMJ185" s="1"/>
    </row>
    <row r="186" customFormat="false" ht="10.5" hidden="false" customHeight="true" outlineLevel="0" collapsed="false">
      <c r="A186" s="164" t="s">
        <v>327</v>
      </c>
      <c r="B186" s="164"/>
      <c r="C186" s="164"/>
      <c r="D186" s="164"/>
      <c r="E186" s="164"/>
      <c r="F186" s="164"/>
      <c r="G186" s="164"/>
      <c r="H186" s="164"/>
      <c r="I186" s="164"/>
      <c r="J186" s="164"/>
      <c r="K186" s="222" t="n">
        <v>2000</v>
      </c>
      <c r="L186" s="222"/>
      <c r="M186" s="222"/>
      <c r="N186" s="222"/>
      <c r="O186" s="23" t="s">
        <v>321</v>
      </c>
      <c r="P186" s="23"/>
      <c r="Q186" s="23"/>
      <c r="R186" s="222" t="n">
        <v>20</v>
      </c>
      <c r="S186" s="222"/>
      <c r="T186" s="222"/>
      <c r="U186" s="222" t="n">
        <v>239.34</v>
      </c>
      <c r="V186" s="222"/>
      <c r="W186" s="222"/>
      <c r="X186" s="222"/>
      <c r="Y186" s="168" t="s">
        <v>328</v>
      </c>
      <c r="Z186" s="168"/>
      <c r="AA186" s="168"/>
      <c r="AB186" s="168"/>
      <c r="AC186" s="168"/>
      <c r="AD186" s="168"/>
      <c r="AE186" s="168"/>
      <c r="AF186" s="168"/>
      <c r="AG186" s="168"/>
      <c r="AH186" s="168"/>
      <c r="AI186" s="168"/>
      <c r="AJ186" s="228" t="s">
        <v>64</v>
      </c>
      <c r="AK186" s="228"/>
      <c r="AL186" s="228"/>
      <c r="AM186" s="228"/>
      <c r="AN186" s="228"/>
      <c r="AO186" s="228"/>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c r="IY186" s="1"/>
      <c r="IZ186" s="1"/>
      <c r="JA186" s="1"/>
      <c r="JB186" s="1"/>
      <c r="JC186" s="1"/>
      <c r="JD186" s="1"/>
      <c r="JE186" s="1"/>
      <c r="JF186" s="1"/>
      <c r="JG186" s="1"/>
      <c r="JH186" s="1"/>
      <c r="JI186" s="1"/>
      <c r="JJ186" s="1"/>
      <c r="JK186" s="1"/>
      <c r="JL186" s="1"/>
      <c r="JM186" s="1"/>
      <c r="JN186" s="1"/>
      <c r="JO186" s="1"/>
      <c r="JP186" s="1"/>
      <c r="JQ186" s="1"/>
      <c r="JR186" s="1"/>
      <c r="JS186" s="1"/>
      <c r="JT186" s="1"/>
      <c r="JU186" s="1"/>
      <c r="JV186" s="1"/>
      <c r="JW186" s="1"/>
      <c r="JX186" s="1"/>
      <c r="JY186" s="1"/>
      <c r="JZ186" s="1"/>
      <c r="KA186" s="1"/>
      <c r="KB186" s="1"/>
      <c r="KC186" s="1"/>
      <c r="KD186" s="1"/>
      <c r="KE186" s="1"/>
      <c r="KF186" s="1"/>
      <c r="KG186" s="1"/>
      <c r="KH186" s="1"/>
      <c r="KI186" s="1"/>
      <c r="KJ186" s="1"/>
      <c r="KK186" s="1"/>
      <c r="KL186" s="1"/>
      <c r="KM186" s="1"/>
      <c r="KN186" s="1"/>
      <c r="KO186" s="1"/>
      <c r="KP186" s="1"/>
      <c r="KQ186" s="1"/>
      <c r="KR186" s="1"/>
      <c r="KS186" s="1"/>
      <c r="KT186" s="1"/>
      <c r="KU186" s="1"/>
      <c r="KV186" s="1"/>
      <c r="KW186" s="1"/>
      <c r="KX186" s="1"/>
      <c r="KY186" s="1"/>
      <c r="KZ186" s="1"/>
      <c r="LA186" s="1"/>
      <c r="LB186" s="1"/>
      <c r="LC186" s="1"/>
      <c r="LD186" s="1"/>
      <c r="LE186" s="1"/>
      <c r="LF186" s="1"/>
      <c r="LG186" s="1"/>
      <c r="LH186" s="1"/>
      <c r="LI186" s="1"/>
      <c r="LJ186" s="1"/>
      <c r="LK186" s="1"/>
      <c r="LL186" s="1"/>
      <c r="LM186" s="1"/>
      <c r="LN186" s="1"/>
      <c r="LO186" s="1"/>
      <c r="LP186" s="1"/>
      <c r="LQ186" s="1"/>
      <c r="LR186" s="1"/>
      <c r="LS186" s="1"/>
      <c r="LT186" s="1"/>
      <c r="LU186" s="1"/>
      <c r="LV186" s="1"/>
      <c r="LW186" s="1"/>
      <c r="LX186" s="1"/>
      <c r="LY186" s="1"/>
      <c r="LZ186" s="1"/>
      <c r="MA186" s="1"/>
      <c r="MB186" s="1"/>
      <c r="MC186" s="1"/>
      <c r="MD186" s="1"/>
      <c r="ME186" s="1"/>
      <c r="MF186" s="1"/>
      <c r="MG186" s="1"/>
      <c r="MH186" s="1"/>
      <c r="MI186" s="1"/>
      <c r="MJ186" s="1"/>
      <c r="MK186" s="1"/>
      <c r="ML186" s="1"/>
      <c r="MM186" s="1"/>
      <c r="MN186" s="1"/>
      <c r="MO186" s="1"/>
      <c r="MP186" s="1"/>
      <c r="MQ186" s="1"/>
      <c r="MR186" s="1"/>
      <c r="MS186" s="1"/>
      <c r="MT186" s="1"/>
      <c r="MU186" s="1"/>
      <c r="MV186" s="1"/>
      <c r="MW186" s="1"/>
      <c r="MX186" s="1"/>
      <c r="MY186" s="1"/>
      <c r="MZ186" s="1"/>
      <c r="NA186" s="1"/>
      <c r="NB186" s="1"/>
      <c r="NC186" s="1"/>
      <c r="ND186" s="1"/>
      <c r="NE186" s="1"/>
      <c r="NF186" s="1"/>
      <c r="NG186" s="1"/>
      <c r="NH186" s="1"/>
      <c r="NI186" s="1"/>
      <c r="NJ186" s="1"/>
      <c r="NK186" s="1"/>
      <c r="NL186" s="1"/>
      <c r="NM186" s="1"/>
      <c r="NN186" s="1"/>
      <c r="NO186" s="1"/>
      <c r="NP186" s="1"/>
      <c r="NQ186" s="1"/>
      <c r="NR186" s="1"/>
      <c r="NS186" s="1"/>
      <c r="NT186" s="1"/>
      <c r="NU186" s="1"/>
      <c r="NV186" s="1"/>
      <c r="NW186" s="1"/>
      <c r="NX186" s="1"/>
      <c r="NY186" s="1"/>
      <c r="NZ186" s="1"/>
      <c r="OA186" s="1"/>
      <c r="OB186" s="1"/>
      <c r="OC186" s="1"/>
      <c r="OD186" s="1"/>
      <c r="OE186" s="1"/>
      <c r="OF186" s="1"/>
      <c r="OG186" s="1"/>
      <c r="OH186" s="1"/>
      <c r="OI186" s="1"/>
      <c r="OJ186" s="1"/>
      <c r="OK186" s="1"/>
      <c r="OL186" s="1"/>
      <c r="OM186" s="1"/>
      <c r="ON186" s="1"/>
      <c r="OO186" s="1"/>
      <c r="OP186" s="1"/>
      <c r="OQ186" s="1"/>
      <c r="OR186" s="1"/>
      <c r="OS186" s="1"/>
      <c r="OT186" s="1"/>
      <c r="OU186" s="1"/>
      <c r="OV186" s="1"/>
      <c r="OW186" s="1"/>
      <c r="OX186" s="1"/>
      <c r="OY186" s="1"/>
      <c r="OZ186" s="1"/>
      <c r="PA186" s="1"/>
      <c r="PB186" s="1"/>
      <c r="PC186" s="1"/>
      <c r="PD186" s="1"/>
      <c r="PE186" s="1"/>
      <c r="PF186" s="1"/>
      <c r="PG186" s="1"/>
      <c r="PH186" s="1"/>
      <c r="PI186" s="1"/>
      <c r="PJ186" s="1"/>
      <c r="PK186" s="1"/>
      <c r="PL186" s="1"/>
      <c r="PM186" s="1"/>
      <c r="PN186" s="1"/>
      <c r="PO186" s="1"/>
      <c r="PP186" s="1"/>
      <c r="PQ186" s="1"/>
      <c r="PR186" s="1"/>
      <c r="PS186" s="1"/>
      <c r="PT186" s="1"/>
      <c r="PU186" s="1"/>
      <c r="PV186" s="1"/>
      <c r="PW186" s="1"/>
      <c r="PX186" s="1"/>
      <c r="PY186" s="1"/>
      <c r="PZ186" s="1"/>
      <c r="QA186" s="1"/>
      <c r="QB186" s="1"/>
      <c r="QC186" s="1"/>
      <c r="QD186" s="1"/>
      <c r="QE186" s="1"/>
      <c r="QF186" s="1"/>
      <c r="QG186" s="1"/>
      <c r="QH186" s="1"/>
      <c r="QI186" s="1"/>
      <c r="QJ186" s="1"/>
      <c r="QK186" s="1"/>
      <c r="QL186" s="1"/>
      <c r="QM186" s="1"/>
      <c r="QN186" s="1"/>
      <c r="QO186" s="1"/>
      <c r="QP186" s="1"/>
      <c r="QQ186" s="1"/>
      <c r="QR186" s="1"/>
      <c r="QS186" s="1"/>
      <c r="QT186" s="1"/>
      <c r="QU186" s="1"/>
      <c r="QV186" s="1"/>
      <c r="QW186" s="1"/>
      <c r="QX186" s="1"/>
      <c r="QY186" s="1"/>
      <c r="QZ186" s="1"/>
      <c r="RA186" s="1"/>
      <c r="RB186" s="1"/>
      <c r="RC186" s="1"/>
      <c r="RD186" s="1"/>
      <c r="RE186" s="1"/>
      <c r="RF186" s="1"/>
      <c r="RG186" s="1"/>
      <c r="RH186" s="1"/>
      <c r="RI186" s="1"/>
      <c r="RJ186" s="1"/>
      <c r="RK186" s="1"/>
      <c r="RL186" s="1"/>
      <c r="RM186" s="1"/>
      <c r="RN186" s="1"/>
      <c r="RO186" s="1"/>
      <c r="RP186" s="1"/>
      <c r="RQ186" s="1"/>
      <c r="RR186" s="1"/>
      <c r="RS186" s="1"/>
      <c r="RT186" s="1"/>
      <c r="RU186" s="1"/>
      <c r="RV186" s="1"/>
      <c r="RW186" s="1"/>
      <c r="RX186" s="1"/>
      <c r="RY186" s="1"/>
      <c r="RZ186" s="1"/>
      <c r="SA186" s="1"/>
      <c r="SB186" s="1"/>
      <c r="SC186" s="1"/>
      <c r="SD186" s="1"/>
      <c r="SE186" s="1"/>
      <c r="SF186" s="1"/>
      <c r="SG186" s="1"/>
      <c r="SH186" s="1"/>
      <c r="SI186" s="1"/>
      <c r="SJ186" s="1"/>
      <c r="SK186" s="1"/>
      <c r="SL186" s="1"/>
      <c r="SM186" s="1"/>
      <c r="SN186" s="1"/>
      <c r="SO186" s="1"/>
      <c r="SP186" s="1"/>
      <c r="SQ186" s="1"/>
      <c r="SR186" s="1"/>
      <c r="SS186" s="1"/>
      <c r="ST186" s="1"/>
      <c r="SU186" s="1"/>
      <c r="SV186" s="1"/>
      <c r="SW186" s="1"/>
      <c r="SX186" s="1"/>
      <c r="SY186" s="1"/>
      <c r="SZ186" s="1"/>
      <c r="TA186" s="1"/>
      <c r="TB186" s="1"/>
      <c r="TC186" s="1"/>
      <c r="TD186" s="1"/>
      <c r="TE186" s="1"/>
      <c r="TF186" s="1"/>
      <c r="TG186" s="1"/>
      <c r="TH186" s="1"/>
      <c r="TI186" s="1"/>
      <c r="TJ186" s="1"/>
      <c r="TK186" s="1"/>
      <c r="TL186" s="1"/>
      <c r="TM186" s="1"/>
      <c r="TN186" s="1"/>
      <c r="TO186" s="1"/>
      <c r="TP186" s="1"/>
      <c r="TQ186" s="1"/>
      <c r="TR186" s="1"/>
      <c r="TS186" s="1"/>
      <c r="TT186" s="1"/>
      <c r="TU186" s="1"/>
      <c r="TV186" s="1"/>
      <c r="TW186" s="1"/>
      <c r="TX186" s="1"/>
      <c r="TY186" s="1"/>
      <c r="TZ186" s="1"/>
      <c r="UA186" s="1"/>
      <c r="UB186" s="1"/>
      <c r="UC186" s="1"/>
      <c r="UD186" s="1"/>
      <c r="UE186" s="1"/>
      <c r="UF186" s="1"/>
      <c r="UG186" s="1"/>
      <c r="UH186" s="1"/>
      <c r="UI186" s="1"/>
      <c r="UJ186" s="1"/>
      <c r="UK186" s="1"/>
      <c r="UL186" s="1"/>
      <c r="UM186" s="1"/>
      <c r="UN186" s="1"/>
      <c r="UO186" s="1"/>
      <c r="UP186" s="1"/>
      <c r="UQ186" s="1"/>
      <c r="UR186" s="1"/>
      <c r="US186" s="1"/>
      <c r="UT186" s="1"/>
      <c r="UU186" s="1"/>
      <c r="UV186" s="1"/>
      <c r="UW186" s="1"/>
      <c r="UX186" s="1"/>
      <c r="UY186" s="1"/>
      <c r="UZ186" s="1"/>
      <c r="VA186" s="1"/>
      <c r="VB186" s="1"/>
      <c r="VC186" s="1"/>
      <c r="VD186" s="1"/>
      <c r="VE186" s="1"/>
      <c r="VF186" s="1"/>
      <c r="VG186" s="1"/>
      <c r="VH186" s="1"/>
      <c r="VI186" s="1"/>
      <c r="VJ186" s="1"/>
      <c r="VK186" s="1"/>
      <c r="VL186" s="1"/>
      <c r="VM186" s="1"/>
      <c r="VN186" s="1"/>
      <c r="VO186" s="1"/>
      <c r="VP186" s="1"/>
      <c r="VQ186" s="1"/>
      <c r="VR186" s="1"/>
      <c r="VS186" s="1"/>
      <c r="VT186" s="1"/>
      <c r="VU186" s="1"/>
      <c r="VV186" s="1"/>
      <c r="VW186" s="1"/>
      <c r="VX186" s="1"/>
      <c r="VY186" s="1"/>
      <c r="VZ186" s="1"/>
      <c r="WA186" s="1"/>
      <c r="WB186" s="1"/>
      <c r="WC186" s="1"/>
      <c r="WD186" s="1"/>
      <c r="WE186" s="1"/>
      <c r="WF186" s="1"/>
      <c r="WG186" s="1"/>
      <c r="WH186" s="1"/>
      <c r="WI186" s="1"/>
      <c r="WJ186" s="1"/>
      <c r="WK186" s="1"/>
      <c r="WL186" s="1"/>
      <c r="WM186" s="1"/>
      <c r="WN186" s="1"/>
      <c r="WO186" s="1"/>
      <c r="WP186" s="1"/>
      <c r="WQ186" s="1"/>
      <c r="WR186" s="1"/>
      <c r="WS186" s="1"/>
      <c r="WT186" s="1"/>
      <c r="WU186" s="1"/>
      <c r="WV186" s="1"/>
      <c r="WW186" s="1"/>
      <c r="WX186" s="1"/>
      <c r="WY186" s="1"/>
      <c r="WZ186" s="1"/>
      <c r="XA186" s="1"/>
      <c r="XB186" s="1"/>
      <c r="XC186" s="1"/>
      <c r="XD186" s="1"/>
      <c r="XE186" s="1"/>
      <c r="XF186" s="1"/>
      <c r="XG186" s="1"/>
      <c r="XH186" s="1"/>
      <c r="XI186" s="1"/>
      <c r="XJ186" s="1"/>
      <c r="XK186" s="1"/>
      <c r="XL186" s="1"/>
      <c r="XM186" s="1"/>
      <c r="XN186" s="1"/>
      <c r="XO186" s="1"/>
      <c r="XP186" s="1"/>
      <c r="XQ186" s="1"/>
      <c r="XR186" s="1"/>
      <c r="XS186" s="1"/>
      <c r="XT186" s="1"/>
      <c r="XU186" s="1"/>
      <c r="XV186" s="1"/>
      <c r="XW186" s="1"/>
      <c r="XX186" s="1"/>
      <c r="XY186" s="1"/>
      <c r="XZ186" s="1"/>
      <c r="YA186" s="1"/>
      <c r="YB186" s="1"/>
      <c r="YC186" s="1"/>
      <c r="YD186" s="1"/>
      <c r="YE186" s="1"/>
      <c r="YF186" s="1"/>
      <c r="YG186" s="1"/>
      <c r="YH186" s="1"/>
      <c r="YI186" s="1"/>
      <c r="YJ186" s="1"/>
      <c r="YK186" s="1"/>
      <c r="YL186" s="1"/>
      <c r="YM186" s="1"/>
      <c r="YN186" s="1"/>
      <c r="YO186" s="1"/>
      <c r="YP186" s="1"/>
      <c r="YQ186" s="1"/>
      <c r="YR186" s="1"/>
      <c r="YS186" s="1"/>
      <c r="YT186" s="1"/>
      <c r="YU186" s="1"/>
      <c r="YV186" s="1"/>
      <c r="YW186" s="1"/>
      <c r="YX186" s="1"/>
      <c r="YY186" s="1"/>
      <c r="YZ186" s="1"/>
      <c r="ZA186" s="1"/>
      <c r="ZB186" s="1"/>
      <c r="ZC186" s="1"/>
      <c r="ZD186" s="1"/>
      <c r="ZE186" s="1"/>
      <c r="ZF186" s="1"/>
      <c r="ZG186" s="1"/>
      <c r="ZH186" s="1"/>
      <c r="ZI186" s="1"/>
      <c r="ZJ186" s="1"/>
      <c r="ZK186" s="1"/>
      <c r="ZL186" s="1"/>
      <c r="ZM186" s="1"/>
      <c r="ZN186" s="1"/>
      <c r="ZO186" s="1"/>
      <c r="ZP186" s="1"/>
      <c r="ZQ186" s="1"/>
      <c r="ZR186" s="1"/>
      <c r="ZS186" s="1"/>
      <c r="ZT186" s="1"/>
      <c r="ZU186" s="1"/>
      <c r="ZV186" s="1"/>
      <c r="ZW186" s="1"/>
      <c r="ZX186" s="1"/>
      <c r="ZY186" s="1"/>
      <c r="ZZ186" s="1"/>
      <c r="AAA186" s="1"/>
      <c r="AAB186" s="1"/>
      <c r="AAC186" s="1"/>
      <c r="AAD186" s="1"/>
      <c r="AAE186" s="1"/>
      <c r="AAF186" s="1"/>
      <c r="AAG186" s="1"/>
      <c r="AAH186" s="1"/>
      <c r="AAI186" s="1"/>
      <c r="AAJ186" s="1"/>
      <c r="AAK186" s="1"/>
      <c r="AAL186" s="1"/>
      <c r="AAM186" s="1"/>
      <c r="AAN186" s="1"/>
      <c r="AAO186" s="1"/>
      <c r="AAP186" s="1"/>
      <c r="AAQ186" s="1"/>
      <c r="AAR186" s="1"/>
      <c r="AAS186" s="1"/>
      <c r="AAT186" s="1"/>
      <c r="AAU186" s="1"/>
      <c r="AAV186" s="1"/>
      <c r="AAW186" s="1"/>
      <c r="AAX186" s="1"/>
      <c r="AAY186" s="1"/>
      <c r="AAZ186" s="1"/>
      <c r="ABA186" s="1"/>
      <c r="ABB186" s="1"/>
      <c r="ABC186" s="1"/>
      <c r="ABD186" s="1"/>
      <c r="ABE186" s="1"/>
      <c r="ABF186" s="1"/>
      <c r="ABG186" s="1"/>
      <c r="ABH186" s="1"/>
      <c r="ABI186" s="1"/>
      <c r="ABJ186" s="1"/>
      <c r="ABK186" s="1"/>
      <c r="ABL186" s="1"/>
      <c r="ABM186" s="1"/>
      <c r="ABN186" s="1"/>
      <c r="ABO186" s="1"/>
      <c r="ABP186" s="1"/>
      <c r="ABQ186" s="1"/>
      <c r="ABR186" s="1"/>
      <c r="ABS186" s="1"/>
      <c r="ABT186" s="1"/>
      <c r="ABU186" s="1"/>
      <c r="ABV186" s="1"/>
      <c r="ABW186" s="1"/>
      <c r="ABX186" s="1"/>
      <c r="ABY186" s="1"/>
      <c r="ABZ186" s="1"/>
      <c r="ACA186" s="1"/>
      <c r="ACB186" s="1"/>
      <c r="ACC186" s="1"/>
      <c r="ACD186" s="1"/>
      <c r="ACE186" s="1"/>
      <c r="ACF186" s="1"/>
      <c r="ACG186" s="1"/>
      <c r="ACH186" s="1"/>
      <c r="ACI186" s="1"/>
      <c r="ACJ186" s="1"/>
      <c r="ACK186" s="1"/>
      <c r="ACL186" s="1"/>
      <c r="ACM186" s="1"/>
      <c r="ACN186" s="1"/>
      <c r="ACO186" s="1"/>
      <c r="ACP186" s="1"/>
      <c r="ACQ186" s="1"/>
      <c r="ACR186" s="1"/>
      <c r="ACS186" s="1"/>
      <c r="ACT186" s="1"/>
      <c r="ACU186" s="1"/>
      <c r="ACV186" s="1"/>
      <c r="ACW186" s="1"/>
      <c r="ACX186" s="1"/>
      <c r="ACY186" s="1"/>
      <c r="ACZ186" s="1"/>
      <c r="ADA186" s="1"/>
      <c r="ADB186" s="1"/>
      <c r="ADC186" s="1"/>
      <c r="ADD186" s="1"/>
      <c r="ADE186" s="1"/>
      <c r="ADF186" s="1"/>
      <c r="ADG186" s="1"/>
      <c r="ADH186" s="1"/>
      <c r="ADI186" s="1"/>
      <c r="ADJ186" s="1"/>
      <c r="ADK186" s="1"/>
      <c r="ADL186" s="1"/>
      <c r="ADM186" s="1"/>
      <c r="ADN186" s="1"/>
      <c r="ADO186" s="1"/>
      <c r="ADP186" s="1"/>
      <c r="ADQ186" s="1"/>
      <c r="ADR186" s="1"/>
      <c r="ADS186" s="1"/>
      <c r="ADT186" s="1"/>
      <c r="ADU186" s="1"/>
      <c r="ADV186" s="1"/>
      <c r="ADW186" s="1"/>
      <c r="ADX186" s="1"/>
      <c r="ADY186" s="1"/>
      <c r="ADZ186" s="1"/>
      <c r="AEA186" s="1"/>
      <c r="AEB186" s="1"/>
      <c r="AEC186" s="1"/>
      <c r="AED186" s="1"/>
      <c r="AEE186" s="1"/>
      <c r="AEF186" s="1"/>
      <c r="AEG186" s="1"/>
      <c r="AEH186" s="1"/>
      <c r="AEI186" s="1"/>
      <c r="AEJ186" s="1"/>
      <c r="AEK186" s="1"/>
      <c r="AEL186" s="1"/>
      <c r="AEM186" s="1"/>
      <c r="AEN186" s="1"/>
      <c r="AEO186" s="1"/>
      <c r="AEP186" s="1"/>
      <c r="AEQ186" s="1"/>
      <c r="AER186" s="1"/>
      <c r="AES186" s="1"/>
      <c r="AET186" s="1"/>
      <c r="AEU186" s="1"/>
      <c r="AEV186" s="1"/>
      <c r="AEW186" s="1"/>
      <c r="AEX186" s="1"/>
      <c r="AEY186" s="1"/>
      <c r="AEZ186" s="1"/>
      <c r="AFA186" s="1"/>
      <c r="AFB186" s="1"/>
      <c r="AFC186" s="1"/>
      <c r="AFD186" s="1"/>
      <c r="AFE186" s="1"/>
      <c r="AFF186" s="1"/>
      <c r="AFG186" s="1"/>
      <c r="AFH186" s="1"/>
      <c r="AFI186" s="1"/>
      <c r="AFJ186" s="1"/>
      <c r="AFK186" s="1"/>
      <c r="AFL186" s="1"/>
      <c r="AFM186" s="1"/>
      <c r="AFN186" s="1"/>
      <c r="AFO186" s="1"/>
      <c r="AFP186" s="1"/>
      <c r="AFQ186" s="1"/>
      <c r="AFR186" s="1"/>
      <c r="AFS186" s="1"/>
      <c r="AFT186" s="1"/>
      <c r="AFU186" s="1"/>
      <c r="AFV186" s="1"/>
      <c r="AFW186" s="1"/>
      <c r="AFX186" s="1"/>
      <c r="AFY186" s="1"/>
      <c r="AFZ186" s="1"/>
      <c r="AGA186" s="1"/>
      <c r="AGB186" s="1"/>
      <c r="AGC186" s="1"/>
      <c r="AGD186" s="1"/>
      <c r="AGE186" s="1"/>
      <c r="AGF186" s="1"/>
      <c r="AGG186" s="1"/>
      <c r="AGH186" s="1"/>
      <c r="AGI186" s="1"/>
      <c r="AGJ186" s="1"/>
      <c r="AGK186" s="1"/>
      <c r="AGL186" s="1"/>
      <c r="AGM186" s="1"/>
      <c r="AGN186" s="1"/>
      <c r="AGO186" s="1"/>
      <c r="AGP186" s="1"/>
      <c r="AGQ186" s="1"/>
      <c r="AGR186" s="1"/>
      <c r="AGS186" s="1"/>
      <c r="AGT186" s="1"/>
      <c r="AGU186" s="1"/>
      <c r="AGV186" s="1"/>
      <c r="AGW186" s="1"/>
      <c r="AGX186" s="1"/>
      <c r="AGY186" s="1"/>
      <c r="AGZ186" s="1"/>
      <c r="AHA186" s="1"/>
      <c r="AHB186" s="1"/>
      <c r="AHC186" s="1"/>
      <c r="AHD186" s="1"/>
      <c r="AHE186" s="1"/>
      <c r="AHF186" s="1"/>
      <c r="AHG186" s="1"/>
      <c r="AHH186" s="1"/>
      <c r="AHI186" s="1"/>
      <c r="AHJ186" s="1"/>
      <c r="AHK186" s="1"/>
      <c r="AHL186" s="1"/>
      <c r="AHM186" s="1"/>
      <c r="AHN186" s="1"/>
      <c r="AHO186" s="1"/>
      <c r="AHP186" s="1"/>
      <c r="AHQ186" s="1"/>
      <c r="AHR186" s="1"/>
      <c r="AHS186" s="1"/>
      <c r="AHT186" s="1"/>
      <c r="AHU186" s="1"/>
      <c r="AHV186" s="1"/>
      <c r="AHW186" s="1"/>
      <c r="AHX186" s="1"/>
      <c r="AHY186" s="1"/>
      <c r="AHZ186" s="1"/>
      <c r="AIA186" s="1"/>
      <c r="AIB186" s="1"/>
      <c r="AIC186" s="1"/>
      <c r="AID186" s="1"/>
      <c r="AIE186" s="1"/>
      <c r="AIF186" s="1"/>
      <c r="AIG186" s="1"/>
      <c r="AIH186" s="1"/>
      <c r="AII186" s="1"/>
      <c r="AIJ186" s="1"/>
      <c r="AIK186" s="1"/>
      <c r="AIL186" s="1"/>
      <c r="AIM186" s="1"/>
      <c r="AIN186" s="1"/>
      <c r="AIO186" s="1"/>
      <c r="AIP186" s="1"/>
      <c r="AIQ186" s="1"/>
      <c r="AIR186" s="1"/>
      <c r="AIS186" s="1"/>
      <c r="AIT186" s="1"/>
      <c r="AIU186" s="1"/>
      <c r="AIV186" s="1"/>
      <c r="AIW186" s="1"/>
      <c r="AIX186" s="1"/>
      <c r="AIY186" s="1"/>
      <c r="AIZ186" s="1"/>
      <c r="AJA186" s="1"/>
      <c r="AJB186" s="1"/>
      <c r="AJC186" s="1"/>
      <c r="AJD186" s="1"/>
      <c r="AJE186" s="1"/>
      <c r="AJF186" s="1"/>
      <c r="AJG186" s="1"/>
      <c r="AJH186" s="1"/>
      <c r="AJI186" s="1"/>
      <c r="AJJ186" s="1"/>
      <c r="AJK186" s="1"/>
      <c r="AJL186" s="1"/>
      <c r="AJM186" s="1"/>
      <c r="AJN186" s="1"/>
      <c r="AJO186" s="1"/>
      <c r="AJP186" s="1"/>
      <c r="AJQ186" s="1"/>
      <c r="AJR186" s="1"/>
      <c r="AJS186" s="1"/>
      <c r="AJT186" s="1"/>
      <c r="AJU186" s="1"/>
      <c r="AJV186" s="1"/>
      <c r="AJW186" s="1"/>
      <c r="AJX186" s="1"/>
      <c r="AJY186" s="1"/>
      <c r="AJZ186" s="1"/>
      <c r="AKA186" s="1"/>
      <c r="AKB186" s="1"/>
      <c r="AKC186" s="1"/>
      <c r="AKD186" s="1"/>
      <c r="AKE186" s="1"/>
      <c r="AKF186" s="1"/>
      <c r="AKG186" s="1"/>
      <c r="AKH186" s="1"/>
      <c r="AKI186" s="1"/>
      <c r="AKJ186" s="1"/>
      <c r="AKK186" s="1"/>
      <c r="AKL186" s="1"/>
      <c r="AKM186" s="1"/>
      <c r="AKN186" s="1"/>
      <c r="AKO186" s="1"/>
      <c r="AKP186" s="1"/>
      <c r="AKQ186" s="1"/>
      <c r="AKR186" s="1"/>
      <c r="AKS186" s="1"/>
      <c r="AKT186" s="1"/>
      <c r="AKU186" s="1"/>
      <c r="AKV186" s="1"/>
      <c r="AKW186" s="1"/>
      <c r="AKX186" s="1"/>
      <c r="AKY186" s="1"/>
      <c r="AKZ186" s="1"/>
      <c r="ALA186" s="1"/>
      <c r="ALB186" s="1"/>
      <c r="ALC186" s="1"/>
      <c r="ALD186" s="1"/>
      <c r="ALE186" s="1"/>
      <c r="ALF186" s="1"/>
      <c r="ALG186" s="1"/>
      <c r="ALH186" s="1"/>
      <c r="ALI186" s="1"/>
      <c r="ALJ186" s="1"/>
      <c r="ALK186" s="1"/>
      <c r="ALL186" s="1"/>
      <c r="ALM186" s="1"/>
      <c r="ALN186" s="1"/>
      <c r="ALO186" s="1"/>
      <c r="ALP186" s="1"/>
      <c r="ALQ186" s="1"/>
      <c r="ALR186" s="1"/>
      <c r="ALS186" s="1"/>
      <c r="ALT186" s="1"/>
      <c r="ALU186" s="1"/>
      <c r="ALV186" s="1"/>
      <c r="ALW186" s="1"/>
      <c r="ALX186" s="1"/>
      <c r="ALY186" s="1"/>
      <c r="ALZ186" s="1"/>
      <c r="AMA186" s="1"/>
      <c r="AMB186" s="1"/>
      <c r="AMC186" s="1"/>
      <c r="AMD186" s="1"/>
      <c r="AME186" s="1"/>
      <c r="AMF186" s="1"/>
      <c r="AMG186" s="1"/>
      <c r="AMH186" s="1"/>
      <c r="AMI186" s="1"/>
      <c r="AMJ186" s="1"/>
    </row>
    <row r="187" customFormat="false" ht="10.5" hidden="false" customHeight="true" outlineLevel="0" collapsed="false">
      <c r="A187" s="236" t="s">
        <v>329</v>
      </c>
      <c r="B187" s="236"/>
      <c r="C187" s="236"/>
      <c r="D187" s="236"/>
      <c r="E187" s="236"/>
      <c r="F187" s="236"/>
      <c r="G187" s="236"/>
      <c r="H187" s="236"/>
      <c r="I187" s="236"/>
      <c r="J187" s="236"/>
      <c r="K187" s="237" t="n">
        <v>17000</v>
      </c>
      <c r="L187" s="237"/>
      <c r="M187" s="237"/>
      <c r="N187" s="237"/>
      <c r="O187" s="238" t="n">
        <v>36</v>
      </c>
      <c r="P187" s="238"/>
      <c r="Q187" s="238"/>
      <c r="R187" s="237" t="n">
        <v>593.74</v>
      </c>
      <c r="S187" s="237"/>
      <c r="T187" s="237"/>
      <c r="U187" s="237" t="n">
        <v>12750.02</v>
      </c>
      <c r="V187" s="237"/>
      <c r="W187" s="237"/>
      <c r="X187" s="237"/>
      <c r="Y187" s="239" t="s">
        <v>330</v>
      </c>
      <c r="Z187" s="239"/>
      <c r="AA187" s="239"/>
      <c r="AB187" s="239"/>
      <c r="AC187" s="239"/>
      <c r="AD187" s="239"/>
      <c r="AE187" s="239"/>
      <c r="AF187" s="239"/>
      <c r="AG187" s="239"/>
      <c r="AH187" s="239"/>
      <c r="AI187" s="239"/>
      <c r="AJ187" s="240" t="s">
        <v>64</v>
      </c>
      <c r="AK187" s="240"/>
      <c r="AL187" s="240"/>
      <c r="AM187" s="240"/>
      <c r="AN187" s="240"/>
      <c r="AO187" s="240"/>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c r="IY187" s="1"/>
      <c r="IZ187" s="1"/>
      <c r="JA187" s="1"/>
      <c r="JB187" s="1"/>
      <c r="JC187" s="1"/>
      <c r="JD187" s="1"/>
      <c r="JE187" s="1"/>
      <c r="JF187" s="1"/>
      <c r="JG187" s="1"/>
      <c r="JH187" s="1"/>
      <c r="JI187" s="1"/>
      <c r="JJ187" s="1"/>
      <c r="JK187" s="1"/>
      <c r="JL187" s="1"/>
      <c r="JM187" s="1"/>
      <c r="JN187" s="1"/>
      <c r="JO187" s="1"/>
      <c r="JP187" s="1"/>
      <c r="JQ187" s="1"/>
      <c r="JR187" s="1"/>
      <c r="JS187" s="1"/>
      <c r="JT187" s="1"/>
      <c r="JU187" s="1"/>
      <c r="JV187" s="1"/>
      <c r="JW187" s="1"/>
      <c r="JX187" s="1"/>
      <c r="JY187" s="1"/>
      <c r="JZ187" s="1"/>
      <c r="KA187" s="1"/>
      <c r="KB187" s="1"/>
      <c r="KC187" s="1"/>
      <c r="KD187" s="1"/>
      <c r="KE187" s="1"/>
      <c r="KF187" s="1"/>
      <c r="KG187" s="1"/>
      <c r="KH187" s="1"/>
      <c r="KI187" s="1"/>
      <c r="KJ187" s="1"/>
      <c r="KK187" s="1"/>
      <c r="KL187" s="1"/>
      <c r="KM187" s="1"/>
      <c r="KN187" s="1"/>
      <c r="KO187" s="1"/>
      <c r="KP187" s="1"/>
      <c r="KQ187" s="1"/>
      <c r="KR187" s="1"/>
      <c r="KS187" s="1"/>
      <c r="KT187" s="1"/>
      <c r="KU187" s="1"/>
      <c r="KV187" s="1"/>
      <c r="KW187" s="1"/>
      <c r="KX187" s="1"/>
      <c r="KY187" s="1"/>
      <c r="KZ187" s="1"/>
      <c r="LA187" s="1"/>
      <c r="LB187" s="1"/>
      <c r="LC187" s="1"/>
      <c r="LD187" s="1"/>
      <c r="LE187" s="1"/>
      <c r="LF187" s="1"/>
      <c r="LG187" s="1"/>
      <c r="LH187" s="1"/>
      <c r="LI187" s="1"/>
      <c r="LJ187" s="1"/>
      <c r="LK187" s="1"/>
      <c r="LL187" s="1"/>
      <c r="LM187" s="1"/>
      <c r="LN187" s="1"/>
      <c r="LO187" s="1"/>
      <c r="LP187" s="1"/>
      <c r="LQ187" s="1"/>
      <c r="LR187" s="1"/>
      <c r="LS187" s="1"/>
      <c r="LT187" s="1"/>
      <c r="LU187" s="1"/>
      <c r="LV187" s="1"/>
      <c r="LW187" s="1"/>
      <c r="LX187" s="1"/>
      <c r="LY187" s="1"/>
      <c r="LZ187" s="1"/>
      <c r="MA187" s="1"/>
      <c r="MB187" s="1"/>
      <c r="MC187" s="1"/>
      <c r="MD187" s="1"/>
      <c r="ME187" s="1"/>
      <c r="MF187" s="1"/>
      <c r="MG187" s="1"/>
      <c r="MH187" s="1"/>
      <c r="MI187" s="1"/>
      <c r="MJ187" s="1"/>
      <c r="MK187" s="1"/>
      <c r="ML187" s="1"/>
      <c r="MM187" s="1"/>
      <c r="MN187" s="1"/>
      <c r="MO187" s="1"/>
      <c r="MP187" s="1"/>
      <c r="MQ187" s="1"/>
      <c r="MR187" s="1"/>
      <c r="MS187" s="1"/>
      <c r="MT187" s="1"/>
      <c r="MU187" s="1"/>
      <c r="MV187" s="1"/>
      <c r="MW187" s="1"/>
      <c r="MX187" s="1"/>
      <c r="MY187" s="1"/>
      <c r="MZ187" s="1"/>
      <c r="NA187" s="1"/>
      <c r="NB187" s="1"/>
      <c r="NC187" s="1"/>
      <c r="ND187" s="1"/>
      <c r="NE187" s="1"/>
      <c r="NF187" s="1"/>
      <c r="NG187" s="1"/>
      <c r="NH187" s="1"/>
      <c r="NI187" s="1"/>
      <c r="NJ187" s="1"/>
      <c r="NK187" s="1"/>
      <c r="NL187" s="1"/>
      <c r="NM187" s="1"/>
      <c r="NN187" s="1"/>
      <c r="NO187" s="1"/>
      <c r="NP187" s="1"/>
      <c r="NQ187" s="1"/>
      <c r="NR187" s="1"/>
      <c r="NS187" s="1"/>
      <c r="NT187" s="1"/>
      <c r="NU187" s="1"/>
      <c r="NV187" s="1"/>
      <c r="NW187" s="1"/>
      <c r="NX187" s="1"/>
      <c r="NY187" s="1"/>
      <c r="NZ187" s="1"/>
      <c r="OA187" s="1"/>
      <c r="OB187" s="1"/>
      <c r="OC187" s="1"/>
      <c r="OD187" s="1"/>
      <c r="OE187" s="1"/>
      <c r="OF187" s="1"/>
      <c r="OG187" s="1"/>
      <c r="OH187" s="1"/>
      <c r="OI187" s="1"/>
      <c r="OJ187" s="1"/>
      <c r="OK187" s="1"/>
      <c r="OL187" s="1"/>
      <c r="OM187" s="1"/>
      <c r="ON187" s="1"/>
      <c r="OO187" s="1"/>
      <c r="OP187" s="1"/>
      <c r="OQ187" s="1"/>
      <c r="OR187" s="1"/>
      <c r="OS187" s="1"/>
      <c r="OT187" s="1"/>
      <c r="OU187" s="1"/>
      <c r="OV187" s="1"/>
      <c r="OW187" s="1"/>
      <c r="OX187" s="1"/>
      <c r="OY187" s="1"/>
      <c r="OZ187" s="1"/>
      <c r="PA187" s="1"/>
      <c r="PB187" s="1"/>
      <c r="PC187" s="1"/>
      <c r="PD187" s="1"/>
      <c r="PE187" s="1"/>
      <c r="PF187" s="1"/>
      <c r="PG187" s="1"/>
      <c r="PH187" s="1"/>
      <c r="PI187" s="1"/>
      <c r="PJ187" s="1"/>
      <c r="PK187" s="1"/>
      <c r="PL187" s="1"/>
      <c r="PM187" s="1"/>
      <c r="PN187" s="1"/>
      <c r="PO187" s="1"/>
      <c r="PP187" s="1"/>
      <c r="PQ187" s="1"/>
      <c r="PR187" s="1"/>
      <c r="PS187" s="1"/>
      <c r="PT187" s="1"/>
      <c r="PU187" s="1"/>
      <c r="PV187" s="1"/>
      <c r="PW187" s="1"/>
      <c r="PX187" s="1"/>
      <c r="PY187" s="1"/>
      <c r="PZ187" s="1"/>
      <c r="QA187" s="1"/>
      <c r="QB187" s="1"/>
      <c r="QC187" s="1"/>
      <c r="QD187" s="1"/>
      <c r="QE187" s="1"/>
      <c r="QF187" s="1"/>
      <c r="QG187" s="1"/>
      <c r="QH187" s="1"/>
      <c r="QI187" s="1"/>
      <c r="QJ187" s="1"/>
      <c r="QK187" s="1"/>
      <c r="QL187" s="1"/>
      <c r="QM187" s="1"/>
      <c r="QN187" s="1"/>
      <c r="QO187" s="1"/>
      <c r="QP187" s="1"/>
      <c r="QQ187" s="1"/>
      <c r="QR187" s="1"/>
      <c r="QS187" s="1"/>
      <c r="QT187" s="1"/>
      <c r="QU187" s="1"/>
      <c r="QV187" s="1"/>
      <c r="QW187" s="1"/>
      <c r="QX187" s="1"/>
      <c r="QY187" s="1"/>
      <c r="QZ187" s="1"/>
      <c r="RA187" s="1"/>
      <c r="RB187" s="1"/>
      <c r="RC187" s="1"/>
      <c r="RD187" s="1"/>
      <c r="RE187" s="1"/>
      <c r="RF187" s="1"/>
      <c r="RG187" s="1"/>
      <c r="RH187" s="1"/>
      <c r="RI187" s="1"/>
      <c r="RJ187" s="1"/>
      <c r="RK187" s="1"/>
      <c r="RL187" s="1"/>
      <c r="RM187" s="1"/>
      <c r="RN187" s="1"/>
      <c r="RO187" s="1"/>
      <c r="RP187" s="1"/>
      <c r="RQ187" s="1"/>
      <c r="RR187" s="1"/>
      <c r="RS187" s="1"/>
      <c r="RT187" s="1"/>
      <c r="RU187" s="1"/>
      <c r="RV187" s="1"/>
      <c r="RW187" s="1"/>
      <c r="RX187" s="1"/>
      <c r="RY187" s="1"/>
      <c r="RZ187" s="1"/>
      <c r="SA187" s="1"/>
      <c r="SB187" s="1"/>
      <c r="SC187" s="1"/>
      <c r="SD187" s="1"/>
      <c r="SE187" s="1"/>
      <c r="SF187" s="1"/>
      <c r="SG187" s="1"/>
      <c r="SH187" s="1"/>
      <c r="SI187" s="1"/>
      <c r="SJ187" s="1"/>
      <c r="SK187" s="1"/>
      <c r="SL187" s="1"/>
      <c r="SM187" s="1"/>
      <c r="SN187" s="1"/>
      <c r="SO187" s="1"/>
      <c r="SP187" s="1"/>
      <c r="SQ187" s="1"/>
      <c r="SR187" s="1"/>
      <c r="SS187" s="1"/>
      <c r="ST187" s="1"/>
      <c r="SU187" s="1"/>
      <c r="SV187" s="1"/>
      <c r="SW187" s="1"/>
      <c r="SX187" s="1"/>
      <c r="SY187" s="1"/>
      <c r="SZ187" s="1"/>
      <c r="TA187" s="1"/>
      <c r="TB187" s="1"/>
      <c r="TC187" s="1"/>
      <c r="TD187" s="1"/>
      <c r="TE187" s="1"/>
      <c r="TF187" s="1"/>
      <c r="TG187" s="1"/>
      <c r="TH187" s="1"/>
      <c r="TI187" s="1"/>
      <c r="TJ187" s="1"/>
      <c r="TK187" s="1"/>
      <c r="TL187" s="1"/>
      <c r="TM187" s="1"/>
      <c r="TN187" s="1"/>
      <c r="TO187" s="1"/>
      <c r="TP187" s="1"/>
      <c r="TQ187" s="1"/>
      <c r="TR187" s="1"/>
      <c r="TS187" s="1"/>
      <c r="TT187" s="1"/>
      <c r="TU187" s="1"/>
      <c r="TV187" s="1"/>
      <c r="TW187" s="1"/>
      <c r="TX187" s="1"/>
      <c r="TY187" s="1"/>
      <c r="TZ187" s="1"/>
      <c r="UA187" s="1"/>
      <c r="UB187" s="1"/>
      <c r="UC187" s="1"/>
      <c r="UD187" s="1"/>
      <c r="UE187" s="1"/>
      <c r="UF187" s="1"/>
      <c r="UG187" s="1"/>
      <c r="UH187" s="1"/>
      <c r="UI187" s="1"/>
      <c r="UJ187" s="1"/>
      <c r="UK187" s="1"/>
      <c r="UL187" s="1"/>
      <c r="UM187" s="1"/>
      <c r="UN187" s="1"/>
      <c r="UO187" s="1"/>
      <c r="UP187" s="1"/>
      <c r="UQ187" s="1"/>
      <c r="UR187" s="1"/>
      <c r="US187" s="1"/>
      <c r="UT187" s="1"/>
      <c r="UU187" s="1"/>
      <c r="UV187" s="1"/>
      <c r="UW187" s="1"/>
      <c r="UX187" s="1"/>
      <c r="UY187" s="1"/>
      <c r="UZ187" s="1"/>
      <c r="VA187" s="1"/>
      <c r="VB187" s="1"/>
      <c r="VC187" s="1"/>
      <c r="VD187" s="1"/>
      <c r="VE187" s="1"/>
      <c r="VF187" s="1"/>
      <c r="VG187" s="1"/>
      <c r="VH187" s="1"/>
      <c r="VI187" s="1"/>
      <c r="VJ187" s="1"/>
      <c r="VK187" s="1"/>
      <c r="VL187" s="1"/>
      <c r="VM187" s="1"/>
      <c r="VN187" s="1"/>
      <c r="VO187" s="1"/>
      <c r="VP187" s="1"/>
      <c r="VQ187" s="1"/>
      <c r="VR187" s="1"/>
      <c r="VS187" s="1"/>
      <c r="VT187" s="1"/>
      <c r="VU187" s="1"/>
      <c r="VV187" s="1"/>
      <c r="VW187" s="1"/>
      <c r="VX187" s="1"/>
      <c r="VY187" s="1"/>
      <c r="VZ187" s="1"/>
      <c r="WA187" s="1"/>
      <c r="WB187" s="1"/>
      <c r="WC187" s="1"/>
      <c r="WD187" s="1"/>
      <c r="WE187" s="1"/>
      <c r="WF187" s="1"/>
      <c r="WG187" s="1"/>
      <c r="WH187" s="1"/>
      <c r="WI187" s="1"/>
      <c r="WJ187" s="1"/>
      <c r="WK187" s="1"/>
      <c r="WL187" s="1"/>
      <c r="WM187" s="1"/>
      <c r="WN187" s="1"/>
      <c r="WO187" s="1"/>
      <c r="WP187" s="1"/>
      <c r="WQ187" s="1"/>
      <c r="WR187" s="1"/>
      <c r="WS187" s="1"/>
      <c r="WT187" s="1"/>
      <c r="WU187" s="1"/>
      <c r="WV187" s="1"/>
      <c r="WW187" s="1"/>
      <c r="WX187" s="1"/>
      <c r="WY187" s="1"/>
      <c r="WZ187" s="1"/>
      <c r="XA187" s="1"/>
      <c r="XB187" s="1"/>
      <c r="XC187" s="1"/>
      <c r="XD187" s="1"/>
      <c r="XE187" s="1"/>
      <c r="XF187" s="1"/>
      <c r="XG187" s="1"/>
      <c r="XH187" s="1"/>
      <c r="XI187" s="1"/>
      <c r="XJ187" s="1"/>
      <c r="XK187" s="1"/>
      <c r="XL187" s="1"/>
      <c r="XM187" s="1"/>
      <c r="XN187" s="1"/>
      <c r="XO187" s="1"/>
      <c r="XP187" s="1"/>
      <c r="XQ187" s="1"/>
      <c r="XR187" s="1"/>
      <c r="XS187" s="1"/>
      <c r="XT187" s="1"/>
      <c r="XU187" s="1"/>
      <c r="XV187" s="1"/>
      <c r="XW187" s="1"/>
      <c r="XX187" s="1"/>
      <c r="XY187" s="1"/>
      <c r="XZ187" s="1"/>
      <c r="YA187" s="1"/>
      <c r="YB187" s="1"/>
      <c r="YC187" s="1"/>
      <c r="YD187" s="1"/>
      <c r="YE187" s="1"/>
      <c r="YF187" s="1"/>
      <c r="YG187" s="1"/>
      <c r="YH187" s="1"/>
      <c r="YI187" s="1"/>
      <c r="YJ187" s="1"/>
      <c r="YK187" s="1"/>
      <c r="YL187" s="1"/>
      <c r="YM187" s="1"/>
      <c r="YN187" s="1"/>
      <c r="YO187" s="1"/>
      <c r="YP187" s="1"/>
      <c r="YQ187" s="1"/>
      <c r="YR187" s="1"/>
      <c r="YS187" s="1"/>
      <c r="YT187" s="1"/>
      <c r="YU187" s="1"/>
      <c r="YV187" s="1"/>
      <c r="YW187" s="1"/>
      <c r="YX187" s="1"/>
      <c r="YY187" s="1"/>
      <c r="YZ187" s="1"/>
      <c r="ZA187" s="1"/>
      <c r="ZB187" s="1"/>
      <c r="ZC187" s="1"/>
      <c r="ZD187" s="1"/>
      <c r="ZE187" s="1"/>
      <c r="ZF187" s="1"/>
      <c r="ZG187" s="1"/>
      <c r="ZH187" s="1"/>
      <c r="ZI187" s="1"/>
      <c r="ZJ187" s="1"/>
      <c r="ZK187" s="1"/>
      <c r="ZL187" s="1"/>
      <c r="ZM187" s="1"/>
      <c r="ZN187" s="1"/>
      <c r="ZO187" s="1"/>
      <c r="ZP187" s="1"/>
      <c r="ZQ187" s="1"/>
      <c r="ZR187" s="1"/>
      <c r="ZS187" s="1"/>
      <c r="ZT187" s="1"/>
      <c r="ZU187" s="1"/>
      <c r="ZV187" s="1"/>
      <c r="ZW187" s="1"/>
      <c r="ZX187" s="1"/>
      <c r="ZY187" s="1"/>
      <c r="ZZ187" s="1"/>
      <c r="AAA187" s="1"/>
      <c r="AAB187" s="1"/>
      <c r="AAC187" s="1"/>
      <c r="AAD187" s="1"/>
      <c r="AAE187" s="1"/>
      <c r="AAF187" s="1"/>
      <c r="AAG187" s="1"/>
      <c r="AAH187" s="1"/>
      <c r="AAI187" s="1"/>
      <c r="AAJ187" s="1"/>
      <c r="AAK187" s="1"/>
      <c r="AAL187" s="1"/>
      <c r="AAM187" s="1"/>
      <c r="AAN187" s="1"/>
      <c r="AAO187" s="1"/>
      <c r="AAP187" s="1"/>
      <c r="AAQ187" s="1"/>
      <c r="AAR187" s="1"/>
      <c r="AAS187" s="1"/>
      <c r="AAT187" s="1"/>
      <c r="AAU187" s="1"/>
      <c r="AAV187" s="1"/>
      <c r="AAW187" s="1"/>
      <c r="AAX187" s="1"/>
      <c r="AAY187" s="1"/>
      <c r="AAZ187" s="1"/>
      <c r="ABA187" s="1"/>
      <c r="ABB187" s="1"/>
      <c r="ABC187" s="1"/>
      <c r="ABD187" s="1"/>
      <c r="ABE187" s="1"/>
      <c r="ABF187" s="1"/>
      <c r="ABG187" s="1"/>
      <c r="ABH187" s="1"/>
      <c r="ABI187" s="1"/>
      <c r="ABJ187" s="1"/>
      <c r="ABK187" s="1"/>
      <c r="ABL187" s="1"/>
      <c r="ABM187" s="1"/>
      <c r="ABN187" s="1"/>
      <c r="ABO187" s="1"/>
      <c r="ABP187" s="1"/>
      <c r="ABQ187" s="1"/>
      <c r="ABR187" s="1"/>
      <c r="ABS187" s="1"/>
      <c r="ABT187" s="1"/>
      <c r="ABU187" s="1"/>
      <c r="ABV187" s="1"/>
      <c r="ABW187" s="1"/>
      <c r="ABX187" s="1"/>
      <c r="ABY187" s="1"/>
      <c r="ABZ187" s="1"/>
      <c r="ACA187" s="1"/>
      <c r="ACB187" s="1"/>
      <c r="ACC187" s="1"/>
      <c r="ACD187" s="1"/>
      <c r="ACE187" s="1"/>
      <c r="ACF187" s="1"/>
      <c r="ACG187" s="1"/>
      <c r="ACH187" s="1"/>
      <c r="ACI187" s="1"/>
      <c r="ACJ187" s="1"/>
      <c r="ACK187" s="1"/>
      <c r="ACL187" s="1"/>
      <c r="ACM187" s="1"/>
      <c r="ACN187" s="1"/>
      <c r="ACO187" s="1"/>
      <c r="ACP187" s="1"/>
      <c r="ACQ187" s="1"/>
      <c r="ACR187" s="1"/>
      <c r="ACS187" s="1"/>
      <c r="ACT187" s="1"/>
      <c r="ACU187" s="1"/>
      <c r="ACV187" s="1"/>
      <c r="ACW187" s="1"/>
      <c r="ACX187" s="1"/>
      <c r="ACY187" s="1"/>
      <c r="ACZ187" s="1"/>
      <c r="ADA187" s="1"/>
      <c r="ADB187" s="1"/>
      <c r="ADC187" s="1"/>
      <c r="ADD187" s="1"/>
      <c r="ADE187" s="1"/>
      <c r="ADF187" s="1"/>
      <c r="ADG187" s="1"/>
      <c r="ADH187" s="1"/>
      <c r="ADI187" s="1"/>
      <c r="ADJ187" s="1"/>
      <c r="ADK187" s="1"/>
      <c r="ADL187" s="1"/>
      <c r="ADM187" s="1"/>
      <c r="ADN187" s="1"/>
      <c r="ADO187" s="1"/>
      <c r="ADP187" s="1"/>
      <c r="ADQ187" s="1"/>
      <c r="ADR187" s="1"/>
      <c r="ADS187" s="1"/>
      <c r="ADT187" s="1"/>
      <c r="ADU187" s="1"/>
      <c r="ADV187" s="1"/>
      <c r="ADW187" s="1"/>
      <c r="ADX187" s="1"/>
      <c r="ADY187" s="1"/>
      <c r="ADZ187" s="1"/>
      <c r="AEA187" s="1"/>
      <c r="AEB187" s="1"/>
      <c r="AEC187" s="1"/>
      <c r="AED187" s="1"/>
      <c r="AEE187" s="1"/>
      <c r="AEF187" s="1"/>
      <c r="AEG187" s="1"/>
      <c r="AEH187" s="1"/>
      <c r="AEI187" s="1"/>
      <c r="AEJ187" s="1"/>
      <c r="AEK187" s="1"/>
      <c r="AEL187" s="1"/>
      <c r="AEM187" s="1"/>
      <c r="AEN187" s="1"/>
      <c r="AEO187" s="1"/>
      <c r="AEP187" s="1"/>
      <c r="AEQ187" s="1"/>
      <c r="AER187" s="1"/>
      <c r="AES187" s="1"/>
      <c r="AET187" s="1"/>
      <c r="AEU187" s="1"/>
      <c r="AEV187" s="1"/>
      <c r="AEW187" s="1"/>
      <c r="AEX187" s="1"/>
      <c r="AEY187" s="1"/>
      <c r="AEZ187" s="1"/>
      <c r="AFA187" s="1"/>
      <c r="AFB187" s="1"/>
      <c r="AFC187" s="1"/>
      <c r="AFD187" s="1"/>
      <c r="AFE187" s="1"/>
      <c r="AFF187" s="1"/>
      <c r="AFG187" s="1"/>
      <c r="AFH187" s="1"/>
      <c r="AFI187" s="1"/>
      <c r="AFJ187" s="1"/>
      <c r="AFK187" s="1"/>
      <c r="AFL187" s="1"/>
      <c r="AFM187" s="1"/>
      <c r="AFN187" s="1"/>
      <c r="AFO187" s="1"/>
      <c r="AFP187" s="1"/>
      <c r="AFQ187" s="1"/>
      <c r="AFR187" s="1"/>
      <c r="AFS187" s="1"/>
      <c r="AFT187" s="1"/>
      <c r="AFU187" s="1"/>
      <c r="AFV187" s="1"/>
      <c r="AFW187" s="1"/>
      <c r="AFX187" s="1"/>
      <c r="AFY187" s="1"/>
      <c r="AFZ187" s="1"/>
      <c r="AGA187" s="1"/>
      <c r="AGB187" s="1"/>
      <c r="AGC187" s="1"/>
      <c r="AGD187" s="1"/>
      <c r="AGE187" s="1"/>
      <c r="AGF187" s="1"/>
      <c r="AGG187" s="1"/>
      <c r="AGH187" s="1"/>
      <c r="AGI187" s="1"/>
      <c r="AGJ187" s="1"/>
      <c r="AGK187" s="1"/>
      <c r="AGL187" s="1"/>
      <c r="AGM187" s="1"/>
      <c r="AGN187" s="1"/>
      <c r="AGO187" s="1"/>
      <c r="AGP187" s="1"/>
      <c r="AGQ187" s="1"/>
      <c r="AGR187" s="1"/>
      <c r="AGS187" s="1"/>
      <c r="AGT187" s="1"/>
      <c r="AGU187" s="1"/>
      <c r="AGV187" s="1"/>
      <c r="AGW187" s="1"/>
      <c r="AGX187" s="1"/>
      <c r="AGY187" s="1"/>
      <c r="AGZ187" s="1"/>
      <c r="AHA187" s="1"/>
      <c r="AHB187" s="1"/>
      <c r="AHC187" s="1"/>
      <c r="AHD187" s="1"/>
      <c r="AHE187" s="1"/>
      <c r="AHF187" s="1"/>
      <c r="AHG187" s="1"/>
      <c r="AHH187" s="1"/>
      <c r="AHI187" s="1"/>
      <c r="AHJ187" s="1"/>
      <c r="AHK187" s="1"/>
      <c r="AHL187" s="1"/>
      <c r="AHM187" s="1"/>
      <c r="AHN187" s="1"/>
      <c r="AHO187" s="1"/>
      <c r="AHP187" s="1"/>
      <c r="AHQ187" s="1"/>
      <c r="AHR187" s="1"/>
      <c r="AHS187" s="1"/>
      <c r="AHT187" s="1"/>
      <c r="AHU187" s="1"/>
      <c r="AHV187" s="1"/>
      <c r="AHW187" s="1"/>
      <c r="AHX187" s="1"/>
      <c r="AHY187" s="1"/>
      <c r="AHZ187" s="1"/>
      <c r="AIA187" s="1"/>
      <c r="AIB187" s="1"/>
      <c r="AIC187" s="1"/>
      <c r="AID187" s="1"/>
      <c r="AIE187" s="1"/>
      <c r="AIF187" s="1"/>
      <c r="AIG187" s="1"/>
      <c r="AIH187" s="1"/>
      <c r="AII187" s="1"/>
      <c r="AIJ187" s="1"/>
      <c r="AIK187" s="1"/>
      <c r="AIL187" s="1"/>
      <c r="AIM187" s="1"/>
      <c r="AIN187" s="1"/>
      <c r="AIO187" s="1"/>
      <c r="AIP187" s="1"/>
      <c r="AIQ187" s="1"/>
      <c r="AIR187" s="1"/>
      <c r="AIS187" s="1"/>
      <c r="AIT187" s="1"/>
      <c r="AIU187" s="1"/>
      <c r="AIV187" s="1"/>
      <c r="AIW187" s="1"/>
      <c r="AIX187" s="1"/>
      <c r="AIY187" s="1"/>
      <c r="AIZ187" s="1"/>
      <c r="AJA187" s="1"/>
      <c r="AJB187" s="1"/>
      <c r="AJC187" s="1"/>
      <c r="AJD187" s="1"/>
      <c r="AJE187" s="1"/>
      <c r="AJF187" s="1"/>
      <c r="AJG187" s="1"/>
      <c r="AJH187" s="1"/>
      <c r="AJI187" s="1"/>
      <c r="AJJ187" s="1"/>
      <c r="AJK187" s="1"/>
      <c r="AJL187" s="1"/>
      <c r="AJM187" s="1"/>
      <c r="AJN187" s="1"/>
      <c r="AJO187" s="1"/>
      <c r="AJP187" s="1"/>
      <c r="AJQ187" s="1"/>
      <c r="AJR187" s="1"/>
      <c r="AJS187" s="1"/>
      <c r="AJT187" s="1"/>
      <c r="AJU187" s="1"/>
      <c r="AJV187" s="1"/>
      <c r="AJW187" s="1"/>
      <c r="AJX187" s="1"/>
      <c r="AJY187" s="1"/>
      <c r="AJZ187" s="1"/>
      <c r="AKA187" s="1"/>
      <c r="AKB187" s="1"/>
      <c r="AKC187" s="1"/>
      <c r="AKD187" s="1"/>
      <c r="AKE187" s="1"/>
      <c r="AKF187" s="1"/>
      <c r="AKG187" s="1"/>
      <c r="AKH187" s="1"/>
      <c r="AKI187" s="1"/>
      <c r="AKJ187" s="1"/>
      <c r="AKK187" s="1"/>
      <c r="AKL187" s="1"/>
      <c r="AKM187" s="1"/>
      <c r="AKN187" s="1"/>
      <c r="AKO187" s="1"/>
      <c r="AKP187" s="1"/>
      <c r="AKQ187" s="1"/>
      <c r="AKR187" s="1"/>
      <c r="AKS187" s="1"/>
      <c r="AKT187" s="1"/>
      <c r="AKU187" s="1"/>
      <c r="AKV187" s="1"/>
      <c r="AKW187" s="1"/>
      <c r="AKX187" s="1"/>
      <c r="AKY187" s="1"/>
      <c r="AKZ187" s="1"/>
      <c r="ALA187" s="1"/>
      <c r="ALB187" s="1"/>
      <c r="ALC187" s="1"/>
      <c r="ALD187" s="1"/>
      <c r="ALE187" s="1"/>
      <c r="ALF187" s="1"/>
      <c r="ALG187" s="1"/>
      <c r="ALH187" s="1"/>
      <c r="ALI187" s="1"/>
      <c r="ALJ187" s="1"/>
      <c r="ALK187" s="1"/>
      <c r="ALL187" s="1"/>
      <c r="ALM187" s="1"/>
      <c r="ALN187" s="1"/>
      <c r="ALO187" s="1"/>
      <c r="ALP187" s="1"/>
      <c r="ALQ187" s="1"/>
      <c r="ALR187" s="1"/>
      <c r="ALS187" s="1"/>
      <c r="ALT187" s="1"/>
      <c r="ALU187" s="1"/>
      <c r="ALV187" s="1"/>
      <c r="ALW187" s="1"/>
      <c r="ALX187" s="1"/>
      <c r="ALY187" s="1"/>
      <c r="ALZ187" s="1"/>
      <c r="AMA187" s="1"/>
      <c r="AMB187" s="1"/>
      <c r="AMC187" s="1"/>
      <c r="AMD187" s="1"/>
      <c r="AME187" s="1"/>
      <c r="AMF187" s="1"/>
      <c r="AMG187" s="1"/>
      <c r="AMH187" s="1"/>
      <c r="AMI187" s="1"/>
      <c r="AMJ187" s="1"/>
    </row>
    <row r="188" customFormat="false" ht="10.5" hidden="false" customHeight="true" outlineLevel="0" collapsed="false">
      <c r="A188" s="164" t="s">
        <v>331</v>
      </c>
      <c r="B188" s="164"/>
      <c r="C188" s="164"/>
      <c r="D188" s="164"/>
      <c r="E188" s="164"/>
      <c r="F188" s="164"/>
      <c r="G188" s="164"/>
      <c r="H188" s="164"/>
      <c r="I188" s="164"/>
      <c r="J188" s="164"/>
      <c r="K188" s="222" t="n">
        <v>12950</v>
      </c>
      <c r="L188" s="222"/>
      <c r="M188" s="222"/>
      <c r="N188" s="222"/>
      <c r="O188" s="23" t="n">
        <v>48</v>
      </c>
      <c r="P188" s="23"/>
      <c r="Q188" s="23"/>
      <c r="R188" s="222" t="n">
        <v>394.61</v>
      </c>
      <c r="S188" s="222"/>
      <c r="T188" s="222"/>
      <c r="U188" s="222" t="n">
        <v>10126.06</v>
      </c>
      <c r="V188" s="222"/>
      <c r="W188" s="222"/>
      <c r="X188" s="222"/>
      <c r="Y188" s="168" t="s">
        <v>330</v>
      </c>
      <c r="Z188" s="168"/>
      <c r="AA188" s="168"/>
      <c r="AB188" s="168"/>
      <c r="AC188" s="168"/>
      <c r="AD188" s="168"/>
      <c r="AE188" s="168"/>
      <c r="AF188" s="168"/>
      <c r="AG188" s="168"/>
      <c r="AH188" s="168"/>
      <c r="AI188" s="168"/>
      <c r="AJ188" s="228" t="s">
        <v>64</v>
      </c>
      <c r="AK188" s="228"/>
      <c r="AL188" s="228"/>
      <c r="AM188" s="228"/>
      <c r="AN188" s="228"/>
      <c r="AO188" s="228"/>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c r="IY188" s="1"/>
      <c r="IZ188" s="1"/>
      <c r="JA188" s="1"/>
      <c r="JB188" s="1"/>
      <c r="JC188" s="1"/>
      <c r="JD188" s="1"/>
      <c r="JE188" s="1"/>
      <c r="JF188" s="1"/>
      <c r="JG188" s="1"/>
      <c r="JH188" s="1"/>
      <c r="JI188" s="1"/>
      <c r="JJ188" s="1"/>
      <c r="JK188" s="1"/>
      <c r="JL188" s="1"/>
      <c r="JM188" s="1"/>
      <c r="JN188" s="1"/>
      <c r="JO188" s="1"/>
      <c r="JP188" s="1"/>
      <c r="JQ188" s="1"/>
      <c r="JR188" s="1"/>
      <c r="JS188" s="1"/>
      <c r="JT188" s="1"/>
      <c r="JU188" s="1"/>
      <c r="JV188" s="1"/>
      <c r="JW188" s="1"/>
      <c r="JX188" s="1"/>
      <c r="JY188" s="1"/>
      <c r="JZ188" s="1"/>
      <c r="KA188" s="1"/>
      <c r="KB188" s="1"/>
      <c r="KC188" s="1"/>
      <c r="KD188" s="1"/>
      <c r="KE188" s="1"/>
      <c r="KF188" s="1"/>
      <c r="KG188" s="1"/>
      <c r="KH188" s="1"/>
      <c r="KI188" s="1"/>
      <c r="KJ188" s="1"/>
      <c r="KK188" s="1"/>
      <c r="KL188" s="1"/>
      <c r="KM188" s="1"/>
      <c r="KN188" s="1"/>
      <c r="KO188" s="1"/>
      <c r="KP188" s="1"/>
      <c r="KQ188" s="1"/>
      <c r="KR188" s="1"/>
      <c r="KS188" s="1"/>
      <c r="KT188" s="1"/>
      <c r="KU188" s="1"/>
      <c r="KV188" s="1"/>
      <c r="KW188" s="1"/>
      <c r="KX188" s="1"/>
      <c r="KY188" s="1"/>
      <c r="KZ188" s="1"/>
      <c r="LA188" s="1"/>
      <c r="LB188" s="1"/>
      <c r="LC188" s="1"/>
      <c r="LD188" s="1"/>
      <c r="LE188" s="1"/>
      <c r="LF188" s="1"/>
      <c r="LG188" s="1"/>
      <c r="LH188" s="1"/>
      <c r="LI188" s="1"/>
      <c r="LJ188" s="1"/>
      <c r="LK188" s="1"/>
      <c r="LL188" s="1"/>
      <c r="LM188" s="1"/>
      <c r="LN188" s="1"/>
      <c r="LO188" s="1"/>
      <c r="LP188" s="1"/>
      <c r="LQ188" s="1"/>
      <c r="LR188" s="1"/>
      <c r="LS188" s="1"/>
      <c r="LT188" s="1"/>
      <c r="LU188" s="1"/>
      <c r="LV188" s="1"/>
      <c r="LW188" s="1"/>
      <c r="LX188" s="1"/>
      <c r="LY188" s="1"/>
      <c r="LZ188" s="1"/>
      <c r="MA188" s="1"/>
      <c r="MB188" s="1"/>
      <c r="MC188" s="1"/>
      <c r="MD188" s="1"/>
      <c r="ME188" s="1"/>
      <c r="MF188" s="1"/>
      <c r="MG188" s="1"/>
      <c r="MH188" s="1"/>
      <c r="MI188" s="1"/>
      <c r="MJ188" s="1"/>
      <c r="MK188" s="1"/>
      <c r="ML188" s="1"/>
      <c r="MM188" s="1"/>
      <c r="MN188" s="1"/>
      <c r="MO188" s="1"/>
      <c r="MP188" s="1"/>
      <c r="MQ188" s="1"/>
      <c r="MR188" s="1"/>
      <c r="MS188" s="1"/>
      <c r="MT188" s="1"/>
      <c r="MU188" s="1"/>
      <c r="MV188" s="1"/>
      <c r="MW188" s="1"/>
      <c r="MX188" s="1"/>
      <c r="MY188" s="1"/>
      <c r="MZ188" s="1"/>
      <c r="NA188" s="1"/>
      <c r="NB188" s="1"/>
      <c r="NC188" s="1"/>
      <c r="ND188" s="1"/>
      <c r="NE188" s="1"/>
      <c r="NF188" s="1"/>
      <c r="NG188" s="1"/>
      <c r="NH188" s="1"/>
      <c r="NI188" s="1"/>
      <c r="NJ188" s="1"/>
      <c r="NK188" s="1"/>
      <c r="NL188" s="1"/>
      <c r="NM188" s="1"/>
      <c r="NN188" s="1"/>
      <c r="NO188" s="1"/>
      <c r="NP188" s="1"/>
      <c r="NQ188" s="1"/>
      <c r="NR188" s="1"/>
      <c r="NS188" s="1"/>
      <c r="NT188" s="1"/>
      <c r="NU188" s="1"/>
      <c r="NV188" s="1"/>
      <c r="NW188" s="1"/>
      <c r="NX188" s="1"/>
      <c r="NY188" s="1"/>
      <c r="NZ188" s="1"/>
      <c r="OA188" s="1"/>
      <c r="OB188" s="1"/>
      <c r="OC188" s="1"/>
      <c r="OD188" s="1"/>
      <c r="OE188" s="1"/>
      <c r="OF188" s="1"/>
      <c r="OG188" s="1"/>
      <c r="OH188" s="1"/>
      <c r="OI188" s="1"/>
      <c r="OJ188" s="1"/>
      <c r="OK188" s="1"/>
      <c r="OL188" s="1"/>
      <c r="OM188" s="1"/>
      <c r="ON188" s="1"/>
      <c r="OO188" s="1"/>
      <c r="OP188" s="1"/>
      <c r="OQ188" s="1"/>
      <c r="OR188" s="1"/>
      <c r="OS188" s="1"/>
      <c r="OT188" s="1"/>
      <c r="OU188" s="1"/>
      <c r="OV188" s="1"/>
      <c r="OW188" s="1"/>
      <c r="OX188" s="1"/>
      <c r="OY188" s="1"/>
      <c r="OZ188" s="1"/>
      <c r="PA188" s="1"/>
      <c r="PB188" s="1"/>
      <c r="PC188" s="1"/>
      <c r="PD188" s="1"/>
      <c r="PE188" s="1"/>
      <c r="PF188" s="1"/>
      <c r="PG188" s="1"/>
      <c r="PH188" s="1"/>
      <c r="PI188" s="1"/>
      <c r="PJ188" s="1"/>
      <c r="PK188" s="1"/>
      <c r="PL188" s="1"/>
      <c r="PM188" s="1"/>
      <c r="PN188" s="1"/>
      <c r="PO188" s="1"/>
      <c r="PP188" s="1"/>
      <c r="PQ188" s="1"/>
      <c r="PR188" s="1"/>
      <c r="PS188" s="1"/>
      <c r="PT188" s="1"/>
      <c r="PU188" s="1"/>
      <c r="PV188" s="1"/>
      <c r="PW188" s="1"/>
      <c r="PX188" s="1"/>
      <c r="PY188" s="1"/>
      <c r="PZ188" s="1"/>
      <c r="QA188" s="1"/>
      <c r="QB188" s="1"/>
      <c r="QC188" s="1"/>
      <c r="QD188" s="1"/>
      <c r="QE188" s="1"/>
      <c r="QF188" s="1"/>
      <c r="QG188" s="1"/>
      <c r="QH188" s="1"/>
      <c r="QI188" s="1"/>
      <c r="QJ188" s="1"/>
      <c r="QK188" s="1"/>
      <c r="QL188" s="1"/>
      <c r="QM188" s="1"/>
      <c r="QN188" s="1"/>
      <c r="QO188" s="1"/>
      <c r="QP188" s="1"/>
      <c r="QQ188" s="1"/>
      <c r="QR188" s="1"/>
      <c r="QS188" s="1"/>
      <c r="QT188" s="1"/>
      <c r="QU188" s="1"/>
      <c r="QV188" s="1"/>
      <c r="QW188" s="1"/>
      <c r="QX188" s="1"/>
      <c r="QY188" s="1"/>
      <c r="QZ188" s="1"/>
      <c r="RA188" s="1"/>
      <c r="RB188" s="1"/>
      <c r="RC188" s="1"/>
      <c r="RD188" s="1"/>
      <c r="RE188" s="1"/>
      <c r="RF188" s="1"/>
      <c r="RG188" s="1"/>
      <c r="RH188" s="1"/>
      <c r="RI188" s="1"/>
      <c r="RJ188" s="1"/>
      <c r="RK188" s="1"/>
      <c r="RL188" s="1"/>
      <c r="RM188" s="1"/>
      <c r="RN188" s="1"/>
      <c r="RO188" s="1"/>
      <c r="RP188" s="1"/>
      <c r="RQ188" s="1"/>
      <c r="RR188" s="1"/>
      <c r="RS188" s="1"/>
      <c r="RT188" s="1"/>
      <c r="RU188" s="1"/>
      <c r="RV188" s="1"/>
      <c r="RW188" s="1"/>
      <c r="RX188" s="1"/>
      <c r="RY188" s="1"/>
      <c r="RZ188" s="1"/>
      <c r="SA188" s="1"/>
      <c r="SB188" s="1"/>
      <c r="SC188" s="1"/>
      <c r="SD188" s="1"/>
      <c r="SE188" s="1"/>
      <c r="SF188" s="1"/>
      <c r="SG188" s="1"/>
      <c r="SH188" s="1"/>
      <c r="SI188" s="1"/>
      <c r="SJ188" s="1"/>
      <c r="SK188" s="1"/>
      <c r="SL188" s="1"/>
      <c r="SM188" s="1"/>
      <c r="SN188" s="1"/>
      <c r="SO188" s="1"/>
      <c r="SP188" s="1"/>
      <c r="SQ188" s="1"/>
      <c r="SR188" s="1"/>
      <c r="SS188" s="1"/>
      <c r="ST188" s="1"/>
      <c r="SU188" s="1"/>
      <c r="SV188" s="1"/>
      <c r="SW188" s="1"/>
      <c r="SX188" s="1"/>
      <c r="SY188" s="1"/>
      <c r="SZ188" s="1"/>
      <c r="TA188" s="1"/>
      <c r="TB188" s="1"/>
      <c r="TC188" s="1"/>
      <c r="TD188" s="1"/>
      <c r="TE188" s="1"/>
      <c r="TF188" s="1"/>
      <c r="TG188" s="1"/>
      <c r="TH188" s="1"/>
      <c r="TI188" s="1"/>
      <c r="TJ188" s="1"/>
      <c r="TK188" s="1"/>
      <c r="TL188" s="1"/>
      <c r="TM188" s="1"/>
      <c r="TN188" s="1"/>
      <c r="TO188" s="1"/>
      <c r="TP188" s="1"/>
      <c r="TQ188" s="1"/>
      <c r="TR188" s="1"/>
      <c r="TS188" s="1"/>
      <c r="TT188" s="1"/>
      <c r="TU188" s="1"/>
      <c r="TV188" s="1"/>
      <c r="TW188" s="1"/>
      <c r="TX188" s="1"/>
      <c r="TY188" s="1"/>
      <c r="TZ188" s="1"/>
      <c r="UA188" s="1"/>
      <c r="UB188" s="1"/>
      <c r="UC188" s="1"/>
      <c r="UD188" s="1"/>
      <c r="UE188" s="1"/>
      <c r="UF188" s="1"/>
      <c r="UG188" s="1"/>
      <c r="UH188" s="1"/>
      <c r="UI188" s="1"/>
      <c r="UJ188" s="1"/>
      <c r="UK188" s="1"/>
      <c r="UL188" s="1"/>
      <c r="UM188" s="1"/>
      <c r="UN188" s="1"/>
      <c r="UO188" s="1"/>
      <c r="UP188" s="1"/>
      <c r="UQ188" s="1"/>
      <c r="UR188" s="1"/>
      <c r="US188" s="1"/>
      <c r="UT188" s="1"/>
      <c r="UU188" s="1"/>
      <c r="UV188" s="1"/>
      <c r="UW188" s="1"/>
      <c r="UX188" s="1"/>
      <c r="UY188" s="1"/>
      <c r="UZ188" s="1"/>
      <c r="VA188" s="1"/>
      <c r="VB188" s="1"/>
      <c r="VC188" s="1"/>
      <c r="VD188" s="1"/>
      <c r="VE188" s="1"/>
      <c r="VF188" s="1"/>
      <c r="VG188" s="1"/>
      <c r="VH188" s="1"/>
      <c r="VI188" s="1"/>
      <c r="VJ188" s="1"/>
      <c r="VK188" s="1"/>
      <c r="VL188" s="1"/>
      <c r="VM188" s="1"/>
      <c r="VN188" s="1"/>
      <c r="VO188" s="1"/>
      <c r="VP188" s="1"/>
      <c r="VQ188" s="1"/>
      <c r="VR188" s="1"/>
      <c r="VS188" s="1"/>
      <c r="VT188" s="1"/>
      <c r="VU188" s="1"/>
      <c r="VV188" s="1"/>
      <c r="VW188" s="1"/>
      <c r="VX188" s="1"/>
      <c r="VY188" s="1"/>
      <c r="VZ188" s="1"/>
      <c r="WA188" s="1"/>
      <c r="WB188" s="1"/>
      <c r="WC188" s="1"/>
      <c r="WD188" s="1"/>
      <c r="WE188" s="1"/>
      <c r="WF188" s="1"/>
      <c r="WG188" s="1"/>
      <c r="WH188" s="1"/>
      <c r="WI188" s="1"/>
      <c r="WJ188" s="1"/>
      <c r="WK188" s="1"/>
      <c r="WL188" s="1"/>
      <c r="WM188" s="1"/>
      <c r="WN188" s="1"/>
      <c r="WO188" s="1"/>
      <c r="WP188" s="1"/>
      <c r="WQ188" s="1"/>
      <c r="WR188" s="1"/>
      <c r="WS188" s="1"/>
      <c r="WT188" s="1"/>
      <c r="WU188" s="1"/>
      <c r="WV188" s="1"/>
      <c r="WW188" s="1"/>
      <c r="WX188" s="1"/>
      <c r="WY188" s="1"/>
      <c r="WZ188" s="1"/>
      <c r="XA188" s="1"/>
      <c r="XB188" s="1"/>
      <c r="XC188" s="1"/>
      <c r="XD188" s="1"/>
      <c r="XE188" s="1"/>
      <c r="XF188" s="1"/>
      <c r="XG188" s="1"/>
      <c r="XH188" s="1"/>
      <c r="XI188" s="1"/>
      <c r="XJ188" s="1"/>
      <c r="XK188" s="1"/>
      <c r="XL188" s="1"/>
      <c r="XM188" s="1"/>
      <c r="XN188" s="1"/>
      <c r="XO188" s="1"/>
      <c r="XP188" s="1"/>
      <c r="XQ188" s="1"/>
      <c r="XR188" s="1"/>
      <c r="XS188" s="1"/>
      <c r="XT188" s="1"/>
      <c r="XU188" s="1"/>
      <c r="XV188" s="1"/>
      <c r="XW188" s="1"/>
      <c r="XX188" s="1"/>
      <c r="XY188" s="1"/>
      <c r="XZ188" s="1"/>
      <c r="YA188" s="1"/>
      <c r="YB188" s="1"/>
      <c r="YC188" s="1"/>
      <c r="YD188" s="1"/>
      <c r="YE188" s="1"/>
      <c r="YF188" s="1"/>
      <c r="YG188" s="1"/>
      <c r="YH188" s="1"/>
      <c r="YI188" s="1"/>
      <c r="YJ188" s="1"/>
      <c r="YK188" s="1"/>
      <c r="YL188" s="1"/>
      <c r="YM188" s="1"/>
      <c r="YN188" s="1"/>
      <c r="YO188" s="1"/>
      <c r="YP188" s="1"/>
      <c r="YQ188" s="1"/>
      <c r="YR188" s="1"/>
      <c r="YS188" s="1"/>
      <c r="YT188" s="1"/>
      <c r="YU188" s="1"/>
      <c r="YV188" s="1"/>
      <c r="YW188" s="1"/>
      <c r="YX188" s="1"/>
      <c r="YY188" s="1"/>
      <c r="YZ188" s="1"/>
      <c r="ZA188" s="1"/>
      <c r="ZB188" s="1"/>
      <c r="ZC188" s="1"/>
      <c r="ZD188" s="1"/>
      <c r="ZE188" s="1"/>
      <c r="ZF188" s="1"/>
      <c r="ZG188" s="1"/>
      <c r="ZH188" s="1"/>
      <c r="ZI188" s="1"/>
      <c r="ZJ188" s="1"/>
      <c r="ZK188" s="1"/>
      <c r="ZL188" s="1"/>
      <c r="ZM188" s="1"/>
      <c r="ZN188" s="1"/>
      <c r="ZO188" s="1"/>
      <c r="ZP188" s="1"/>
      <c r="ZQ188" s="1"/>
      <c r="ZR188" s="1"/>
      <c r="ZS188" s="1"/>
      <c r="ZT188" s="1"/>
      <c r="ZU188" s="1"/>
      <c r="ZV188" s="1"/>
      <c r="ZW188" s="1"/>
      <c r="ZX188" s="1"/>
      <c r="ZY188" s="1"/>
      <c r="ZZ188" s="1"/>
      <c r="AAA188" s="1"/>
      <c r="AAB188" s="1"/>
      <c r="AAC188" s="1"/>
      <c r="AAD188" s="1"/>
      <c r="AAE188" s="1"/>
      <c r="AAF188" s="1"/>
      <c r="AAG188" s="1"/>
      <c r="AAH188" s="1"/>
      <c r="AAI188" s="1"/>
      <c r="AAJ188" s="1"/>
      <c r="AAK188" s="1"/>
      <c r="AAL188" s="1"/>
      <c r="AAM188" s="1"/>
      <c r="AAN188" s="1"/>
      <c r="AAO188" s="1"/>
      <c r="AAP188" s="1"/>
      <c r="AAQ188" s="1"/>
      <c r="AAR188" s="1"/>
      <c r="AAS188" s="1"/>
      <c r="AAT188" s="1"/>
      <c r="AAU188" s="1"/>
      <c r="AAV188" s="1"/>
      <c r="AAW188" s="1"/>
      <c r="AAX188" s="1"/>
      <c r="AAY188" s="1"/>
      <c r="AAZ188" s="1"/>
      <c r="ABA188" s="1"/>
      <c r="ABB188" s="1"/>
      <c r="ABC188" s="1"/>
      <c r="ABD188" s="1"/>
      <c r="ABE188" s="1"/>
      <c r="ABF188" s="1"/>
      <c r="ABG188" s="1"/>
      <c r="ABH188" s="1"/>
      <c r="ABI188" s="1"/>
      <c r="ABJ188" s="1"/>
      <c r="ABK188" s="1"/>
      <c r="ABL188" s="1"/>
      <c r="ABM188" s="1"/>
      <c r="ABN188" s="1"/>
      <c r="ABO188" s="1"/>
      <c r="ABP188" s="1"/>
      <c r="ABQ188" s="1"/>
      <c r="ABR188" s="1"/>
      <c r="ABS188" s="1"/>
      <c r="ABT188" s="1"/>
      <c r="ABU188" s="1"/>
      <c r="ABV188" s="1"/>
      <c r="ABW188" s="1"/>
      <c r="ABX188" s="1"/>
      <c r="ABY188" s="1"/>
      <c r="ABZ188" s="1"/>
      <c r="ACA188" s="1"/>
      <c r="ACB188" s="1"/>
      <c r="ACC188" s="1"/>
      <c r="ACD188" s="1"/>
      <c r="ACE188" s="1"/>
      <c r="ACF188" s="1"/>
      <c r="ACG188" s="1"/>
      <c r="ACH188" s="1"/>
      <c r="ACI188" s="1"/>
      <c r="ACJ188" s="1"/>
      <c r="ACK188" s="1"/>
      <c r="ACL188" s="1"/>
      <c r="ACM188" s="1"/>
      <c r="ACN188" s="1"/>
      <c r="ACO188" s="1"/>
      <c r="ACP188" s="1"/>
      <c r="ACQ188" s="1"/>
      <c r="ACR188" s="1"/>
      <c r="ACS188" s="1"/>
      <c r="ACT188" s="1"/>
      <c r="ACU188" s="1"/>
      <c r="ACV188" s="1"/>
      <c r="ACW188" s="1"/>
      <c r="ACX188" s="1"/>
      <c r="ACY188" s="1"/>
      <c r="ACZ188" s="1"/>
      <c r="ADA188" s="1"/>
      <c r="ADB188" s="1"/>
      <c r="ADC188" s="1"/>
      <c r="ADD188" s="1"/>
      <c r="ADE188" s="1"/>
      <c r="ADF188" s="1"/>
      <c r="ADG188" s="1"/>
      <c r="ADH188" s="1"/>
      <c r="ADI188" s="1"/>
      <c r="ADJ188" s="1"/>
      <c r="ADK188" s="1"/>
      <c r="ADL188" s="1"/>
      <c r="ADM188" s="1"/>
      <c r="ADN188" s="1"/>
      <c r="ADO188" s="1"/>
      <c r="ADP188" s="1"/>
      <c r="ADQ188" s="1"/>
      <c r="ADR188" s="1"/>
      <c r="ADS188" s="1"/>
      <c r="ADT188" s="1"/>
      <c r="ADU188" s="1"/>
      <c r="ADV188" s="1"/>
      <c r="ADW188" s="1"/>
      <c r="ADX188" s="1"/>
      <c r="ADY188" s="1"/>
      <c r="ADZ188" s="1"/>
      <c r="AEA188" s="1"/>
      <c r="AEB188" s="1"/>
      <c r="AEC188" s="1"/>
      <c r="AED188" s="1"/>
      <c r="AEE188" s="1"/>
      <c r="AEF188" s="1"/>
      <c r="AEG188" s="1"/>
      <c r="AEH188" s="1"/>
      <c r="AEI188" s="1"/>
      <c r="AEJ188" s="1"/>
      <c r="AEK188" s="1"/>
      <c r="AEL188" s="1"/>
      <c r="AEM188" s="1"/>
      <c r="AEN188" s="1"/>
      <c r="AEO188" s="1"/>
      <c r="AEP188" s="1"/>
      <c r="AEQ188" s="1"/>
      <c r="AER188" s="1"/>
      <c r="AES188" s="1"/>
      <c r="AET188" s="1"/>
      <c r="AEU188" s="1"/>
      <c r="AEV188" s="1"/>
      <c r="AEW188" s="1"/>
      <c r="AEX188" s="1"/>
      <c r="AEY188" s="1"/>
      <c r="AEZ188" s="1"/>
      <c r="AFA188" s="1"/>
      <c r="AFB188" s="1"/>
      <c r="AFC188" s="1"/>
      <c r="AFD188" s="1"/>
      <c r="AFE188" s="1"/>
      <c r="AFF188" s="1"/>
      <c r="AFG188" s="1"/>
      <c r="AFH188" s="1"/>
      <c r="AFI188" s="1"/>
      <c r="AFJ188" s="1"/>
      <c r="AFK188" s="1"/>
      <c r="AFL188" s="1"/>
      <c r="AFM188" s="1"/>
      <c r="AFN188" s="1"/>
      <c r="AFO188" s="1"/>
      <c r="AFP188" s="1"/>
      <c r="AFQ188" s="1"/>
      <c r="AFR188" s="1"/>
      <c r="AFS188" s="1"/>
      <c r="AFT188" s="1"/>
      <c r="AFU188" s="1"/>
      <c r="AFV188" s="1"/>
      <c r="AFW188" s="1"/>
      <c r="AFX188" s="1"/>
      <c r="AFY188" s="1"/>
      <c r="AFZ188" s="1"/>
      <c r="AGA188" s="1"/>
      <c r="AGB188" s="1"/>
      <c r="AGC188" s="1"/>
      <c r="AGD188" s="1"/>
      <c r="AGE188" s="1"/>
      <c r="AGF188" s="1"/>
      <c r="AGG188" s="1"/>
      <c r="AGH188" s="1"/>
      <c r="AGI188" s="1"/>
      <c r="AGJ188" s="1"/>
      <c r="AGK188" s="1"/>
      <c r="AGL188" s="1"/>
      <c r="AGM188" s="1"/>
      <c r="AGN188" s="1"/>
      <c r="AGO188" s="1"/>
      <c r="AGP188" s="1"/>
      <c r="AGQ188" s="1"/>
      <c r="AGR188" s="1"/>
      <c r="AGS188" s="1"/>
      <c r="AGT188" s="1"/>
      <c r="AGU188" s="1"/>
      <c r="AGV188" s="1"/>
      <c r="AGW188" s="1"/>
      <c r="AGX188" s="1"/>
      <c r="AGY188" s="1"/>
      <c r="AGZ188" s="1"/>
      <c r="AHA188" s="1"/>
      <c r="AHB188" s="1"/>
      <c r="AHC188" s="1"/>
      <c r="AHD188" s="1"/>
      <c r="AHE188" s="1"/>
      <c r="AHF188" s="1"/>
      <c r="AHG188" s="1"/>
      <c r="AHH188" s="1"/>
      <c r="AHI188" s="1"/>
      <c r="AHJ188" s="1"/>
      <c r="AHK188" s="1"/>
      <c r="AHL188" s="1"/>
      <c r="AHM188" s="1"/>
      <c r="AHN188" s="1"/>
      <c r="AHO188" s="1"/>
      <c r="AHP188" s="1"/>
      <c r="AHQ188" s="1"/>
      <c r="AHR188" s="1"/>
      <c r="AHS188" s="1"/>
      <c r="AHT188" s="1"/>
      <c r="AHU188" s="1"/>
      <c r="AHV188" s="1"/>
      <c r="AHW188" s="1"/>
      <c r="AHX188" s="1"/>
      <c r="AHY188" s="1"/>
      <c r="AHZ188" s="1"/>
      <c r="AIA188" s="1"/>
      <c r="AIB188" s="1"/>
      <c r="AIC188" s="1"/>
      <c r="AID188" s="1"/>
      <c r="AIE188" s="1"/>
      <c r="AIF188" s="1"/>
      <c r="AIG188" s="1"/>
      <c r="AIH188" s="1"/>
      <c r="AII188" s="1"/>
      <c r="AIJ188" s="1"/>
      <c r="AIK188" s="1"/>
      <c r="AIL188" s="1"/>
      <c r="AIM188" s="1"/>
      <c r="AIN188" s="1"/>
      <c r="AIO188" s="1"/>
      <c r="AIP188" s="1"/>
      <c r="AIQ188" s="1"/>
      <c r="AIR188" s="1"/>
      <c r="AIS188" s="1"/>
      <c r="AIT188" s="1"/>
      <c r="AIU188" s="1"/>
      <c r="AIV188" s="1"/>
      <c r="AIW188" s="1"/>
      <c r="AIX188" s="1"/>
      <c r="AIY188" s="1"/>
      <c r="AIZ188" s="1"/>
      <c r="AJA188" s="1"/>
      <c r="AJB188" s="1"/>
      <c r="AJC188" s="1"/>
      <c r="AJD188" s="1"/>
      <c r="AJE188" s="1"/>
      <c r="AJF188" s="1"/>
      <c r="AJG188" s="1"/>
      <c r="AJH188" s="1"/>
      <c r="AJI188" s="1"/>
      <c r="AJJ188" s="1"/>
      <c r="AJK188" s="1"/>
      <c r="AJL188" s="1"/>
      <c r="AJM188" s="1"/>
      <c r="AJN188" s="1"/>
      <c r="AJO188" s="1"/>
      <c r="AJP188" s="1"/>
      <c r="AJQ188" s="1"/>
      <c r="AJR188" s="1"/>
      <c r="AJS188" s="1"/>
      <c r="AJT188" s="1"/>
      <c r="AJU188" s="1"/>
      <c r="AJV188" s="1"/>
      <c r="AJW188" s="1"/>
      <c r="AJX188" s="1"/>
      <c r="AJY188" s="1"/>
      <c r="AJZ188" s="1"/>
      <c r="AKA188" s="1"/>
      <c r="AKB188" s="1"/>
      <c r="AKC188" s="1"/>
      <c r="AKD188" s="1"/>
      <c r="AKE188" s="1"/>
      <c r="AKF188" s="1"/>
      <c r="AKG188" s="1"/>
      <c r="AKH188" s="1"/>
      <c r="AKI188" s="1"/>
      <c r="AKJ188" s="1"/>
      <c r="AKK188" s="1"/>
      <c r="AKL188" s="1"/>
      <c r="AKM188" s="1"/>
      <c r="AKN188" s="1"/>
      <c r="AKO188" s="1"/>
      <c r="AKP188" s="1"/>
      <c r="AKQ188" s="1"/>
      <c r="AKR188" s="1"/>
      <c r="AKS188" s="1"/>
      <c r="AKT188" s="1"/>
      <c r="AKU188" s="1"/>
      <c r="AKV188" s="1"/>
      <c r="AKW188" s="1"/>
      <c r="AKX188" s="1"/>
      <c r="AKY188" s="1"/>
      <c r="AKZ188" s="1"/>
      <c r="ALA188" s="1"/>
      <c r="ALB188" s="1"/>
      <c r="ALC188" s="1"/>
      <c r="ALD188" s="1"/>
      <c r="ALE188" s="1"/>
      <c r="ALF188" s="1"/>
      <c r="ALG188" s="1"/>
      <c r="ALH188" s="1"/>
      <c r="ALI188" s="1"/>
      <c r="ALJ188" s="1"/>
      <c r="ALK188" s="1"/>
      <c r="ALL188" s="1"/>
      <c r="ALM188" s="1"/>
      <c r="ALN188" s="1"/>
      <c r="ALO188" s="1"/>
      <c r="ALP188" s="1"/>
      <c r="ALQ188" s="1"/>
      <c r="ALR188" s="1"/>
      <c r="ALS188" s="1"/>
      <c r="ALT188" s="1"/>
      <c r="ALU188" s="1"/>
      <c r="ALV188" s="1"/>
      <c r="ALW188" s="1"/>
      <c r="ALX188" s="1"/>
      <c r="ALY188" s="1"/>
      <c r="ALZ188" s="1"/>
      <c r="AMA188" s="1"/>
      <c r="AMB188" s="1"/>
      <c r="AMC188" s="1"/>
      <c r="AMD188" s="1"/>
      <c r="AME188" s="1"/>
      <c r="AMF188" s="1"/>
      <c r="AMG188" s="1"/>
      <c r="AMH188" s="1"/>
      <c r="AMI188" s="1"/>
      <c r="AMJ188" s="1"/>
    </row>
    <row r="189" customFormat="false" ht="10.5" hidden="false" customHeight="true" outlineLevel="0" collapsed="false">
      <c r="A189" s="236" t="s">
        <v>331</v>
      </c>
      <c r="B189" s="236"/>
      <c r="C189" s="236"/>
      <c r="D189" s="236"/>
      <c r="E189" s="236"/>
      <c r="F189" s="236"/>
      <c r="G189" s="236"/>
      <c r="H189" s="236"/>
      <c r="I189" s="236"/>
      <c r="J189" s="236"/>
      <c r="K189" s="237" t="n">
        <v>6200</v>
      </c>
      <c r="L189" s="237"/>
      <c r="M189" s="237"/>
      <c r="N189" s="237"/>
      <c r="O189" s="238" t="n">
        <v>48</v>
      </c>
      <c r="P189" s="238"/>
      <c r="Q189" s="238"/>
      <c r="R189" s="237" t="n">
        <v>190.89</v>
      </c>
      <c r="S189" s="237"/>
      <c r="T189" s="237"/>
      <c r="U189" s="237" t="n">
        <v>5446.22</v>
      </c>
      <c r="V189" s="237"/>
      <c r="W189" s="237"/>
      <c r="X189" s="237"/>
      <c r="Y189" s="239" t="s">
        <v>330</v>
      </c>
      <c r="Z189" s="239"/>
      <c r="AA189" s="239"/>
      <c r="AB189" s="239"/>
      <c r="AC189" s="239"/>
      <c r="AD189" s="239"/>
      <c r="AE189" s="239"/>
      <c r="AF189" s="239"/>
      <c r="AG189" s="239"/>
      <c r="AH189" s="239"/>
      <c r="AI189" s="239"/>
      <c r="AJ189" s="241" t="s">
        <v>64</v>
      </c>
      <c r="AK189" s="241"/>
      <c r="AL189" s="241"/>
      <c r="AM189" s="241"/>
      <c r="AN189" s="241"/>
      <c r="AO189" s="24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c r="IY189" s="1"/>
      <c r="IZ189" s="1"/>
      <c r="JA189" s="1"/>
      <c r="JB189" s="1"/>
      <c r="JC189" s="1"/>
      <c r="JD189" s="1"/>
      <c r="JE189" s="1"/>
      <c r="JF189" s="1"/>
      <c r="JG189" s="1"/>
      <c r="JH189" s="1"/>
      <c r="JI189" s="1"/>
      <c r="JJ189" s="1"/>
      <c r="JK189" s="1"/>
      <c r="JL189" s="1"/>
      <c r="JM189" s="1"/>
      <c r="JN189" s="1"/>
      <c r="JO189" s="1"/>
      <c r="JP189" s="1"/>
      <c r="JQ189" s="1"/>
      <c r="JR189" s="1"/>
      <c r="JS189" s="1"/>
      <c r="JT189" s="1"/>
      <c r="JU189" s="1"/>
      <c r="JV189" s="1"/>
      <c r="JW189" s="1"/>
      <c r="JX189" s="1"/>
      <c r="JY189" s="1"/>
      <c r="JZ189" s="1"/>
      <c r="KA189" s="1"/>
      <c r="KB189" s="1"/>
      <c r="KC189" s="1"/>
      <c r="KD189" s="1"/>
      <c r="KE189" s="1"/>
      <c r="KF189" s="1"/>
      <c r="KG189" s="1"/>
      <c r="KH189" s="1"/>
      <c r="KI189" s="1"/>
      <c r="KJ189" s="1"/>
      <c r="KK189" s="1"/>
      <c r="KL189" s="1"/>
      <c r="KM189" s="1"/>
      <c r="KN189" s="1"/>
      <c r="KO189" s="1"/>
      <c r="KP189" s="1"/>
      <c r="KQ189" s="1"/>
      <c r="KR189" s="1"/>
      <c r="KS189" s="1"/>
      <c r="KT189" s="1"/>
      <c r="KU189" s="1"/>
      <c r="KV189" s="1"/>
      <c r="KW189" s="1"/>
      <c r="KX189" s="1"/>
      <c r="KY189" s="1"/>
      <c r="KZ189" s="1"/>
      <c r="LA189" s="1"/>
      <c r="LB189" s="1"/>
      <c r="LC189" s="1"/>
      <c r="LD189" s="1"/>
      <c r="LE189" s="1"/>
      <c r="LF189" s="1"/>
      <c r="LG189" s="1"/>
      <c r="LH189" s="1"/>
      <c r="LI189" s="1"/>
      <c r="LJ189" s="1"/>
      <c r="LK189" s="1"/>
      <c r="LL189" s="1"/>
      <c r="LM189" s="1"/>
      <c r="LN189" s="1"/>
      <c r="LO189" s="1"/>
      <c r="LP189" s="1"/>
      <c r="LQ189" s="1"/>
      <c r="LR189" s="1"/>
      <c r="LS189" s="1"/>
      <c r="LT189" s="1"/>
      <c r="LU189" s="1"/>
      <c r="LV189" s="1"/>
      <c r="LW189" s="1"/>
      <c r="LX189" s="1"/>
      <c r="LY189" s="1"/>
      <c r="LZ189" s="1"/>
      <c r="MA189" s="1"/>
      <c r="MB189" s="1"/>
      <c r="MC189" s="1"/>
      <c r="MD189" s="1"/>
      <c r="ME189" s="1"/>
      <c r="MF189" s="1"/>
      <c r="MG189" s="1"/>
      <c r="MH189" s="1"/>
      <c r="MI189" s="1"/>
      <c r="MJ189" s="1"/>
      <c r="MK189" s="1"/>
      <c r="ML189" s="1"/>
      <c r="MM189" s="1"/>
      <c r="MN189" s="1"/>
      <c r="MO189" s="1"/>
      <c r="MP189" s="1"/>
      <c r="MQ189" s="1"/>
      <c r="MR189" s="1"/>
      <c r="MS189" s="1"/>
      <c r="MT189" s="1"/>
      <c r="MU189" s="1"/>
      <c r="MV189" s="1"/>
      <c r="MW189" s="1"/>
      <c r="MX189" s="1"/>
      <c r="MY189" s="1"/>
      <c r="MZ189" s="1"/>
      <c r="NA189" s="1"/>
      <c r="NB189" s="1"/>
      <c r="NC189" s="1"/>
      <c r="ND189" s="1"/>
      <c r="NE189" s="1"/>
      <c r="NF189" s="1"/>
      <c r="NG189" s="1"/>
      <c r="NH189" s="1"/>
      <c r="NI189" s="1"/>
      <c r="NJ189" s="1"/>
      <c r="NK189" s="1"/>
      <c r="NL189" s="1"/>
      <c r="NM189" s="1"/>
      <c r="NN189" s="1"/>
      <c r="NO189" s="1"/>
      <c r="NP189" s="1"/>
      <c r="NQ189" s="1"/>
      <c r="NR189" s="1"/>
      <c r="NS189" s="1"/>
      <c r="NT189" s="1"/>
      <c r="NU189" s="1"/>
      <c r="NV189" s="1"/>
      <c r="NW189" s="1"/>
      <c r="NX189" s="1"/>
      <c r="NY189" s="1"/>
      <c r="NZ189" s="1"/>
      <c r="OA189" s="1"/>
      <c r="OB189" s="1"/>
      <c r="OC189" s="1"/>
      <c r="OD189" s="1"/>
      <c r="OE189" s="1"/>
      <c r="OF189" s="1"/>
      <c r="OG189" s="1"/>
      <c r="OH189" s="1"/>
      <c r="OI189" s="1"/>
      <c r="OJ189" s="1"/>
      <c r="OK189" s="1"/>
      <c r="OL189" s="1"/>
      <c r="OM189" s="1"/>
      <c r="ON189" s="1"/>
      <c r="OO189" s="1"/>
      <c r="OP189" s="1"/>
      <c r="OQ189" s="1"/>
      <c r="OR189" s="1"/>
      <c r="OS189" s="1"/>
      <c r="OT189" s="1"/>
      <c r="OU189" s="1"/>
      <c r="OV189" s="1"/>
      <c r="OW189" s="1"/>
      <c r="OX189" s="1"/>
      <c r="OY189" s="1"/>
      <c r="OZ189" s="1"/>
      <c r="PA189" s="1"/>
      <c r="PB189" s="1"/>
      <c r="PC189" s="1"/>
      <c r="PD189" s="1"/>
      <c r="PE189" s="1"/>
      <c r="PF189" s="1"/>
      <c r="PG189" s="1"/>
      <c r="PH189" s="1"/>
      <c r="PI189" s="1"/>
      <c r="PJ189" s="1"/>
      <c r="PK189" s="1"/>
      <c r="PL189" s="1"/>
      <c r="PM189" s="1"/>
      <c r="PN189" s="1"/>
      <c r="PO189" s="1"/>
      <c r="PP189" s="1"/>
      <c r="PQ189" s="1"/>
      <c r="PR189" s="1"/>
      <c r="PS189" s="1"/>
      <c r="PT189" s="1"/>
      <c r="PU189" s="1"/>
      <c r="PV189" s="1"/>
      <c r="PW189" s="1"/>
      <c r="PX189" s="1"/>
      <c r="PY189" s="1"/>
      <c r="PZ189" s="1"/>
      <c r="QA189" s="1"/>
      <c r="QB189" s="1"/>
      <c r="QC189" s="1"/>
      <c r="QD189" s="1"/>
      <c r="QE189" s="1"/>
      <c r="QF189" s="1"/>
      <c r="QG189" s="1"/>
      <c r="QH189" s="1"/>
      <c r="QI189" s="1"/>
      <c r="QJ189" s="1"/>
      <c r="QK189" s="1"/>
      <c r="QL189" s="1"/>
      <c r="QM189" s="1"/>
      <c r="QN189" s="1"/>
      <c r="QO189" s="1"/>
      <c r="QP189" s="1"/>
      <c r="QQ189" s="1"/>
      <c r="QR189" s="1"/>
      <c r="QS189" s="1"/>
      <c r="QT189" s="1"/>
      <c r="QU189" s="1"/>
      <c r="QV189" s="1"/>
      <c r="QW189" s="1"/>
      <c r="QX189" s="1"/>
      <c r="QY189" s="1"/>
      <c r="QZ189" s="1"/>
      <c r="RA189" s="1"/>
      <c r="RB189" s="1"/>
      <c r="RC189" s="1"/>
      <c r="RD189" s="1"/>
      <c r="RE189" s="1"/>
      <c r="RF189" s="1"/>
      <c r="RG189" s="1"/>
      <c r="RH189" s="1"/>
      <c r="RI189" s="1"/>
      <c r="RJ189" s="1"/>
      <c r="RK189" s="1"/>
      <c r="RL189" s="1"/>
      <c r="RM189" s="1"/>
      <c r="RN189" s="1"/>
      <c r="RO189" s="1"/>
      <c r="RP189" s="1"/>
      <c r="RQ189" s="1"/>
      <c r="RR189" s="1"/>
      <c r="RS189" s="1"/>
      <c r="RT189" s="1"/>
      <c r="RU189" s="1"/>
      <c r="RV189" s="1"/>
      <c r="RW189" s="1"/>
      <c r="RX189" s="1"/>
      <c r="RY189" s="1"/>
      <c r="RZ189" s="1"/>
      <c r="SA189" s="1"/>
      <c r="SB189" s="1"/>
      <c r="SC189" s="1"/>
      <c r="SD189" s="1"/>
      <c r="SE189" s="1"/>
      <c r="SF189" s="1"/>
      <c r="SG189" s="1"/>
      <c r="SH189" s="1"/>
      <c r="SI189" s="1"/>
      <c r="SJ189" s="1"/>
      <c r="SK189" s="1"/>
      <c r="SL189" s="1"/>
      <c r="SM189" s="1"/>
      <c r="SN189" s="1"/>
      <c r="SO189" s="1"/>
      <c r="SP189" s="1"/>
      <c r="SQ189" s="1"/>
      <c r="SR189" s="1"/>
      <c r="SS189" s="1"/>
      <c r="ST189" s="1"/>
      <c r="SU189" s="1"/>
      <c r="SV189" s="1"/>
      <c r="SW189" s="1"/>
      <c r="SX189" s="1"/>
      <c r="SY189" s="1"/>
      <c r="SZ189" s="1"/>
      <c r="TA189" s="1"/>
      <c r="TB189" s="1"/>
      <c r="TC189" s="1"/>
      <c r="TD189" s="1"/>
      <c r="TE189" s="1"/>
      <c r="TF189" s="1"/>
      <c r="TG189" s="1"/>
      <c r="TH189" s="1"/>
      <c r="TI189" s="1"/>
      <c r="TJ189" s="1"/>
      <c r="TK189" s="1"/>
      <c r="TL189" s="1"/>
      <c r="TM189" s="1"/>
      <c r="TN189" s="1"/>
      <c r="TO189" s="1"/>
      <c r="TP189" s="1"/>
      <c r="TQ189" s="1"/>
      <c r="TR189" s="1"/>
      <c r="TS189" s="1"/>
      <c r="TT189" s="1"/>
      <c r="TU189" s="1"/>
      <c r="TV189" s="1"/>
      <c r="TW189" s="1"/>
      <c r="TX189" s="1"/>
      <c r="TY189" s="1"/>
      <c r="TZ189" s="1"/>
      <c r="UA189" s="1"/>
      <c r="UB189" s="1"/>
      <c r="UC189" s="1"/>
      <c r="UD189" s="1"/>
      <c r="UE189" s="1"/>
      <c r="UF189" s="1"/>
      <c r="UG189" s="1"/>
      <c r="UH189" s="1"/>
      <c r="UI189" s="1"/>
      <c r="UJ189" s="1"/>
      <c r="UK189" s="1"/>
      <c r="UL189" s="1"/>
      <c r="UM189" s="1"/>
      <c r="UN189" s="1"/>
      <c r="UO189" s="1"/>
      <c r="UP189" s="1"/>
      <c r="UQ189" s="1"/>
      <c r="UR189" s="1"/>
      <c r="US189" s="1"/>
      <c r="UT189" s="1"/>
      <c r="UU189" s="1"/>
      <c r="UV189" s="1"/>
      <c r="UW189" s="1"/>
      <c r="UX189" s="1"/>
      <c r="UY189" s="1"/>
      <c r="UZ189" s="1"/>
      <c r="VA189" s="1"/>
      <c r="VB189" s="1"/>
      <c r="VC189" s="1"/>
      <c r="VD189" s="1"/>
      <c r="VE189" s="1"/>
      <c r="VF189" s="1"/>
      <c r="VG189" s="1"/>
      <c r="VH189" s="1"/>
      <c r="VI189" s="1"/>
      <c r="VJ189" s="1"/>
      <c r="VK189" s="1"/>
      <c r="VL189" s="1"/>
      <c r="VM189" s="1"/>
      <c r="VN189" s="1"/>
      <c r="VO189" s="1"/>
      <c r="VP189" s="1"/>
      <c r="VQ189" s="1"/>
      <c r="VR189" s="1"/>
      <c r="VS189" s="1"/>
      <c r="VT189" s="1"/>
      <c r="VU189" s="1"/>
      <c r="VV189" s="1"/>
      <c r="VW189" s="1"/>
      <c r="VX189" s="1"/>
      <c r="VY189" s="1"/>
      <c r="VZ189" s="1"/>
      <c r="WA189" s="1"/>
      <c r="WB189" s="1"/>
      <c r="WC189" s="1"/>
      <c r="WD189" s="1"/>
      <c r="WE189" s="1"/>
      <c r="WF189" s="1"/>
      <c r="WG189" s="1"/>
      <c r="WH189" s="1"/>
      <c r="WI189" s="1"/>
      <c r="WJ189" s="1"/>
      <c r="WK189" s="1"/>
      <c r="WL189" s="1"/>
      <c r="WM189" s="1"/>
      <c r="WN189" s="1"/>
      <c r="WO189" s="1"/>
      <c r="WP189" s="1"/>
      <c r="WQ189" s="1"/>
      <c r="WR189" s="1"/>
      <c r="WS189" s="1"/>
      <c r="WT189" s="1"/>
      <c r="WU189" s="1"/>
      <c r="WV189" s="1"/>
      <c r="WW189" s="1"/>
      <c r="WX189" s="1"/>
      <c r="WY189" s="1"/>
      <c r="WZ189" s="1"/>
      <c r="XA189" s="1"/>
      <c r="XB189" s="1"/>
      <c r="XC189" s="1"/>
      <c r="XD189" s="1"/>
      <c r="XE189" s="1"/>
      <c r="XF189" s="1"/>
      <c r="XG189" s="1"/>
      <c r="XH189" s="1"/>
      <c r="XI189" s="1"/>
      <c r="XJ189" s="1"/>
      <c r="XK189" s="1"/>
      <c r="XL189" s="1"/>
      <c r="XM189" s="1"/>
      <c r="XN189" s="1"/>
      <c r="XO189" s="1"/>
      <c r="XP189" s="1"/>
      <c r="XQ189" s="1"/>
      <c r="XR189" s="1"/>
      <c r="XS189" s="1"/>
      <c r="XT189" s="1"/>
      <c r="XU189" s="1"/>
      <c r="XV189" s="1"/>
      <c r="XW189" s="1"/>
      <c r="XX189" s="1"/>
      <c r="XY189" s="1"/>
      <c r="XZ189" s="1"/>
      <c r="YA189" s="1"/>
      <c r="YB189" s="1"/>
      <c r="YC189" s="1"/>
      <c r="YD189" s="1"/>
      <c r="YE189" s="1"/>
      <c r="YF189" s="1"/>
      <c r="YG189" s="1"/>
      <c r="YH189" s="1"/>
      <c r="YI189" s="1"/>
      <c r="YJ189" s="1"/>
      <c r="YK189" s="1"/>
      <c r="YL189" s="1"/>
      <c r="YM189" s="1"/>
      <c r="YN189" s="1"/>
      <c r="YO189" s="1"/>
      <c r="YP189" s="1"/>
      <c r="YQ189" s="1"/>
      <c r="YR189" s="1"/>
      <c r="YS189" s="1"/>
      <c r="YT189" s="1"/>
      <c r="YU189" s="1"/>
      <c r="YV189" s="1"/>
      <c r="YW189" s="1"/>
      <c r="YX189" s="1"/>
      <c r="YY189" s="1"/>
      <c r="YZ189" s="1"/>
      <c r="ZA189" s="1"/>
      <c r="ZB189" s="1"/>
      <c r="ZC189" s="1"/>
      <c r="ZD189" s="1"/>
      <c r="ZE189" s="1"/>
      <c r="ZF189" s="1"/>
      <c r="ZG189" s="1"/>
      <c r="ZH189" s="1"/>
      <c r="ZI189" s="1"/>
      <c r="ZJ189" s="1"/>
      <c r="ZK189" s="1"/>
      <c r="ZL189" s="1"/>
      <c r="ZM189" s="1"/>
      <c r="ZN189" s="1"/>
      <c r="ZO189" s="1"/>
      <c r="ZP189" s="1"/>
      <c r="ZQ189" s="1"/>
      <c r="ZR189" s="1"/>
      <c r="ZS189" s="1"/>
      <c r="ZT189" s="1"/>
      <c r="ZU189" s="1"/>
      <c r="ZV189" s="1"/>
      <c r="ZW189" s="1"/>
      <c r="ZX189" s="1"/>
      <c r="ZY189" s="1"/>
      <c r="ZZ189" s="1"/>
      <c r="AAA189" s="1"/>
      <c r="AAB189" s="1"/>
      <c r="AAC189" s="1"/>
      <c r="AAD189" s="1"/>
      <c r="AAE189" s="1"/>
      <c r="AAF189" s="1"/>
      <c r="AAG189" s="1"/>
      <c r="AAH189" s="1"/>
      <c r="AAI189" s="1"/>
      <c r="AAJ189" s="1"/>
      <c r="AAK189" s="1"/>
      <c r="AAL189" s="1"/>
      <c r="AAM189" s="1"/>
      <c r="AAN189" s="1"/>
      <c r="AAO189" s="1"/>
      <c r="AAP189" s="1"/>
      <c r="AAQ189" s="1"/>
      <c r="AAR189" s="1"/>
      <c r="AAS189" s="1"/>
      <c r="AAT189" s="1"/>
      <c r="AAU189" s="1"/>
      <c r="AAV189" s="1"/>
      <c r="AAW189" s="1"/>
      <c r="AAX189" s="1"/>
      <c r="AAY189" s="1"/>
      <c r="AAZ189" s="1"/>
      <c r="ABA189" s="1"/>
      <c r="ABB189" s="1"/>
      <c r="ABC189" s="1"/>
      <c r="ABD189" s="1"/>
      <c r="ABE189" s="1"/>
      <c r="ABF189" s="1"/>
      <c r="ABG189" s="1"/>
      <c r="ABH189" s="1"/>
      <c r="ABI189" s="1"/>
      <c r="ABJ189" s="1"/>
      <c r="ABK189" s="1"/>
      <c r="ABL189" s="1"/>
      <c r="ABM189" s="1"/>
      <c r="ABN189" s="1"/>
      <c r="ABO189" s="1"/>
      <c r="ABP189" s="1"/>
      <c r="ABQ189" s="1"/>
      <c r="ABR189" s="1"/>
      <c r="ABS189" s="1"/>
      <c r="ABT189" s="1"/>
      <c r="ABU189" s="1"/>
      <c r="ABV189" s="1"/>
      <c r="ABW189" s="1"/>
      <c r="ABX189" s="1"/>
      <c r="ABY189" s="1"/>
      <c r="ABZ189" s="1"/>
      <c r="ACA189" s="1"/>
      <c r="ACB189" s="1"/>
      <c r="ACC189" s="1"/>
      <c r="ACD189" s="1"/>
      <c r="ACE189" s="1"/>
      <c r="ACF189" s="1"/>
      <c r="ACG189" s="1"/>
      <c r="ACH189" s="1"/>
      <c r="ACI189" s="1"/>
      <c r="ACJ189" s="1"/>
      <c r="ACK189" s="1"/>
      <c r="ACL189" s="1"/>
      <c r="ACM189" s="1"/>
      <c r="ACN189" s="1"/>
      <c r="ACO189" s="1"/>
      <c r="ACP189" s="1"/>
      <c r="ACQ189" s="1"/>
      <c r="ACR189" s="1"/>
      <c r="ACS189" s="1"/>
      <c r="ACT189" s="1"/>
      <c r="ACU189" s="1"/>
      <c r="ACV189" s="1"/>
      <c r="ACW189" s="1"/>
      <c r="ACX189" s="1"/>
      <c r="ACY189" s="1"/>
      <c r="ACZ189" s="1"/>
      <c r="ADA189" s="1"/>
      <c r="ADB189" s="1"/>
      <c r="ADC189" s="1"/>
      <c r="ADD189" s="1"/>
      <c r="ADE189" s="1"/>
      <c r="ADF189" s="1"/>
      <c r="ADG189" s="1"/>
      <c r="ADH189" s="1"/>
      <c r="ADI189" s="1"/>
      <c r="ADJ189" s="1"/>
      <c r="ADK189" s="1"/>
      <c r="ADL189" s="1"/>
      <c r="ADM189" s="1"/>
      <c r="ADN189" s="1"/>
      <c r="ADO189" s="1"/>
      <c r="ADP189" s="1"/>
      <c r="ADQ189" s="1"/>
      <c r="ADR189" s="1"/>
      <c r="ADS189" s="1"/>
      <c r="ADT189" s="1"/>
      <c r="ADU189" s="1"/>
      <c r="ADV189" s="1"/>
      <c r="ADW189" s="1"/>
      <c r="ADX189" s="1"/>
      <c r="ADY189" s="1"/>
      <c r="ADZ189" s="1"/>
      <c r="AEA189" s="1"/>
      <c r="AEB189" s="1"/>
      <c r="AEC189" s="1"/>
      <c r="AED189" s="1"/>
      <c r="AEE189" s="1"/>
      <c r="AEF189" s="1"/>
      <c r="AEG189" s="1"/>
      <c r="AEH189" s="1"/>
      <c r="AEI189" s="1"/>
      <c r="AEJ189" s="1"/>
      <c r="AEK189" s="1"/>
      <c r="AEL189" s="1"/>
      <c r="AEM189" s="1"/>
      <c r="AEN189" s="1"/>
      <c r="AEO189" s="1"/>
      <c r="AEP189" s="1"/>
      <c r="AEQ189" s="1"/>
      <c r="AER189" s="1"/>
      <c r="AES189" s="1"/>
      <c r="AET189" s="1"/>
      <c r="AEU189" s="1"/>
      <c r="AEV189" s="1"/>
      <c r="AEW189" s="1"/>
      <c r="AEX189" s="1"/>
      <c r="AEY189" s="1"/>
      <c r="AEZ189" s="1"/>
      <c r="AFA189" s="1"/>
      <c r="AFB189" s="1"/>
      <c r="AFC189" s="1"/>
      <c r="AFD189" s="1"/>
      <c r="AFE189" s="1"/>
      <c r="AFF189" s="1"/>
      <c r="AFG189" s="1"/>
      <c r="AFH189" s="1"/>
      <c r="AFI189" s="1"/>
      <c r="AFJ189" s="1"/>
      <c r="AFK189" s="1"/>
      <c r="AFL189" s="1"/>
      <c r="AFM189" s="1"/>
      <c r="AFN189" s="1"/>
      <c r="AFO189" s="1"/>
      <c r="AFP189" s="1"/>
      <c r="AFQ189" s="1"/>
      <c r="AFR189" s="1"/>
      <c r="AFS189" s="1"/>
      <c r="AFT189" s="1"/>
      <c r="AFU189" s="1"/>
      <c r="AFV189" s="1"/>
      <c r="AFW189" s="1"/>
      <c r="AFX189" s="1"/>
      <c r="AFY189" s="1"/>
      <c r="AFZ189" s="1"/>
      <c r="AGA189" s="1"/>
      <c r="AGB189" s="1"/>
      <c r="AGC189" s="1"/>
      <c r="AGD189" s="1"/>
      <c r="AGE189" s="1"/>
      <c r="AGF189" s="1"/>
      <c r="AGG189" s="1"/>
      <c r="AGH189" s="1"/>
      <c r="AGI189" s="1"/>
      <c r="AGJ189" s="1"/>
      <c r="AGK189" s="1"/>
      <c r="AGL189" s="1"/>
      <c r="AGM189" s="1"/>
      <c r="AGN189" s="1"/>
      <c r="AGO189" s="1"/>
      <c r="AGP189" s="1"/>
      <c r="AGQ189" s="1"/>
      <c r="AGR189" s="1"/>
      <c r="AGS189" s="1"/>
      <c r="AGT189" s="1"/>
      <c r="AGU189" s="1"/>
      <c r="AGV189" s="1"/>
      <c r="AGW189" s="1"/>
      <c r="AGX189" s="1"/>
      <c r="AGY189" s="1"/>
      <c r="AGZ189" s="1"/>
      <c r="AHA189" s="1"/>
      <c r="AHB189" s="1"/>
      <c r="AHC189" s="1"/>
      <c r="AHD189" s="1"/>
      <c r="AHE189" s="1"/>
      <c r="AHF189" s="1"/>
      <c r="AHG189" s="1"/>
      <c r="AHH189" s="1"/>
      <c r="AHI189" s="1"/>
      <c r="AHJ189" s="1"/>
      <c r="AHK189" s="1"/>
      <c r="AHL189" s="1"/>
      <c r="AHM189" s="1"/>
      <c r="AHN189" s="1"/>
      <c r="AHO189" s="1"/>
      <c r="AHP189" s="1"/>
      <c r="AHQ189" s="1"/>
      <c r="AHR189" s="1"/>
      <c r="AHS189" s="1"/>
      <c r="AHT189" s="1"/>
      <c r="AHU189" s="1"/>
      <c r="AHV189" s="1"/>
      <c r="AHW189" s="1"/>
      <c r="AHX189" s="1"/>
      <c r="AHY189" s="1"/>
      <c r="AHZ189" s="1"/>
      <c r="AIA189" s="1"/>
      <c r="AIB189" s="1"/>
      <c r="AIC189" s="1"/>
      <c r="AID189" s="1"/>
      <c r="AIE189" s="1"/>
      <c r="AIF189" s="1"/>
      <c r="AIG189" s="1"/>
      <c r="AIH189" s="1"/>
      <c r="AII189" s="1"/>
      <c r="AIJ189" s="1"/>
      <c r="AIK189" s="1"/>
      <c r="AIL189" s="1"/>
      <c r="AIM189" s="1"/>
      <c r="AIN189" s="1"/>
      <c r="AIO189" s="1"/>
      <c r="AIP189" s="1"/>
      <c r="AIQ189" s="1"/>
      <c r="AIR189" s="1"/>
      <c r="AIS189" s="1"/>
      <c r="AIT189" s="1"/>
      <c r="AIU189" s="1"/>
      <c r="AIV189" s="1"/>
      <c r="AIW189" s="1"/>
      <c r="AIX189" s="1"/>
      <c r="AIY189" s="1"/>
      <c r="AIZ189" s="1"/>
      <c r="AJA189" s="1"/>
      <c r="AJB189" s="1"/>
      <c r="AJC189" s="1"/>
      <c r="AJD189" s="1"/>
      <c r="AJE189" s="1"/>
      <c r="AJF189" s="1"/>
      <c r="AJG189" s="1"/>
      <c r="AJH189" s="1"/>
      <c r="AJI189" s="1"/>
      <c r="AJJ189" s="1"/>
      <c r="AJK189" s="1"/>
      <c r="AJL189" s="1"/>
      <c r="AJM189" s="1"/>
      <c r="AJN189" s="1"/>
      <c r="AJO189" s="1"/>
      <c r="AJP189" s="1"/>
      <c r="AJQ189" s="1"/>
      <c r="AJR189" s="1"/>
      <c r="AJS189" s="1"/>
      <c r="AJT189" s="1"/>
      <c r="AJU189" s="1"/>
      <c r="AJV189" s="1"/>
      <c r="AJW189" s="1"/>
      <c r="AJX189" s="1"/>
      <c r="AJY189" s="1"/>
      <c r="AJZ189" s="1"/>
      <c r="AKA189" s="1"/>
      <c r="AKB189" s="1"/>
      <c r="AKC189" s="1"/>
      <c r="AKD189" s="1"/>
      <c r="AKE189" s="1"/>
      <c r="AKF189" s="1"/>
      <c r="AKG189" s="1"/>
      <c r="AKH189" s="1"/>
      <c r="AKI189" s="1"/>
      <c r="AKJ189" s="1"/>
      <c r="AKK189" s="1"/>
      <c r="AKL189" s="1"/>
      <c r="AKM189" s="1"/>
      <c r="AKN189" s="1"/>
      <c r="AKO189" s="1"/>
      <c r="AKP189" s="1"/>
      <c r="AKQ189" s="1"/>
      <c r="AKR189" s="1"/>
      <c r="AKS189" s="1"/>
      <c r="AKT189" s="1"/>
      <c r="AKU189" s="1"/>
      <c r="AKV189" s="1"/>
      <c r="AKW189" s="1"/>
      <c r="AKX189" s="1"/>
      <c r="AKY189" s="1"/>
      <c r="AKZ189" s="1"/>
      <c r="ALA189" s="1"/>
      <c r="ALB189" s="1"/>
      <c r="ALC189" s="1"/>
      <c r="ALD189" s="1"/>
      <c r="ALE189" s="1"/>
      <c r="ALF189" s="1"/>
      <c r="ALG189" s="1"/>
      <c r="ALH189" s="1"/>
      <c r="ALI189" s="1"/>
      <c r="ALJ189" s="1"/>
      <c r="ALK189" s="1"/>
      <c r="ALL189" s="1"/>
      <c r="ALM189" s="1"/>
      <c r="ALN189" s="1"/>
      <c r="ALO189" s="1"/>
      <c r="ALP189" s="1"/>
      <c r="ALQ189" s="1"/>
      <c r="ALR189" s="1"/>
      <c r="ALS189" s="1"/>
      <c r="ALT189" s="1"/>
      <c r="ALU189" s="1"/>
      <c r="ALV189" s="1"/>
      <c r="ALW189" s="1"/>
      <c r="ALX189" s="1"/>
      <c r="ALY189" s="1"/>
      <c r="ALZ189" s="1"/>
      <c r="AMA189" s="1"/>
      <c r="AMB189" s="1"/>
      <c r="AMC189" s="1"/>
      <c r="AMD189" s="1"/>
      <c r="AME189" s="1"/>
      <c r="AMF189" s="1"/>
      <c r="AMG189" s="1"/>
      <c r="AMH189" s="1"/>
      <c r="AMI189" s="1"/>
      <c r="AMJ189" s="1"/>
    </row>
    <row r="190" customFormat="false" ht="10.5" hidden="false" customHeight="true" outlineLevel="0" collapsed="false">
      <c r="A190" s="164" t="s">
        <v>331</v>
      </c>
      <c r="B190" s="164"/>
      <c r="C190" s="164"/>
      <c r="D190" s="164"/>
      <c r="E190" s="164"/>
      <c r="F190" s="164"/>
      <c r="G190" s="164"/>
      <c r="H190" s="164"/>
      <c r="I190" s="164"/>
      <c r="J190" s="164"/>
      <c r="K190" s="222" t="n">
        <v>6000</v>
      </c>
      <c r="L190" s="222"/>
      <c r="M190" s="222"/>
      <c r="N190" s="222"/>
      <c r="O190" s="23" t="n">
        <v>47</v>
      </c>
      <c r="P190" s="23"/>
      <c r="Q190" s="23"/>
      <c r="R190" s="222" t="n">
        <v>183.63</v>
      </c>
      <c r="S190" s="222"/>
      <c r="T190" s="222"/>
      <c r="U190" s="222" t="n">
        <v>1996.09</v>
      </c>
      <c r="V190" s="222"/>
      <c r="W190" s="222"/>
      <c r="X190" s="222"/>
      <c r="Y190" s="168" t="s">
        <v>330</v>
      </c>
      <c r="Z190" s="168"/>
      <c r="AA190" s="168"/>
      <c r="AB190" s="168"/>
      <c r="AC190" s="168"/>
      <c r="AD190" s="168"/>
      <c r="AE190" s="168"/>
      <c r="AF190" s="168"/>
      <c r="AG190" s="168"/>
      <c r="AH190" s="168"/>
      <c r="AI190" s="168"/>
      <c r="AJ190" s="58" t="s">
        <v>64</v>
      </c>
      <c r="AK190" s="58"/>
      <c r="AL190" s="58"/>
      <c r="AM190" s="58"/>
      <c r="AN190" s="58"/>
      <c r="AO190" s="58"/>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c r="IY190" s="1"/>
      <c r="IZ190" s="1"/>
      <c r="JA190" s="1"/>
      <c r="JB190" s="1"/>
      <c r="JC190" s="1"/>
      <c r="JD190" s="1"/>
      <c r="JE190" s="1"/>
      <c r="JF190" s="1"/>
      <c r="JG190" s="1"/>
      <c r="JH190" s="1"/>
      <c r="JI190" s="1"/>
      <c r="JJ190" s="1"/>
      <c r="JK190" s="1"/>
      <c r="JL190" s="1"/>
      <c r="JM190" s="1"/>
      <c r="JN190" s="1"/>
      <c r="JO190" s="1"/>
      <c r="JP190" s="1"/>
      <c r="JQ190" s="1"/>
      <c r="JR190" s="1"/>
      <c r="JS190" s="1"/>
      <c r="JT190" s="1"/>
      <c r="JU190" s="1"/>
      <c r="JV190" s="1"/>
      <c r="JW190" s="1"/>
      <c r="JX190" s="1"/>
      <c r="JY190" s="1"/>
      <c r="JZ190" s="1"/>
      <c r="KA190" s="1"/>
      <c r="KB190" s="1"/>
      <c r="KC190" s="1"/>
      <c r="KD190" s="1"/>
      <c r="KE190" s="1"/>
      <c r="KF190" s="1"/>
      <c r="KG190" s="1"/>
      <c r="KH190" s="1"/>
      <c r="KI190" s="1"/>
      <c r="KJ190" s="1"/>
      <c r="KK190" s="1"/>
      <c r="KL190" s="1"/>
      <c r="KM190" s="1"/>
      <c r="KN190" s="1"/>
      <c r="KO190" s="1"/>
      <c r="KP190" s="1"/>
      <c r="KQ190" s="1"/>
      <c r="KR190" s="1"/>
      <c r="KS190" s="1"/>
      <c r="KT190" s="1"/>
      <c r="KU190" s="1"/>
      <c r="KV190" s="1"/>
      <c r="KW190" s="1"/>
      <c r="KX190" s="1"/>
      <c r="KY190" s="1"/>
      <c r="KZ190" s="1"/>
      <c r="LA190" s="1"/>
      <c r="LB190" s="1"/>
      <c r="LC190" s="1"/>
      <c r="LD190" s="1"/>
      <c r="LE190" s="1"/>
      <c r="LF190" s="1"/>
      <c r="LG190" s="1"/>
      <c r="LH190" s="1"/>
      <c r="LI190" s="1"/>
      <c r="LJ190" s="1"/>
      <c r="LK190" s="1"/>
      <c r="LL190" s="1"/>
      <c r="LM190" s="1"/>
      <c r="LN190" s="1"/>
      <c r="LO190" s="1"/>
      <c r="LP190" s="1"/>
      <c r="LQ190" s="1"/>
      <c r="LR190" s="1"/>
      <c r="LS190" s="1"/>
      <c r="LT190" s="1"/>
      <c r="LU190" s="1"/>
      <c r="LV190" s="1"/>
      <c r="LW190" s="1"/>
      <c r="LX190" s="1"/>
      <c r="LY190" s="1"/>
      <c r="LZ190" s="1"/>
      <c r="MA190" s="1"/>
      <c r="MB190" s="1"/>
      <c r="MC190" s="1"/>
      <c r="MD190" s="1"/>
      <c r="ME190" s="1"/>
      <c r="MF190" s="1"/>
      <c r="MG190" s="1"/>
      <c r="MH190" s="1"/>
      <c r="MI190" s="1"/>
      <c r="MJ190" s="1"/>
      <c r="MK190" s="1"/>
      <c r="ML190" s="1"/>
      <c r="MM190" s="1"/>
      <c r="MN190" s="1"/>
      <c r="MO190" s="1"/>
      <c r="MP190" s="1"/>
      <c r="MQ190" s="1"/>
      <c r="MR190" s="1"/>
      <c r="MS190" s="1"/>
      <c r="MT190" s="1"/>
      <c r="MU190" s="1"/>
      <c r="MV190" s="1"/>
      <c r="MW190" s="1"/>
      <c r="MX190" s="1"/>
      <c r="MY190" s="1"/>
      <c r="MZ190" s="1"/>
      <c r="NA190" s="1"/>
      <c r="NB190" s="1"/>
      <c r="NC190" s="1"/>
      <c r="ND190" s="1"/>
      <c r="NE190" s="1"/>
      <c r="NF190" s="1"/>
      <c r="NG190" s="1"/>
      <c r="NH190" s="1"/>
      <c r="NI190" s="1"/>
      <c r="NJ190" s="1"/>
      <c r="NK190" s="1"/>
      <c r="NL190" s="1"/>
      <c r="NM190" s="1"/>
      <c r="NN190" s="1"/>
      <c r="NO190" s="1"/>
      <c r="NP190" s="1"/>
      <c r="NQ190" s="1"/>
      <c r="NR190" s="1"/>
      <c r="NS190" s="1"/>
      <c r="NT190" s="1"/>
      <c r="NU190" s="1"/>
      <c r="NV190" s="1"/>
      <c r="NW190" s="1"/>
      <c r="NX190" s="1"/>
      <c r="NY190" s="1"/>
      <c r="NZ190" s="1"/>
      <c r="OA190" s="1"/>
      <c r="OB190" s="1"/>
      <c r="OC190" s="1"/>
      <c r="OD190" s="1"/>
      <c r="OE190" s="1"/>
      <c r="OF190" s="1"/>
      <c r="OG190" s="1"/>
      <c r="OH190" s="1"/>
      <c r="OI190" s="1"/>
      <c r="OJ190" s="1"/>
      <c r="OK190" s="1"/>
      <c r="OL190" s="1"/>
      <c r="OM190" s="1"/>
      <c r="ON190" s="1"/>
      <c r="OO190" s="1"/>
      <c r="OP190" s="1"/>
      <c r="OQ190" s="1"/>
      <c r="OR190" s="1"/>
      <c r="OS190" s="1"/>
      <c r="OT190" s="1"/>
      <c r="OU190" s="1"/>
      <c r="OV190" s="1"/>
      <c r="OW190" s="1"/>
      <c r="OX190" s="1"/>
      <c r="OY190" s="1"/>
      <c r="OZ190" s="1"/>
      <c r="PA190" s="1"/>
      <c r="PB190" s="1"/>
      <c r="PC190" s="1"/>
      <c r="PD190" s="1"/>
      <c r="PE190" s="1"/>
      <c r="PF190" s="1"/>
      <c r="PG190" s="1"/>
      <c r="PH190" s="1"/>
      <c r="PI190" s="1"/>
      <c r="PJ190" s="1"/>
      <c r="PK190" s="1"/>
      <c r="PL190" s="1"/>
      <c r="PM190" s="1"/>
      <c r="PN190" s="1"/>
      <c r="PO190" s="1"/>
      <c r="PP190" s="1"/>
      <c r="PQ190" s="1"/>
      <c r="PR190" s="1"/>
      <c r="PS190" s="1"/>
      <c r="PT190" s="1"/>
      <c r="PU190" s="1"/>
      <c r="PV190" s="1"/>
      <c r="PW190" s="1"/>
      <c r="PX190" s="1"/>
      <c r="PY190" s="1"/>
      <c r="PZ190" s="1"/>
      <c r="QA190" s="1"/>
      <c r="QB190" s="1"/>
      <c r="QC190" s="1"/>
      <c r="QD190" s="1"/>
      <c r="QE190" s="1"/>
      <c r="QF190" s="1"/>
      <c r="QG190" s="1"/>
      <c r="QH190" s="1"/>
      <c r="QI190" s="1"/>
      <c r="QJ190" s="1"/>
      <c r="QK190" s="1"/>
      <c r="QL190" s="1"/>
      <c r="QM190" s="1"/>
      <c r="QN190" s="1"/>
      <c r="QO190" s="1"/>
      <c r="QP190" s="1"/>
      <c r="QQ190" s="1"/>
      <c r="QR190" s="1"/>
      <c r="QS190" s="1"/>
      <c r="QT190" s="1"/>
      <c r="QU190" s="1"/>
      <c r="QV190" s="1"/>
      <c r="QW190" s="1"/>
      <c r="QX190" s="1"/>
      <c r="QY190" s="1"/>
      <c r="QZ190" s="1"/>
      <c r="RA190" s="1"/>
      <c r="RB190" s="1"/>
      <c r="RC190" s="1"/>
      <c r="RD190" s="1"/>
      <c r="RE190" s="1"/>
      <c r="RF190" s="1"/>
      <c r="RG190" s="1"/>
      <c r="RH190" s="1"/>
      <c r="RI190" s="1"/>
      <c r="RJ190" s="1"/>
      <c r="RK190" s="1"/>
      <c r="RL190" s="1"/>
      <c r="RM190" s="1"/>
      <c r="RN190" s="1"/>
      <c r="RO190" s="1"/>
      <c r="RP190" s="1"/>
      <c r="RQ190" s="1"/>
      <c r="RR190" s="1"/>
      <c r="RS190" s="1"/>
      <c r="RT190" s="1"/>
      <c r="RU190" s="1"/>
      <c r="RV190" s="1"/>
      <c r="RW190" s="1"/>
      <c r="RX190" s="1"/>
      <c r="RY190" s="1"/>
      <c r="RZ190" s="1"/>
      <c r="SA190" s="1"/>
      <c r="SB190" s="1"/>
      <c r="SC190" s="1"/>
      <c r="SD190" s="1"/>
      <c r="SE190" s="1"/>
      <c r="SF190" s="1"/>
      <c r="SG190" s="1"/>
      <c r="SH190" s="1"/>
      <c r="SI190" s="1"/>
      <c r="SJ190" s="1"/>
      <c r="SK190" s="1"/>
      <c r="SL190" s="1"/>
      <c r="SM190" s="1"/>
      <c r="SN190" s="1"/>
      <c r="SO190" s="1"/>
      <c r="SP190" s="1"/>
      <c r="SQ190" s="1"/>
      <c r="SR190" s="1"/>
      <c r="SS190" s="1"/>
      <c r="ST190" s="1"/>
      <c r="SU190" s="1"/>
      <c r="SV190" s="1"/>
      <c r="SW190" s="1"/>
      <c r="SX190" s="1"/>
      <c r="SY190" s="1"/>
      <c r="SZ190" s="1"/>
      <c r="TA190" s="1"/>
      <c r="TB190" s="1"/>
      <c r="TC190" s="1"/>
      <c r="TD190" s="1"/>
      <c r="TE190" s="1"/>
      <c r="TF190" s="1"/>
      <c r="TG190" s="1"/>
      <c r="TH190" s="1"/>
      <c r="TI190" s="1"/>
      <c r="TJ190" s="1"/>
      <c r="TK190" s="1"/>
      <c r="TL190" s="1"/>
      <c r="TM190" s="1"/>
      <c r="TN190" s="1"/>
      <c r="TO190" s="1"/>
      <c r="TP190" s="1"/>
      <c r="TQ190" s="1"/>
      <c r="TR190" s="1"/>
      <c r="TS190" s="1"/>
      <c r="TT190" s="1"/>
      <c r="TU190" s="1"/>
      <c r="TV190" s="1"/>
      <c r="TW190" s="1"/>
      <c r="TX190" s="1"/>
      <c r="TY190" s="1"/>
      <c r="TZ190" s="1"/>
      <c r="UA190" s="1"/>
      <c r="UB190" s="1"/>
      <c r="UC190" s="1"/>
      <c r="UD190" s="1"/>
      <c r="UE190" s="1"/>
      <c r="UF190" s="1"/>
      <c r="UG190" s="1"/>
      <c r="UH190" s="1"/>
      <c r="UI190" s="1"/>
      <c r="UJ190" s="1"/>
      <c r="UK190" s="1"/>
      <c r="UL190" s="1"/>
      <c r="UM190" s="1"/>
      <c r="UN190" s="1"/>
      <c r="UO190" s="1"/>
      <c r="UP190" s="1"/>
      <c r="UQ190" s="1"/>
      <c r="UR190" s="1"/>
      <c r="US190" s="1"/>
      <c r="UT190" s="1"/>
      <c r="UU190" s="1"/>
      <c r="UV190" s="1"/>
      <c r="UW190" s="1"/>
      <c r="UX190" s="1"/>
      <c r="UY190" s="1"/>
      <c r="UZ190" s="1"/>
      <c r="VA190" s="1"/>
      <c r="VB190" s="1"/>
      <c r="VC190" s="1"/>
      <c r="VD190" s="1"/>
      <c r="VE190" s="1"/>
      <c r="VF190" s="1"/>
      <c r="VG190" s="1"/>
      <c r="VH190" s="1"/>
      <c r="VI190" s="1"/>
      <c r="VJ190" s="1"/>
      <c r="VK190" s="1"/>
      <c r="VL190" s="1"/>
      <c r="VM190" s="1"/>
      <c r="VN190" s="1"/>
      <c r="VO190" s="1"/>
      <c r="VP190" s="1"/>
      <c r="VQ190" s="1"/>
      <c r="VR190" s="1"/>
      <c r="VS190" s="1"/>
      <c r="VT190" s="1"/>
      <c r="VU190" s="1"/>
      <c r="VV190" s="1"/>
      <c r="VW190" s="1"/>
      <c r="VX190" s="1"/>
      <c r="VY190" s="1"/>
      <c r="VZ190" s="1"/>
      <c r="WA190" s="1"/>
      <c r="WB190" s="1"/>
      <c r="WC190" s="1"/>
      <c r="WD190" s="1"/>
      <c r="WE190" s="1"/>
      <c r="WF190" s="1"/>
      <c r="WG190" s="1"/>
      <c r="WH190" s="1"/>
      <c r="WI190" s="1"/>
      <c r="WJ190" s="1"/>
      <c r="WK190" s="1"/>
      <c r="WL190" s="1"/>
      <c r="WM190" s="1"/>
      <c r="WN190" s="1"/>
      <c r="WO190" s="1"/>
      <c r="WP190" s="1"/>
      <c r="WQ190" s="1"/>
      <c r="WR190" s="1"/>
      <c r="WS190" s="1"/>
      <c r="WT190" s="1"/>
      <c r="WU190" s="1"/>
      <c r="WV190" s="1"/>
      <c r="WW190" s="1"/>
      <c r="WX190" s="1"/>
      <c r="WY190" s="1"/>
      <c r="WZ190" s="1"/>
      <c r="XA190" s="1"/>
      <c r="XB190" s="1"/>
      <c r="XC190" s="1"/>
      <c r="XD190" s="1"/>
      <c r="XE190" s="1"/>
      <c r="XF190" s="1"/>
      <c r="XG190" s="1"/>
      <c r="XH190" s="1"/>
      <c r="XI190" s="1"/>
      <c r="XJ190" s="1"/>
      <c r="XK190" s="1"/>
      <c r="XL190" s="1"/>
      <c r="XM190" s="1"/>
      <c r="XN190" s="1"/>
      <c r="XO190" s="1"/>
      <c r="XP190" s="1"/>
      <c r="XQ190" s="1"/>
      <c r="XR190" s="1"/>
      <c r="XS190" s="1"/>
      <c r="XT190" s="1"/>
      <c r="XU190" s="1"/>
      <c r="XV190" s="1"/>
      <c r="XW190" s="1"/>
      <c r="XX190" s="1"/>
      <c r="XY190" s="1"/>
      <c r="XZ190" s="1"/>
      <c r="YA190" s="1"/>
      <c r="YB190" s="1"/>
      <c r="YC190" s="1"/>
      <c r="YD190" s="1"/>
      <c r="YE190" s="1"/>
      <c r="YF190" s="1"/>
      <c r="YG190" s="1"/>
      <c r="YH190" s="1"/>
      <c r="YI190" s="1"/>
      <c r="YJ190" s="1"/>
      <c r="YK190" s="1"/>
      <c r="YL190" s="1"/>
      <c r="YM190" s="1"/>
      <c r="YN190" s="1"/>
      <c r="YO190" s="1"/>
      <c r="YP190" s="1"/>
      <c r="YQ190" s="1"/>
      <c r="YR190" s="1"/>
      <c r="YS190" s="1"/>
      <c r="YT190" s="1"/>
      <c r="YU190" s="1"/>
      <c r="YV190" s="1"/>
      <c r="YW190" s="1"/>
      <c r="YX190" s="1"/>
      <c r="YY190" s="1"/>
      <c r="YZ190" s="1"/>
      <c r="ZA190" s="1"/>
      <c r="ZB190" s="1"/>
      <c r="ZC190" s="1"/>
      <c r="ZD190" s="1"/>
      <c r="ZE190" s="1"/>
      <c r="ZF190" s="1"/>
      <c r="ZG190" s="1"/>
      <c r="ZH190" s="1"/>
      <c r="ZI190" s="1"/>
      <c r="ZJ190" s="1"/>
      <c r="ZK190" s="1"/>
      <c r="ZL190" s="1"/>
      <c r="ZM190" s="1"/>
      <c r="ZN190" s="1"/>
      <c r="ZO190" s="1"/>
      <c r="ZP190" s="1"/>
      <c r="ZQ190" s="1"/>
      <c r="ZR190" s="1"/>
      <c r="ZS190" s="1"/>
      <c r="ZT190" s="1"/>
      <c r="ZU190" s="1"/>
      <c r="ZV190" s="1"/>
      <c r="ZW190" s="1"/>
      <c r="ZX190" s="1"/>
      <c r="ZY190" s="1"/>
      <c r="ZZ190" s="1"/>
      <c r="AAA190" s="1"/>
      <c r="AAB190" s="1"/>
      <c r="AAC190" s="1"/>
      <c r="AAD190" s="1"/>
      <c r="AAE190" s="1"/>
      <c r="AAF190" s="1"/>
      <c r="AAG190" s="1"/>
      <c r="AAH190" s="1"/>
      <c r="AAI190" s="1"/>
      <c r="AAJ190" s="1"/>
      <c r="AAK190" s="1"/>
      <c r="AAL190" s="1"/>
      <c r="AAM190" s="1"/>
      <c r="AAN190" s="1"/>
      <c r="AAO190" s="1"/>
      <c r="AAP190" s="1"/>
      <c r="AAQ190" s="1"/>
      <c r="AAR190" s="1"/>
      <c r="AAS190" s="1"/>
      <c r="AAT190" s="1"/>
      <c r="AAU190" s="1"/>
      <c r="AAV190" s="1"/>
      <c r="AAW190" s="1"/>
      <c r="AAX190" s="1"/>
      <c r="AAY190" s="1"/>
      <c r="AAZ190" s="1"/>
      <c r="ABA190" s="1"/>
      <c r="ABB190" s="1"/>
      <c r="ABC190" s="1"/>
      <c r="ABD190" s="1"/>
      <c r="ABE190" s="1"/>
      <c r="ABF190" s="1"/>
      <c r="ABG190" s="1"/>
      <c r="ABH190" s="1"/>
      <c r="ABI190" s="1"/>
      <c r="ABJ190" s="1"/>
      <c r="ABK190" s="1"/>
      <c r="ABL190" s="1"/>
      <c r="ABM190" s="1"/>
      <c r="ABN190" s="1"/>
      <c r="ABO190" s="1"/>
      <c r="ABP190" s="1"/>
      <c r="ABQ190" s="1"/>
      <c r="ABR190" s="1"/>
      <c r="ABS190" s="1"/>
      <c r="ABT190" s="1"/>
      <c r="ABU190" s="1"/>
      <c r="ABV190" s="1"/>
      <c r="ABW190" s="1"/>
      <c r="ABX190" s="1"/>
      <c r="ABY190" s="1"/>
      <c r="ABZ190" s="1"/>
      <c r="ACA190" s="1"/>
      <c r="ACB190" s="1"/>
      <c r="ACC190" s="1"/>
      <c r="ACD190" s="1"/>
      <c r="ACE190" s="1"/>
      <c r="ACF190" s="1"/>
      <c r="ACG190" s="1"/>
      <c r="ACH190" s="1"/>
      <c r="ACI190" s="1"/>
      <c r="ACJ190" s="1"/>
      <c r="ACK190" s="1"/>
      <c r="ACL190" s="1"/>
      <c r="ACM190" s="1"/>
      <c r="ACN190" s="1"/>
      <c r="ACO190" s="1"/>
      <c r="ACP190" s="1"/>
      <c r="ACQ190" s="1"/>
      <c r="ACR190" s="1"/>
      <c r="ACS190" s="1"/>
      <c r="ACT190" s="1"/>
      <c r="ACU190" s="1"/>
      <c r="ACV190" s="1"/>
      <c r="ACW190" s="1"/>
      <c r="ACX190" s="1"/>
      <c r="ACY190" s="1"/>
      <c r="ACZ190" s="1"/>
      <c r="ADA190" s="1"/>
      <c r="ADB190" s="1"/>
      <c r="ADC190" s="1"/>
      <c r="ADD190" s="1"/>
      <c r="ADE190" s="1"/>
      <c r="ADF190" s="1"/>
      <c r="ADG190" s="1"/>
      <c r="ADH190" s="1"/>
      <c r="ADI190" s="1"/>
      <c r="ADJ190" s="1"/>
      <c r="ADK190" s="1"/>
      <c r="ADL190" s="1"/>
      <c r="ADM190" s="1"/>
      <c r="ADN190" s="1"/>
      <c r="ADO190" s="1"/>
      <c r="ADP190" s="1"/>
      <c r="ADQ190" s="1"/>
      <c r="ADR190" s="1"/>
      <c r="ADS190" s="1"/>
      <c r="ADT190" s="1"/>
      <c r="ADU190" s="1"/>
      <c r="ADV190" s="1"/>
      <c r="ADW190" s="1"/>
      <c r="ADX190" s="1"/>
      <c r="ADY190" s="1"/>
      <c r="ADZ190" s="1"/>
      <c r="AEA190" s="1"/>
      <c r="AEB190" s="1"/>
      <c r="AEC190" s="1"/>
      <c r="AED190" s="1"/>
      <c r="AEE190" s="1"/>
      <c r="AEF190" s="1"/>
      <c r="AEG190" s="1"/>
      <c r="AEH190" s="1"/>
      <c r="AEI190" s="1"/>
      <c r="AEJ190" s="1"/>
      <c r="AEK190" s="1"/>
      <c r="AEL190" s="1"/>
      <c r="AEM190" s="1"/>
      <c r="AEN190" s="1"/>
      <c r="AEO190" s="1"/>
      <c r="AEP190" s="1"/>
      <c r="AEQ190" s="1"/>
      <c r="AER190" s="1"/>
      <c r="AES190" s="1"/>
      <c r="AET190" s="1"/>
      <c r="AEU190" s="1"/>
      <c r="AEV190" s="1"/>
      <c r="AEW190" s="1"/>
      <c r="AEX190" s="1"/>
      <c r="AEY190" s="1"/>
      <c r="AEZ190" s="1"/>
      <c r="AFA190" s="1"/>
      <c r="AFB190" s="1"/>
      <c r="AFC190" s="1"/>
      <c r="AFD190" s="1"/>
      <c r="AFE190" s="1"/>
      <c r="AFF190" s="1"/>
      <c r="AFG190" s="1"/>
      <c r="AFH190" s="1"/>
      <c r="AFI190" s="1"/>
      <c r="AFJ190" s="1"/>
      <c r="AFK190" s="1"/>
      <c r="AFL190" s="1"/>
      <c r="AFM190" s="1"/>
      <c r="AFN190" s="1"/>
      <c r="AFO190" s="1"/>
      <c r="AFP190" s="1"/>
      <c r="AFQ190" s="1"/>
      <c r="AFR190" s="1"/>
      <c r="AFS190" s="1"/>
      <c r="AFT190" s="1"/>
      <c r="AFU190" s="1"/>
      <c r="AFV190" s="1"/>
      <c r="AFW190" s="1"/>
      <c r="AFX190" s="1"/>
      <c r="AFY190" s="1"/>
      <c r="AFZ190" s="1"/>
      <c r="AGA190" s="1"/>
      <c r="AGB190" s="1"/>
      <c r="AGC190" s="1"/>
      <c r="AGD190" s="1"/>
      <c r="AGE190" s="1"/>
      <c r="AGF190" s="1"/>
      <c r="AGG190" s="1"/>
      <c r="AGH190" s="1"/>
      <c r="AGI190" s="1"/>
      <c r="AGJ190" s="1"/>
      <c r="AGK190" s="1"/>
      <c r="AGL190" s="1"/>
      <c r="AGM190" s="1"/>
      <c r="AGN190" s="1"/>
      <c r="AGO190" s="1"/>
      <c r="AGP190" s="1"/>
      <c r="AGQ190" s="1"/>
      <c r="AGR190" s="1"/>
      <c r="AGS190" s="1"/>
      <c r="AGT190" s="1"/>
      <c r="AGU190" s="1"/>
      <c r="AGV190" s="1"/>
      <c r="AGW190" s="1"/>
      <c r="AGX190" s="1"/>
      <c r="AGY190" s="1"/>
      <c r="AGZ190" s="1"/>
      <c r="AHA190" s="1"/>
      <c r="AHB190" s="1"/>
      <c r="AHC190" s="1"/>
      <c r="AHD190" s="1"/>
      <c r="AHE190" s="1"/>
      <c r="AHF190" s="1"/>
      <c r="AHG190" s="1"/>
      <c r="AHH190" s="1"/>
      <c r="AHI190" s="1"/>
      <c r="AHJ190" s="1"/>
      <c r="AHK190" s="1"/>
      <c r="AHL190" s="1"/>
      <c r="AHM190" s="1"/>
      <c r="AHN190" s="1"/>
      <c r="AHO190" s="1"/>
      <c r="AHP190" s="1"/>
      <c r="AHQ190" s="1"/>
      <c r="AHR190" s="1"/>
      <c r="AHS190" s="1"/>
      <c r="AHT190" s="1"/>
      <c r="AHU190" s="1"/>
      <c r="AHV190" s="1"/>
      <c r="AHW190" s="1"/>
      <c r="AHX190" s="1"/>
      <c r="AHY190" s="1"/>
      <c r="AHZ190" s="1"/>
      <c r="AIA190" s="1"/>
      <c r="AIB190" s="1"/>
      <c r="AIC190" s="1"/>
      <c r="AID190" s="1"/>
      <c r="AIE190" s="1"/>
      <c r="AIF190" s="1"/>
      <c r="AIG190" s="1"/>
      <c r="AIH190" s="1"/>
      <c r="AII190" s="1"/>
      <c r="AIJ190" s="1"/>
      <c r="AIK190" s="1"/>
      <c r="AIL190" s="1"/>
      <c r="AIM190" s="1"/>
      <c r="AIN190" s="1"/>
      <c r="AIO190" s="1"/>
      <c r="AIP190" s="1"/>
      <c r="AIQ190" s="1"/>
      <c r="AIR190" s="1"/>
      <c r="AIS190" s="1"/>
      <c r="AIT190" s="1"/>
      <c r="AIU190" s="1"/>
      <c r="AIV190" s="1"/>
      <c r="AIW190" s="1"/>
      <c r="AIX190" s="1"/>
      <c r="AIY190" s="1"/>
      <c r="AIZ190" s="1"/>
      <c r="AJA190" s="1"/>
      <c r="AJB190" s="1"/>
      <c r="AJC190" s="1"/>
      <c r="AJD190" s="1"/>
      <c r="AJE190" s="1"/>
      <c r="AJF190" s="1"/>
      <c r="AJG190" s="1"/>
      <c r="AJH190" s="1"/>
      <c r="AJI190" s="1"/>
      <c r="AJJ190" s="1"/>
      <c r="AJK190" s="1"/>
      <c r="AJL190" s="1"/>
      <c r="AJM190" s="1"/>
      <c r="AJN190" s="1"/>
      <c r="AJO190" s="1"/>
      <c r="AJP190" s="1"/>
      <c r="AJQ190" s="1"/>
      <c r="AJR190" s="1"/>
      <c r="AJS190" s="1"/>
      <c r="AJT190" s="1"/>
      <c r="AJU190" s="1"/>
      <c r="AJV190" s="1"/>
      <c r="AJW190" s="1"/>
      <c r="AJX190" s="1"/>
      <c r="AJY190" s="1"/>
      <c r="AJZ190" s="1"/>
      <c r="AKA190" s="1"/>
      <c r="AKB190" s="1"/>
      <c r="AKC190" s="1"/>
      <c r="AKD190" s="1"/>
      <c r="AKE190" s="1"/>
      <c r="AKF190" s="1"/>
      <c r="AKG190" s="1"/>
      <c r="AKH190" s="1"/>
      <c r="AKI190" s="1"/>
      <c r="AKJ190" s="1"/>
      <c r="AKK190" s="1"/>
      <c r="AKL190" s="1"/>
      <c r="AKM190" s="1"/>
      <c r="AKN190" s="1"/>
      <c r="AKO190" s="1"/>
      <c r="AKP190" s="1"/>
      <c r="AKQ190" s="1"/>
      <c r="AKR190" s="1"/>
      <c r="AKS190" s="1"/>
      <c r="AKT190" s="1"/>
      <c r="AKU190" s="1"/>
      <c r="AKV190" s="1"/>
      <c r="AKW190" s="1"/>
      <c r="AKX190" s="1"/>
      <c r="AKY190" s="1"/>
      <c r="AKZ190" s="1"/>
      <c r="ALA190" s="1"/>
      <c r="ALB190" s="1"/>
      <c r="ALC190" s="1"/>
      <c r="ALD190" s="1"/>
      <c r="ALE190" s="1"/>
      <c r="ALF190" s="1"/>
      <c r="ALG190" s="1"/>
      <c r="ALH190" s="1"/>
      <c r="ALI190" s="1"/>
      <c r="ALJ190" s="1"/>
      <c r="ALK190" s="1"/>
      <c r="ALL190" s="1"/>
      <c r="ALM190" s="1"/>
      <c r="ALN190" s="1"/>
      <c r="ALO190" s="1"/>
      <c r="ALP190" s="1"/>
      <c r="ALQ190" s="1"/>
      <c r="ALR190" s="1"/>
      <c r="ALS190" s="1"/>
      <c r="ALT190" s="1"/>
      <c r="ALU190" s="1"/>
      <c r="ALV190" s="1"/>
      <c r="ALW190" s="1"/>
      <c r="ALX190" s="1"/>
      <c r="ALY190" s="1"/>
      <c r="ALZ190" s="1"/>
      <c r="AMA190" s="1"/>
      <c r="AMB190" s="1"/>
      <c r="AMC190" s="1"/>
      <c r="AMD190" s="1"/>
      <c r="AME190" s="1"/>
      <c r="AMF190" s="1"/>
      <c r="AMG190" s="1"/>
      <c r="AMH190" s="1"/>
      <c r="AMI190" s="1"/>
      <c r="AMJ190" s="1"/>
    </row>
    <row r="191" customFormat="false" ht="10.5" hidden="false" customHeight="true" outlineLevel="0" collapsed="false">
      <c r="A191" s="236" t="s">
        <v>332</v>
      </c>
      <c r="B191" s="236"/>
      <c r="C191" s="236"/>
      <c r="D191" s="236"/>
      <c r="E191" s="236"/>
      <c r="F191" s="236"/>
      <c r="G191" s="236"/>
      <c r="H191" s="236"/>
      <c r="I191" s="236"/>
      <c r="J191" s="236"/>
      <c r="K191" s="237" t="n">
        <v>35000</v>
      </c>
      <c r="L191" s="237"/>
      <c r="M191" s="237"/>
      <c r="N191" s="237"/>
      <c r="O191" s="238" t="n">
        <v>83</v>
      </c>
      <c r="P191" s="238"/>
      <c r="Q191" s="238"/>
      <c r="R191" s="237" t="n">
        <v>696.72</v>
      </c>
      <c r="S191" s="237"/>
      <c r="T191" s="237"/>
      <c r="U191" s="237" t="n">
        <v>28052.51</v>
      </c>
      <c r="V191" s="237"/>
      <c r="W191" s="237"/>
      <c r="X191" s="237"/>
      <c r="Y191" s="239" t="s">
        <v>328</v>
      </c>
      <c r="Z191" s="239"/>
      <c r="AA191" s="239"/>
      <c r="AB191" s="239"/>
      <c r="AC191" s="239"/>
      <c r="AD191" s="239"/>
      <c r="AE191" s="239"/>
      <c r="AF191" s="239"/>
      <c r="AG191" s="239"/>
      <c r="AH191" s="239"/>
      <c r="AI191" s="239"/>
      <c r="AJ191" s="241" t="s">
        <v>64</v>
      </c>
      <c r="AK191" s="241"/>
      <c r="AL191" s="241"/>
      <c r="AM191" s="241"/>
      <c r="AN191" s="241"/>
      <c r="AO191" s="24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c r="IY191" s="1"/>
      <c r="IZ191" s="1"/>
      <c r="JA191" s="1"/>
      <c r="JB191" s="1"/>
      <c r="JC191" s="1"/>
      <c r="JD191" s="1"/>
      <c r="JE191" s="1"/>
      <c r="JF191" s="1"/>
      <c r="JG191" s="1"/>
      <c r="JH191" s="1"/>
      <c r="JI191" s="1"/>
      <c r="JJ191" s="1"/>
      <c r="JK191" s="1"/>
      <c r="JL191" s="1"/>
      <c r="JM191" s="1"/>
      <c r="JN191" s="1"/>
      <c r="JO191" s="1"/>
      <c r="JP191" s="1"/>
      <c r="JQ191" s="1"/>
      <c r="JR191" s="1"/>
      <c r="JS191" s="1"/>
      <c r="JT191" s="1"/>
      <c r="JU191" s="1"/>
      <c r="JV191" s="1"/>
      <c r="JW191" s="1"/>
      <c r="JX191" s="1"/>
      <c r="JY191" s="1"/>
      <c r="JZ191" s="1"/>
      <c r="KA191" s="1"/>
      <c r="KB191" s="1"/>
      <c r="KC191" s="1"/>
      <c r="KD191" s="1"/>
      <c r="KE191" s="1"/>
      <c r="KF191" s="1"/>
      <c r="KG191" s="1"/>
      <c r="KH191" s="1"/>
      <c r="KI191" s="1"/>
      <c r="KJ191" s="1"/>
      <c r="KK191" s="1"/>
      <c r="KL191" s="1"/>
      <c r="KM191" s="1"/>
      <c r="KN191" s="1"/>
      <c r="KO191" s="1"/>
      <c r="KP191" s="1"/>
      <c r="KQ191" s="1"/>
      <c r="KR191" s="1"/>
      <c r="KS191" s="1"/>
      <c r="KT191" s="1"/>
      <c r="KU191" s="1"/>
      <c r="KV191" s="1"/>
      <c r="KW191" s="1"/>
      <c r="KX191" s="1"/>
      <c r="KY191" s="1"/>
      <c r="KZ191" s="1"/>
      <c r="LA191" s="1"/>
      <c r="LB191" s="1"/>
      <c r="LC191" s="1"/>
      <c r="LD191" s="1"/>
      <c r="LE191" s="1"/>
      <c r="LF191" s="1"/>
      <c r="LG191" s="1"/>
      <c r="LH191" s="1"/>
      <c r="LI191" s="1"/>
      <c r="LJ191" s="1"/>
      <c r="LK191" s="1"/>
      <c r="LL191" s="1"/>
      <c r="LM191" s="1"/>
      <c r="LN191" s="1"/>
      <c r="LO191" s="1"/>
      <c r="LP191" s="1"/>
      <c r="LQ191" s="1"/>
      <c r="LR191" s="1"/>
      <c r="LS191" s="1"/>
      <c r="LT191" s="1"/>
      <c r="LU191" s="1"/>
      <c r="LV191" s="1"/>
      <c r="LW191" s="1"/>
      <c r="LX191" s="1"/>
      <c r="LY191" s="1"/>
      <c r="LZ191" s="1"/>
      <c r="MA191" s="1"/>
      <c r="MB191" s="1"/>
      <c r="MC191" s="1"/>
      <c r="MD191" s="1"/>
      <c r="ME191" s="1"/>
      <c r="MF191" s="1"/>
      <c r="MG191" s="1"/>
      <c r="MH191" s="1"/>
      <c r="MI191" s="1"/>
      <c r="MJ191" s="1"/>
      <c r="MK191" s="1"/>
      <c r="ML191" s="1"/>
      <c r="MM191" s="1"/>
      <c r="MN191" s="1"/>
      <c r="MO191" s="1"/>
      <c r="MP191" s="1"/>
      <c r="MQ191" s="1"/>
      <c r="MR191" s="1"/>
      <c r="MS191" s="1"/>
      <c r="MT191" s="1"/>
      <c r="MU191" s="1"/>
      <c r="MV191" s="1"/>
      <c r="MW191" s="1"/>
      <c r="MX191" s="1"/>
      <c r="MY191" s="1"/>
      <c r="MZ191" s="1"/>
      <c r="NA191" s="1"/>
      <c r="NB191" s="1"/>
      <c r="NC191" s="1"/>
      <c r="ND191" s="1"/>
      <c r="NE191" s="1"/>
      <c r="NF191" s="1"/>
      <c r="NG191" s="1"/>
      <c r="NH191" s="1"/>
      <c r="NI191" s="1"/>
      <c r="NJ191" s="1"/>
      <c r="NK191" s="1"/>
      <c r="NL191" s="1"/>
      <c r="NM191" s="1"/>
      <c r="NN191" s="1"/>
      <c r="NO191" s="1"/>
      <c r="NP191" s="1"/>
      <c r="NQ191" s="1"/>
      <c r="NR191" s="1"/>
      <c r="NS191" s="1"/>
      <c r="NT191" s="1"/>
      <c r="NU191" s="1"/>
      <c r="NV191" s="1"/>
      <c r="NW191" s="1"/>
      <c r="NX191" s="1"/>
      <c r="NY191" s="1"/>
      <c r="NZ191" s="1"/>
      <c r="OA191" s="1"/>
      <c r="OB191" s="1"/>
      <c r="OC191" s="1"/>
      <c r="OD191" s="1"/>
      <c r="OE191" s="1"/>
      <c r="OF191" s="1"/>
      <c r="OG191" s="1"/>
      <c r="OH191" s="1"/>
      <c r="OI191" s="1"/>
      <c r="OJ191" s="1"/>
      <c r="OK191" s="1"/>
      <c r="OL191" s="1"/>
      <c r="OM191" s="1"/>
      <c r="ON191" s="1"/>
      <c r="OO191" s="1"/>
      <c r="OP191" s="1"/>
      <c r="OQ191" s="1"/>
      <c r="OR191" s="1"/>
      <c r="OS191" s="1"/>
      <c r="OT191" s="1"/>
      <c r="OU191" s="1"/>
      <c r="OV191" s="1"/>
      <c r="OW191" s="1"/>
      <c r="OX191" s="1"/>
      <c r="OY191" s="1"/>
      <c r="OZ191" s="1"/>
      <c r="PA191" s="1"/>
      <c r="PB191" s="1"/>
      <c r="PC191" s="1"/>
      <c r="PD191" s="1"/>
      <c r="PE191" s="1"/>
      <c r="PF191" s="1"/>
      <c r="PG191" s="1"/>
      <c r="PH191" s="1"/>
      <c r="PI191" s="1"/>
      <c r="PJ191" s="1"/>
      <c r="PK191" s="1"/>
      <c r="PL191" s="1"/>
      <c r="PM191" s="1"/>
      <c r="PN191" s="1"/>
      <c r="PO191" s="1"/>
      <c r="PP191" s="1"/>
      <c r="PQ191" s="1"/>
      <c r="PR191" s="1"/>
      <c r="PS191" s="1"/>
      <c r="PT191" s="1"/>
      <c r="PU191" s="1"/>
      <c r="PV191" s="1"/>
      <c r="PW191" s="1"/>
      <c r="PX191" s="1"/>
      <c r="PY191" s="1"/>
      <c r="PZ191" s="1"/>
      <c r="QA191" s="1"/>
      <c r="QB191" s="1"/>
      <c r="QC191" s="1"/>
      <c r="QD191" s="1"/>
      <c r="QE191" s="1"/>
      <c r="QF191" s="1"/>
      <c r="QG191" s="1"/>
      <c r="QH191" s="1"/>
      <c r="QI191" s="1"/>
      <c r="QJ191" s="1"/>
      <c r="QK191" s="1"/>
      <c r="QL191" s="1"/>
      <c r="QM191" s="1"/>
      <c r="QN191" s="1"/>
      <c r="QO191" s="1"/>
      <c r="QP191" s="1"/>
      <c r="QQ191" s="1"/>
      <c r="QR191" s="1"/>
      <c r="QS191" s="1"/>
      <c r="QT191" s="1"/>
      <c r="QU191" s="1"/>
      <c r="QV191" s="1"/>
      <c r="QW191" s="1"/>
      <c r="QX191" s="1"/>
      <c r="QY191" s="1"/>
      <c r="QZ191" s="1"/>
      <c r="RA191" s="1"/>
      <c r="RB191" s="1"/>
      <c r="RC191" s="1"/>
      <c r="RD191" s="1"/>
      <c r="RE191" s="1"/>
      <c r="RF191" s="1"/>
      <c r="RG191" s="1"/>
      <c r="RH191" s="1"/>
      <c r="RI191" s="1"/>
      <c r="RJ191" s="1"/>
      <c r="RK191" s="1"/>
      <c r="RL191" s="1"/>
      <c r="RM191" s="1"/>
      <c r="RN191" s="1"/>
      <c r="RO191" s="1"/>
      <c r="RP191" s="1"/>
      <c r="RQ191" s="1"/>
      <c r="RR191" s="1"/>
      <c r="RS191" s="1"/>
      <c r="RT191" s="1"/>
      <c r="RU191" s="1"/>
      <c r="RV191" s="1"/>
      <c r="RW191" s="1"/>
      <c r="RX191" s="1"/>
      <c r="RY191" s="1"/>
      <c r="RZ191" s="1"/>
      <c r="SA191" s="1"/>
      <c r="SB191" s="1"/>
      <c r="SC191" s="1"/>
      <c r="SD191" s="1"/>
      <c r="SE191" s="1"/>
      <c r="SF191" s="1"/>
      <c r="SG191" s="1"/>
      <c r="SH191" s="1"/>
      <c r="SI191" s="1"/>
      <c r="SJ191" s="1"/>
      <c r="SK191" s="1"/>
      <c r="SL191" s="1"/>
      <c r="SM191" s="1"/>
      <c r="SN191" s="1"/>
      <c r="SO191" s="1"/>
      <c r="SP191" s="1"/>
      <c r="SQ191" s="1"/>
      <c r="SR191" s="1"/>
      <c r="SS191" s="1"/>
      <c r="ST191" s="1"/>
      <c r="SU191" s="1"/>
      <c r="SV191" s="1"/>
      <c r="SW191" s="1"/>
      <c r="SX191" s="1"/>
      <c r="SY191" s="1"/>
      <c r="SZ191" s="1"/>
      <c r="TA191" s="1"/>
      <c r="TB191" s="1"/>
      <c r="TC191" s="1"/>
      <c r="TD191" s="1"/>
      <c r="TE191" s="1"/>
      <c r="TF191" s="1"/>
      <c r="TG191" s="1"/>
      <c r="TH191" s="1"/>
      <c r="TI191" s="1"/>
      <c r="TJ191" s="1"/>
      <c r="TK191" s="1"/>
      <c r="TL191" s="1"/>
      <c r="TM191" s="1"/>
      <c r="TN191" s="1"/>
      <c r="TO191" s="1"/>
      <c r="TP191" s="1"/>
      <c r="TQ191" s="1"/>
      <c r="TR191" s="1"/>
      <c r="TS191" s="1"/>
      <c r="TT191" s="1"/>
      <c r="TU191" s="1"/>
      <c r="TV191" s="1"/>
      <c r="TW191" s="1"/>
      <c r="TX191" s="1"/>
      <c r="TY191" s="1"/>
      <c r="TZ191" s="1"/>
      <c r="UA191" s="1"/>
      <c r="UB191" s="1"/>
      <c r="UC191" s="1"/>
      <c r="UD191" s="1"/>
      <c r="UE191" s="1"/>
      <c r="UF191" s="1"/>
      <c r="UG191" s="1"/>
      <c r="UH191" s="1"/>
      <c r="UI191" s="1"/>
      <c r="UJ191" s="1"/>
      <c r="UK191" s="1"/>
      <c r="UL191" s="1"/>
      <c r="UM191" s="1"/>
      <c r="UN191" s="1"/>
      <c r="UO191" s="1"/>
      <c r="UP191" s="1"/>
      <c r="UQ191" s="1"/>
      <c r="UR191" s="1"/>
      <c r="US191" s="1"/>
      <c r="UT191" s="1"/>
      <c r="UU191" s="1"/>
      <c r="UV191" s="1"/>
      <c r="UW191" s="1"/>
      <c r="UX191" s="1"/>
      <c r="UY191" s="1"/>
      <c r="UZ191" s="1"/>
      <c r="VA191" s="1"/>
      <c r="VB191" s="1"/>
      <c r="VC191" s="1"/>
      <c r="VD191" s="1"/>
      <c r="VE191" s="1"/>
      <c r="VF191" s="1"/>
      <c r="VG191" s="1"/>
      <c r="VH191" s="1"/>
      <c r="VI191" s="1"/>
      <c r="VJ191" s="1"/>
      <c r="VK191" s="1"/>
      <c r="VL191" s="1"/>
      <c r="VM191" s="1"/>
      <c r="VN191" s="1"/>
      <c r="VO191" s="1"/>
      <c r="VP191" s="1"/>
      <c r="VQ191" s="1"/>
      <c r="VR191" s="1"/>
      <c r="VS191" s="1"/>
      <c r="VT191" s="1"/>
      <c r="VU191" s="1"/>
      <c r="VV191" s="1"/>
      <c r="VW191" s="1"/>
      <c r="VX191" s="1"/>
      <c r="VY191" s="1"/>
      <c r="VZ191" s="1"/>
      <c r="WA191" s="1"/>
      <c r="WB191" s="1"/>
      <c r="WC191" s="1"/>
      <c r="WD191" s="1"/>
      <c r="WE191" s="1"/>
      <c r="WF191" s="1"/>
      <c r="WG191" s="1"/>
      <c r="WH191" s="1"/>
      <c r="WI191" s="1"/>
      <c r="WJ191" s="1"/>
      <c r="WK191" s="1"/>
      <c r="WL191" s="1"/>
      <c r="WM191" s="1"/>
      <c r="WN191" s="1"/>
      <c r="WO191" s="1"/>
      <c r="WP191" s="1"/>
      <c r="WQ191" s="1"/>
      <c r="WR191" s="1"/>
      <c r="WS191" s="1"/>
      <c r="WT191" s="1"/>
      <c r="WU191" s="1"/>
      <c r="WV191" s="1"/>
      <c r="WW191" s="1"/>
      <c r="WX191" s="1"/>
      <c r="WY191" s="1"/>
      <c r="WZ191" s="1"/>
      <c r="XA191" s="1"/>
      <c r="XB191" s="1"/>
      <c r="XC191" s="1"/>
      <c r="XD191" s="1"/>
      <c r="XE191" s="1"/>
      <c r="XF191" s="1"/>
      <c r="XG191" s="1"/>
      <c r="XH191" s="1"/>
      <c r="XI191" s="1"/>
      <c r="XJ191" s="1"/>
      <c r="XK191" s="1"/>
      <c r="XL191" s="1"/>
      <c r="XM191" s="1"/>
      <c r="XN191" s="1"/>
      <c r="XO191" s="1"/>
      <c r="XP191" s="1"/>
      <c r="XQ191" s="1"/>
      <c r="XR191" s="1"/>
      <c r="XS191" s="1"/>
      <c r="XT191" s="1"/>
      <c r="XU191" s="1"/>
      <c r="XV191" s="1"/>
      <c r="XW191" s="1"/>
      <c r="XX191" s="1"/>
      <c r="XY191" s="1"/>
      <c r="XZ191" s="1"/>
      <c r="YA191" s="1"/>
      <c r="YB191" s="1"/>
      <c r="YC191" s="1"/>
      <c r="YD191" s="1"/>
      <c r="YE191" s="1"/>
      <c r="YF191" s="1"/>
      <c r="YG191" s="1"/>
      <c r="YH191" s="1"/>
      <c r="YI191" s="1"/>
      <c r="YJ191" s="1"/>
      <c r="YK191" s="1"/>
      <c r="YL191" s="1"/>
      <c r="YM191" s="1"/>
      <c r="YN191" s="1"/>
      <c r="YO191" s="1"/>
      <c r="YP191" s="1"/>
      <c r="YQ191" s="1"/>
      <c r="YR191" s="1"/>
      <c r="YS191" s="1"/>
      <c r="YT191" s="1"/>
      <c r="YU191" s="1"/>
      <c r="YV191" s="1"/>
      <c r="YW191" s="1"/>
      <c r="YX191" s="1"/>
      <c r="YY191" s="1"/>
      <c r="YZ191" s="1"/>
      <c r="ZA191" s="1"/>
      <c r="ZB191" s="1"/>
      <c r="ZC191" s="1"/>
      <c r="ZD191" s="1"/>
      <c r="ZE191" s="1"/>
      <c r="ZF191" s="1"/>
      <c r="ZG191" s="1"/>
      <c r="ZH191" s="1"/>
      <c r="ZI191" s="1"/>
      <c r="ZJ191" s="1"/>
      <c r="ZK191" s="1"/>
      <c r="ZL191" s="1"/>
      <c r="ZM191" s="1"/>
      <c r="ZN191" s="1"/>
      <c r="ZO191" s="1"/>
      <c r="ZP191" s="1"/>
      <c r="ZQ191" s="1"/>
      <c r="ZR191" s="1"/>
      <c r="ZS191" s="1"/>
      <c r="ZT191" s="1"/>
      <c r="ZU191" s="1"/>
      <c r="ZV191" s="1"/>
      <c r="ZW191" s="1"/>
      <c r="ZX191" s="1"/>
      <c r="ZY191" s="1"/>
      <c r="ZZ191" s="1"/>
      <c r="AAA191" s="1"/>
      <c r="AAB191" s="1"/>
      <c r="AAC191" s="1"/>
      <c r="AAD191" s="1"/>
      <c r="AAE191" s="1"/>
      <c r="AAF191" s="1"/>
      <c r="AAG191" s="1"/>
      <c r="AAH191" s="1"/>
      <c r="AAI191" s="1"/>
      <c r="AAJ191" s="1"/>
      <c r="AAK191" s="1"/>
      <c r="AAL191" s="1"/>
      <c r="AAM191" s="1"/>
      <c r="AAN191" s="1"/>
      <c r="AAO191" s="1"/>
      <c r="AAP191" s="1"/>
      <c r="AAQ191" s="1"/>
      <c r="AAR191" s="1"/>
      <c r="AAS191" s="1"/>
      <c r="AAT191" s="1"/>
      <c r="AAU191" s="1"/>
      <c r="AAV191" s="1"/>
      <c r="AAW191" s="1"/>
      <c r="AAX191" s="1"/>
      <c r="AAY191" s="1"/>
      <c r="AAZ191" s="1"/>
      <c r="ABA191" s="1"/>
      <c r="ABB191" s="1"/>
      <c r="ABC191" s="1"/>
      <c r="ABD191" s="1"/>
      <c r="ABE191" s="1"/>
      <c r="ABF191" s="1"/>
      <c r="ABG191" s="1"/>
      <c r="ABH191" s="1"/>
      <c r="ABI191" s="1"/>
      <c r="ABJ191" s="1"/>
      <c r="ABK191" s="1"/>
      <c r="ABL191" s="1"/>
      <c r="ABM191" s="1"/>
      <c r="ABN191" s="1"/>
      <c r="ABO191" s="1"/>
      <c r="ABP191" s="1"/>
      <c r="ABQ191" s="1"/>
      <c r="ABR191" s="1"/>
      <c r="ABS191" s="1"/>
      <c r="ABT191" s="1"/>
      <c r="ABU191" s="1"/>
      <c r="ABV191" s="1"/>
      <c r="ABW191" s="1"/>
      <c r="ABX191" s="1"/>
      <c r="ABY191" s="1"/>
      <c r="ABZ191" s="1"/>
      <c r="ACA191" s="1"/>
      <c r="ACB191" s="1"/>
      <c r="ACC191" s="1"/>
      <c r="ACD191" s="1"/>
      <c r="ACE191" s="1"/>
      <c r="ACF191" s="1"/>
      <c r="ACG191" s="1"/>
      <c r="ACH191" s="1"/>
      <c r="ACI191" s="1"/>
      <c r="ACJ191" s="1"/>
      <c r="ACK191" s="1"/>
      <c r="ACL191" s="1"/>
      <c r="ACM191" s="1"/>
      <c r="ACN191" s="1"/>
      <c r="ACO191" s="1"/>
      <c r="ACP191" s="1"/>
      <c r="ACQ191" s="1"/>
      <c r="ACR191" s="1"/>
      <c r="ACS191" s="1"/>
      <c r="ACT191" s="1"/>
      <c r="ACU191" s="1"/>
      <c r="ACV191" s="1"/>
      <c r="ACW191" s="1"/>
      <c r="ACX191" s="1"/>
      <c r="ACY191" s="1"/>
      <c r="ACZ191" s="1"/>
      <c r="ADA191" s="1"/>
      <c r="ADB191" s="1"/>
      <c r="ADC191" s="1"/>
      <c r="ADD191" s="1"/>
      <c r="ADE191" s="1"/>
      <c r="ADF191" s="1"/>
      <c r="ADG191" s="1"/>
      <c r="ADH191" s="1"/>
      <c r="ADI191" s="1"/>
      <c r="ADJ191" s="1"/>
      <c r="ADK191" s="1"/>
      <c r="ADL191" s="1"/>
      <c r="ADM191" s="1"/>
      <c r="ADN191" s="1"/>
      <c r="ADO191" s="1"/>
      <c r="ADP191" s="1"/>
      <c r="ADQ191" s="1"/>
      <c r="ADR191" s="1"/>
      <c r="ADS191" s="1"/>
      <c r="ADT191" s="1"/>
      <c r="ADU191" s="1"/>
      <c r="ADV191" s="1"/>
      <c r="ADW191" s="1"/>
      <c r="ADX191" s="1"/>
      <c r="ADY191" s="1"/>
      <c r="ADZ191" s="1"/>
      <c r="AEA191" s="1"/>
      <c r="AEB191" s="1"/>
      <c r="AEC191" s="1"/>
      <c r="AED191" s="1"/>
      <c r="AEE191" s="1"/>
      <c r="AEF191" s="1"/>
      <c r="AEG191" s="1"/>
      <c r="AEH191" s="1"/>
      <c r="AEI191" s="1"/>
      <c r="AEJ191" s="1"/>
      <c r="AEK191" s="1"/>
      <c r="AEL191" s="1"/>
      <c r="AEM191" s="1"/>
      <c r="AEN191" s="1"/>
      <c r="AEO191" s="1"/>
      <c r="AEP191" s="1"/>
      <c r="AEQ191" s="1"/>
      <c r="AER191" s="1"/>
      <c r="AES191" s="1"/>
      <c r="AET191" s="1"/>
      <c r="AEU191" s="1"/>
      <c r="AEV191" s="1"/>
      <c r="AEW191" s="1"/>
      <c r="AEX191" s="1"/>
      <c r="AEY191" s="1"/>
      <c r="AEZ191" s="1"/>
      <c r="AFA191" s="1"/>
      <c r="AFB191" s="1"/>
      <c r="AFC191" s="1"/>
      <c r="AFD191" s="1"/>
      <c r="AFE191" s="1"/>
      <c r="AFF191" s="1"/>
      <c r="AFG191" s="1"/>
      <c r="AFH191" s="1"/>
      <c r="AFI191" s="1"/>
      <c r="AFJ191" s="1"/>
      <c r="AFK191" s="1"/>
      <c r="AFL191" s="1"/>
      <c r="AFM191" s="1"/>
      <c r="AFN191" s="1"/>
      <c r="AFO191" s="1"/>
      <c r="AFP191" s="1"/>
      <c r="AFQ191" s="1"/>
      <c r="AFR191" s="1"/>
      <c r="AFS191" s="1"/>
      <c r="AFT191" s="1"/>
      <c r="AFU191" s="1"/>
      <c r="AFV191" s="1"/>
      <c r="AFW191" s="1"/>
      <c r="AFX191" s="1"/>
      <c r="AFY191" s="1"/>
      <c r="AFZ191" s="1"/>
      <c r="AGA191" s="1"/>
      <c r="AGB191" s="1"/>
      <c r="AGC191" s="1"/>
      <c r="AGD191" s="1"/>
      <c r="AGE191" s="1"/>
      <c r="AGF191" s="1"/>
      <c r="AGG191" s="1"/>
      <c r="AGH191" s="1"/>
      <c r="AGI191" s="1"/>
      <c r="AGJ191" s="1"/>
      <c r="AGK191" s="1"/>
      <c r="AGL191" s="1"/>
      <c r="AGM191" s="1"/>
      <c r="AGN191" s="1"/>
      <c r="AGO191" s="1"/>
      <c r="AGP191" s="1"/>
      <c r="AGQ191" s="1"/>
      <c r="AGR191" s="1"/>
      <c r="AGS191" s="1"/>
      <c r="AGT191" s="1"/>
      <c r="AGU191" s="1"/>
      <c r="AGV191" s="1"/>
      <c r="AGW191" s="1"/>
      <c r="AGX191" s="1"/>
      <c r="AGY191" s="1"/>
      <c r="AGZ191" s="1"/>
      <c r="AHA191" s="1"/>
      <c r="AHB191" s="1"/>
      <c r="AHC191" s="1"/>
      <c r="AHD191" s="1"/>
      <c r="AHE191" s="1"/>
      <c r="AHF191" s="1"/>
      <c r="AHG191" s="1"/>
      <c r="AHH191" s="1"/>
      <c r="AHI191" s="1"/>
      <c r="AHJ191" s="1"/>
      <c r="AHK191" s="1"/>
      <c r="AHL191" s="1"/>
      <c r="AHM191" s="1"/>
      <c r="AHN191" s="1"/>
      <c r="AHO191" s="1"/>
      <c r="AHP191" s="1"/>
      <c r="AHQ191" s="1"/>
      <c r="AHR191" s="1"/>
      <c r="AHS191" s="1"/>
      <c r="AHT191" s="1"/>
      <c r="AHU191" s="1"/>
      <c r="AHV191" s="1"/>
      <c r="AHW191" s="1"/>
      <c r="AHX191" s="1"/>
      <c r="AHY191" s="1"/>
      <c r="AHZ191" s="1"/>
      <c r="AIA191" s="1"/>
      <c r="AIB191" s="1"/>
      <c r="AIC191" s="1"/>
      <c r="AID191" s="1"/>
      <c r="AIE191" s="1"/>
      <c r="AIF191" s="1"/>
      <c r="AIG191" s="1"/>
      <c r="AIH191" s="1"/>
      <c r="AII191" s="1"/>
      <c r="AIJ191" s="1"/>
      <c r="AIK191" s="1"/>
      <c r="AIL191" s="1"/>
      <c r="AIM191" s="1"/>
      <c r="AIN191" s="1"/>
      <c r="AIO191" s="1"/>
      <c r="AIP191" s="1"/>
      <c r="AIQ191" s="1"/>
      <c r="AIR191" s="1"/>
      <c r="AIS191" s="1"/>
      <c r="AIT191" s="1"/>
      <c r="AIU191" s="1"/>
      <c r="AIV191" s="1"/>
      <c r="AIW191" s="1"/>
      <c r="AIX191" s="1"/>
      <c r="AIY191" s="1"/>
      <c r="AIZ191" s="1"/>
      <c r="AJA191" s="1"/>
      <c r="AJB191" s="1"/>
      <c r="AJC191" s="1"/>
      <c r="AJD191" s="1"/>
      <c r="AJE191" s="1"/>
      <c r="AJF191" s="1"/>
      <c r="AJG191" s="1"/>
      <c r="AJH191" s="1"/>
      <c r="AJI191" s="1"/>
      <c r="AJJ191" s="1"/>
      <c r="AJK191" s="1"/>
      <c r="AJL191" s="1"/>
      <c r="AJM191" s="1"/>
      <c r="AJN191" s="1"/>
      <c r="AJO191" s="1"/>
      <c r="AJP191" s="1"/>
      <c r="AJQ191" s="1"/>
      <c r="AJR191" s="1"/>
      <c r="AJS191" s="1"/>
      <c r="AJT191" s="1"/>
      <c r="AJU191" s="1"/>
      <c r="AJV191" s="1"/>
      <c r="AJW191" s="1"/>
      <c r="AJX191" s="1"/>
      <c r="AJY191" s="1"/>
      <c r="AJZ191" s="1"/>
      <c r="AKA191" s="1"/>
      <c r="AKB191" s="1"/>
      <c r="AKC191" s="1"/>
      <c r="AKD191" s="1"/>
      <c r="AKE191" s="1"/>
      <c r="AKF191" s="1"/>
      <c r="AKG191" s="1"/>
      <c r="AKH191" s="1"/>
      <c r="AKI191" s="1"/>
      <c r="AKJ191" s="1"/>
      <c r="AKK191" s="1"/>
      <c r="AKL191" s="1"/>
      <c r="AKM191" s="1"/>
      <c r="AKN191" s="1"/>
      <c r="AKO191" s="1"/>
      <c r="AKP191" s="1"/>
      <c r="AKQ191" s="1"/>
      <c r="AKR191" s="1"/>
      <c r="AKS191" s="1"/>
      <c r="AKT191" s="1"/>
      <c r="AKU191" s="1"/>
      <c r="AKV191" s="1"/>
      <c r="AKW191" s="1"/>
      <c r="AKX191" s="1"/>
      <c r="AKY191" s="1"/>
      <c r="AKZ191" s="1"/>
      <c r="ALA191" s="1"/>
      <c r="ALB191" s="1"/>
      <c r="ALC191" s="1"/>
      <c r="ALD191" s="1"/>
      <c r="ALE191" s="1"/>
      <c r="ALF191" s="1"/>
      <c r="ALG191" s="1"/>
      <c r="ALH191" s="1"/>
      <c r="ALI191" s="1"/>
      <c r="ALJ191" s="1"/>
      <c r="ALK191" s="1"/>
      <c r="ALL191" s="1"/>
      <c r="ALM191" s="1"/>
      <c r="ALN191" s="1"/>
      <c r="ALO191" s="1"/>
      <c r="ALP191" s="1"/>
      <c r="ALQ191" s="1"/>
      <c r="ALR191" s="1"/>
      <c r="ALS191" s="1"/>
      <c r="ALT191" s="1"/>
      <c r="ALU191" s="1"/>
      <c r="ALV191" s="1"/>
      <c r="ALW191" s="1"/>
      <c r="ALX191" s="1"/>
      <c r="ALY191" s="1"/>
      <c r="ALZ191" s="1"/>
      <c r="AMA191" s="1"/>
      <c r="AMB191" s="1"/>
      <c r="AMC191" s="1"/>
      <c r="AMD191" s="1"/>
      <c r="AME191" s="1"/>
      <c r="AMF191" s="1"/>
      <c r="AMG191" s="1"/>
      <c r="AMH191" s="1"/>
      <c r="AMI191" s="1"/>
      <c r="AMJ191" s="1"/>
    </row>
    <row r="192" customFormat="false" ht="10.5" hidden="false" customHeight="true" outlineLevel="0" collapsed="false">
      <c r="A192" s="171" t="s">
        <v>333</v>
      </c>
      <c r="B192" s="171"/>
      <c r="C192" s="171"/>
      <c r="D192" s="171"/>
      <c r="E192" s="171"/>
      <c r="F192" s="171"/>
      <c r="G192" s="171"/>
      <c r="H192" s="171"/>
      <c r="I192" s="171"/>
      <c r="J192" s="171"/>
      <c r="K192" s="242" t="n">
        <v>50000</v>
      </c>
      <c r="L192" s="242"/>
      <c r="M192" s="242"/>
      <c r="N192" s="242"/>
      <c r="O192" s="67" t="n">
        <v>84</v>
      </c>
      <c r="P192" s="67"/>
      <c r="Q192" s="67"/>
      <c r="R192" s="242" t="n">
        <v>992.74</v>
      </c>
      <c r="S192" s="242"/>
      <c r="T192" s="242"/>
      <c r="U192" s="242" t="n">
        <v>48035.18</v>
      </c>
      <c r="V192" s="242"/>
      <c r="W192" s="242"/>
      <c r="X192" s="242"/>
      <c r="Y192" s="168" t="s">
        <v>328</v>
      </c>
      <c r="Z192" s="168"/>
      <c r="AA192" s="168"/>
      <c r="AB192" s="168"/>
      <c r="AC192" s="168"/>
      <c r="AD192" s="168"/>
      <c r="AE192" s="168"/>
      <c r="AF192" s="168"/>
      <c r="AG192" s="168"/>
      <c r="AH192" s="168"/>
      <c r="AI192" s="168"/>
      <c r="AJ192" s="66" t="s">
        <v>64</v>
      </c>
      <c r="AK192" s="66"/>
      <c r="AL192" s="66"/>
      <c r="AM192" s="66"/>
      <c r="AN192" s="66"/>
      <c r="AO192" s="66"/>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c r="IY192" s="1"/>
      <c r="IZ192" s="1"/>
      <c r="JA192" s="1"/>
      <c r="JB192" s="1"/>
      <c r="JC192" s="1"/>
      <c r="JD192" s="1"/>
      <c r="JE192" s="1"/>
      <c r="JF192" s="1"/>
      <c r="JG192" s="1"/>
      <c r="JH192" s="1"/>
      <c r="JI192" s="1"/>
      <c r="JJ192" s="1"/>
      <c r="JK192" s="1"/>
      <c r="JL192" s="1"/>
      <c r="JM192" s="1"/>
      <c r="JN192" s="1"/>
      <c r="JO192" s="1"/>
      <c r="JP192" s="1"/>
      <c r="JQ192" s="1"/>
      <c r="JR192" s="1"/>
      <c r="JS192" s="1"/>
      <c r="JT192" s="1"/>
      <c r="JU192" s="1"/>
      <c r="JV192" s="1"/>
      <c r="JW192" s="1"/>
      <c r="JX192" s="1"/>
      <c r="JY192" s="1"/>
      <c r="JZ192" s="1"/>
      <c r="KA192" s="1"/>
      <c r="KB192" s="1"/>
      <c r="KC192" s="1"/>
      <c r="KD192" s="1"/>
      <c r="KE192" s="1"/>
      <c r="KF192" s="1"/>
      <c r="KG192" s="1"/>
      <c r="KH192" s="1"/>
      <c r="KI192" s="1"/>
      <c r="KJ192" s="1"/>
      <c r="KK192" s="1"/>
      <c r="KL192" s="1"/>
      <c r="KM192" s="1"/>
      <c r="KN192" s="1"/>
      <c r="KO192" s="1"/>
      <c r="KP192" s="1"/>
      <c r="KQ192" s="1"/>
      <c r="KR192" s="1"/>
      <c r="KS192" s="1"/>
      <c r="KT192" s="1"/>
      <c r="KU192" s="1"/>
      <c r="KV192" s="1"/>
      <c r="KW192" s="1"/>
      <c r="KX192" s="1"/>
      <c r="KY192" s="1"/>
      <c r="KZ192" s="1"/>
      <c r="LA192" s="1"/>
      <c r="LB192" s="1"/>
      <c r="LC192" s="1"/>
      <c r="LD192" s="1"/>
      <c r="LE192" s="1"/>
      <c r="LF192" s="1"/>
      <c r="LG192" s="1"/>
      <c r="LH192" s="1"/>
      <c r="LI192" s="1"/>
      <c r="LJ192" s="1"/>
      <c r="LK192" s="1"/>
      <c r="LL192" s="1"/>
      <c r="LM192" s="1"/>
      <c r="LN192" s="1"/>
      <c r="LO192" s="1"/>
      <c r="LP192" s="1"/>
      <c r="LQ192" s="1"/>
      <c r="LR192" s="1"/>
      <c r="LS192" s="1"/>
      <c r="LT192" s="1"/>
      <c r="LU192" s="1"/>
      <c r="LV192" s="1"/>
      <c r="LW192" s="1"/>
      <c r="LX192" s="1"/>
      <c r="LY192" s="1"/>
      <c r="LZ192" s="1"/>
      <c r="MA192" s="1"/>
      <c r="MB192" s="1"/>
      <c r="MC192" s="1"/>
      <c r="MD192" s="1"/>
      <c r="ME192" s="1"/>
      <c r="MF192" s="1"/>
      <c r="MG192" s="1"/>
      <c r="MH192" s="1"/>
      <c r="MI192" s="1"/>
      <c r="MJ192" s="1"/>
      <c r="MK192" s="1"/>
      <c r="ML192" s="1"/>
      <c r="MM192" s="1"/>
      <c r="MN192" s="1"/>
      <c r="MO192" s="1"/>
      <c r="MP192" s="1"/>
      <c r="MQ192" s="1"/>
      <c r="MR192" s="1"/>
      <c r="MS192" s="1"/>
      <c r="MT192" s="1"/>
      <c r="MU192" s="1"/>
      <c r="MV192" s="1"/>
      <c r="MW192" s="1"/>
      <c r="MX192" s="1"/>
      <c r="MY192" s="1"/>
      <c r="MZ192" s="1"/>
      <c r="NA192" s="1"/>
      <c r="NB192" s="1"/>
      <c r="NC192" s="1"/>
      <c r="ND192" s="1"/>
      <c r="NE192" s="1"/>
      <c r="NF192" s="1"/>
      <c r="NG192" s="1"/>
      <c r="NH192" s="1"/>
      <c r="NI192" s="1"/>
      <c r="NJ192" s="1"/>
      <c r="NK192" s="1"/>
      <c r="NL192" s="1"/>
      <c r="NM192" s="1"/>
      <c r="NN192" s="1"/>
      <c r="NO192" s="1"/>
      <c r="NP192" s="1"/>
      <c r="NQ192" s="1"/>
      <c r="NR192" s="1"/>
      <c r="NS192" s="1"/>
      <c r="NT192" s="1"/>
      <c r="NU192" s="1"/>
      <c r="NV192" s="1"/>
      <c r="NW192" s="1"/>
      <c r="NX192" s="1"/>
      <c r="NY192" s="1"/>
      <c r="NZ192" s="1"/>
      <c r="OA192" s="1"/>
      <c r="OB192" s="1"/>
      <c r="OC192" s="1"/>
      <c r="OD192" s="1"/>
      <c r="OE192" s="1"/>
      <c r="OF192" s="1"/>
      <c r="OG192" s="1"/>
      <c r="OH192" s="1"/>
      <c r="OI192" s="1"/>
      <c r="OJ192" s="1"/>
      <c r="OK192" s="1"/>
      <c r="OL192" s="1"/>
      <c r="OM192" s="1"/>
      <c r="ON192" s="1"/>
      <c r="OO192" s="1"/>
      <c r="OP192" s="1"/>
      <c r="OQ192" s="1"/>
      <c r="OR192" s="1"/>
      <c r="OS192" s="1"/>
      <c r="OT192" s="1"/>
      <c r="OU192" s="1"/>
      <c r="OV192" s="1"/>
      <c r="OW192" s="1"/>
      <c r="OX192" s="1"/>
      <c r="OY192" s="1"/>
      <c r="OZ192" s="1"/>
      <c r="PA192" s="1"/>
      <c r="PB192" s="1"/>
      <c r="PC192" s="1"/>
      <c r="PD192" s="1"/>
      <c r="PE192" s="1"/>
      <c r="PF192" s="1"/>
      <c r="PG192" s="1"/>
      <c r="PH192" s="1"/>
      <c r="PI192" s="1"/>
      <c r="PJ192" s="1"/>
      <c r="PK192" s="1"/>
      <c r="PL192" s="1"/>
      <c r="PM192" s="1"/>
      <c r="PN192" s="1"/>
      <c r="PO192" s="1"/>
      <c r="PP192" s="1"/>
      <c r="PQ192" s="1"/>
      <c r="PR192" s="1"/>
      <c r="PS192" s="1"/>
      <c r="PT192" s="1"/>
      <c r="PU192" s="1"/>
      <c r="PV192" s="1"/>
      <c r="PW192" s="1"/>
      <c r="PX192" s="1"/>
      <c r="PY192" s="1"/>
      <c r="PZ192" s="1"/>
      <c r="QA192" s="1"/>
      <c r="QB192" s="1"/>
      <c r="QC192" s="1"/>
      <c r="QD192" s="1"/>
      <c r="QE192" s="1"/>
      <c r="QF192" s="1"/>
      <c r="QG192" s="1"/>
      <c r="QH192" s="1"/>
      <c r="QI192" s="1"/>
      <c r="QJ192" s="1"/>
      <c r="QK192" s="1"/>
      <c r="QL192" s="1"/>
      <c r="QM192" s="1"/>
      <c r="QN192" s="1"/>
      <c r="QO192" s="1"/>
      <c r="QP192" s="1"/>
      <c r="QQ192" s="1"/>
      <c r="QR192" s="1"/>
      <c r="QS192" s="1"/>
      <c r="QT192" s="1"/>
      <c r="QU192" s="1"/>
      <c r="QV192" s="1"/>
      <c r="QW192" s="1"/>
      <c r="QX192" s="1"/>
      <c r="QY192" s="1"/>
      <c r="QZ192" s="1"/>
      <c r="RA192" s="1"/>
      <c r="RB192" s="1"/>
      <c r="RC192" s="1"/>
      <c r="RD192" s="1"/>
      <c r="RE192" s="1"/>
      <c r="RF192" s="1"/>
      <c r="RG192" s="1"/>
      <c r="RH192" s="1"/>
      <c r="RI192" s="1"/>
      <c r="RJ192" s="1"/>
      <c r="RK192" s="1"/>
      <c r="RL192" s="1"/>
      <c r="RM192" s="1"/>
      <c r="RN192" s="1"/>
      <c r="RO192" s="1"/>
      <c r="RP192" s="1"/>
      <c r="RQ192" s="1"/>
      <c r="RR192" s="1"/>
      <c r="RS192" s="1"/>
      <c r="RT192" s="1"/>
      <c r="RU192" s="1"/>
      <c r="RV192" s="1"/>
      <c r="RW192" s="1"/>
      <c r="RX192" s="1"/>
      <c r="RY192" s="1"/>
      <c r="RZ192" s="1"/>
      <c r="SA192" s="1"/>
      <c r="SB192" s="1"/>
      <c r="SC192" s="1"/>
      <c r="SD192" s="1"/>
      <c r="SE192" s="1"/>
      <c r="SF192" s="1"/>
      <c r="SG192" s="1"/>
      <c r="SH192" s="1"/>
      <c r="SI192" s="1"/>
      <c r="SJ192" s="1"/>
      <c r="SK192" s="1"/>
      <c r="SL192" s="1"/>
      <c r="SM192" s="1"/>
      <c r="SN192" s="1"/>
      <c r="SO192" s="1"/>
      <c r="SP192" s="1"/>
      <c r="SQ192" s="1"/>
      <c r="SR192" s="1"/>
      <c r="SS192" s="1"/>
      <c r="ST192" s="1"/>
      <c r="SU192" s="1"/>
      <c r="SV192" s="1"/>
      <c r="SW192" s="1"/>
      <c r="SX192" s="1"/>
      <c r="SY192" s="1"/>
      <c r="SZ192" s="1"/>
      <c r="TA192" s="1"/>
      <c r="TB192" s="1"/>
      <c r="TC192" s="1"/>
      <c r="TD192" s="1"/>
      <c r="TE192" s="1"/>
      <c r="TF192" s="1"/>
      <c r="TG192" s="1"/>
      <c r="TH192" s="1"/>
      <c r="TI192" s="1"/>
      <c r="TJ192" s="1"/>
      <c r="TK192" s="1"/>
      <c r="TL192" s="1"/>
      <c r="TM192" s="1"/>
      <c r="TN192" s="1"/>
      <c r="TO192" s="1"/>
      <c r="TP192" s="1"/>
      <c r="TQ192" s="1"/>
      <c r="TR192" s="1"/>
      <c r="TS192" s="1"/>
      <c r="TT192" s="1"/>
      <c r="TU192" s="1"/>
      <c r="TV192" s="1"/>
      <c r="TW192" s="1"/>
      <c r="TX192" s="1"/>
      <c r="TY192" s="1"/>
      <c r="TZ192" s="1"/>
      <c r="UA192" s="1"/>
      <c r="UB192" s="1"/>
      <c r="UC192" s="1"/>
      <c r="UD192" s="1"/>
      <c r="UE192" s="1"/>
      <c r="UF192" s="1"/>
      <c r="UG192" s="1"/>
      <c r="UH192" s="1"/>
      <c r="UI192" s="1"/>
      <c r="UJ192" s="1"/>
      <c r="UK192" s="1"/>
      <c r="UL192" s="1"/>
      <c r="UM192" s="1"/>
      <c r="UN192" s="1"/>
      <c r="UO192" s="1"/>
      <c r="UP192" s="1"/>
      <c r="UQ192" s="1"/>
      <c r="UR192" s="1"/>
      <c r="US192" s="1"/>
      <c r="UT192" s="1"/>
      <c r="UU192" s="1"/>
      <c r="UV192" s="1"/>
      <c r="UW192" s="1"/>
      <c r="UX192" s="1"/>
      <c r="UY192" s="1"/>
      <c r="UZ192" s="1"/>
      <c r="VA192" s="1"/>
      <c r="VB192" s="1"/>
      <c r="VC192" s="1"/>
      <c r="VD192" s="1"/>
      <c r="VE192" s="1"/>
      <c r="VF192" s="1"/>
      <c r="VG192" s="1"/>
      <c r="VH192" s="1"/>
      <c r="VI192" s="1"/>
      <c r="VJ192" s="1"/>
      <c r="VK192" s="1"/>
      <c r="VL192" s="1"/>
      <c r="VM192" s="1"/>
      <c r="VN192" s="1"/>
      <c r="VO192" s="1"/>
      <c r="VP192" s="1"/>
      <c r="VQ192" s="1"/>
      <c r="VR192" s="1"/>
      <c r="VS192" s="1"/>
      <c r="VT192" s="1"/>
      <c r="VU192" s="1"/>
      <c r="VV192" s="1"/>
      <c r="VW192" s="1"/>
      <c r="VX192" s="1"/>
      <c r="VY192" s="1"/>
      <c r="VZ192" s="1"/>
      <c r="WA192" s="1"/>
      <c r="WB192" s="1"/>
      <c r="WC192" s="1"/>
      <c r="WD192" s="1"/>
      <c r="WE192" s="1"/>
      <c r="WF192" s="1"/>
      <c r="WG192" s="1"/>
      <c r="WH192" s="1"/>
      <c r="WI192" s="1"/>
      <c r="WJ192" s="1"/>
      <c r="WK192" s="1"/>
      <c r="WL192" s="1"/>
      <c r="WM192" s="1"/>
      <c r="WN192" s="1"/>
      <c r="WO192" s="1"/>
      <c r="WP192" s="1"/>
      <c r="WQ192" s="1"/>
      <c r="WR192" s="1"/>
      <c r="WS192" s="1"/>
      <c r="WT192" s="1"/>
      <c r="WU192" s="1"/>
      <c r="WV192" s="1"/>
      <c r="WW192" s="1"/>
      <c r="WX192" s="1"/>
      <c r="WY192" s="1"/>
      <c r="WZ192" s="1"/>
      <c r="XA192" s="1"/>
      <c r="XB192" s="1"/>
      <c r="XC192" s="1"/>
      <c r="XD192" s="1"/>
      <c r="XE192" s="1"/>
      <c r="XF192" s="1"/>
      <c r="XG192" s="1"/>
      <c r="XH192" s="1"/>
      <c r="XI192" s="1"/>
      <c r="XJ192" s="1"/>
      <c r="XK192" s="1"/>
      <c r="XL192" s="1"/>
      <c r="XM192" s="1"/>
      <c r="XN192" s="1"/>
      <c r="XO192" s="1"/>
      <c r="XP192" s="1"/>
      <c r="XQ192" s="1"/>
      <c r="XR192" s="1"/>
      <c r="XS192" s="1"/>
      <c r="XT192" s="1"/>
      <c r="XU192" s="1"/>
      <c r="XV192" s="1"/>
      <c r="XW192" s="1"/>
      <c r="XX192" s="1"/>
      <c r="XY192" s="1"/>
      <c r="XZ192" s="1"/>
      <c r="YA192" s="1"/>
      <c r="YB192" s="1"/>
      <c r="YC192" s="1"/>
      <c r="YD192" s="1"/>
      <c r="YE192" s="1"/>
      <c r="YF192" s="1"/>
      <c r="YG192" s="1"/>
      <c r="YH192" s="1"/>
      <c r="YI192" s="1"/>
      <c r="YJ192" s="1"/>
      <c r="YK192" s="1"/>
      <c r="YL192" s="1"/>
      <c r="YM192" s="1"/>
      <c r="YN192" s="1"/>
      <c r="YO192" s="1"/>
      <c r="YP192" s="1"/>
      <c r="YQ192" s="1"/>
      <c r="YR192" s="1"/>
      <c r="YS192" s="1"/>
      <c r="YT192" s="1"/>
      <c r="YU192" s="1"/>
      <c r="YV192" s="1"/>
      <c r="YW192" s="1"/>
      <c r="YX192" s="1"/>
      <c r="YY192" s="1"/>
      <c r="YZ192" s="1"/>
      <c r="ZA192" s="1"/>
      <c r="ZB192" s="1"/>
      <c r="ZC192" s="1"/>
      <c r="ZD192" s="1"/>
      <c r="ZE192" s="1"/>
      <c r="ZF192" s="1"/>
      <c r="ZG192" s="1"/>
      <c r="ZH192" s="1"/>
      <c r="ZI192" s="1"/>
      <c r="ZJ192" s="1"/>
      <c r="ZK192" s="1"/>
      <c r="ZL192" s="1"/>
      <c r="ZM192" s="1"/>
      <c r="ZN192" s="1"/>
      <c r="ZO192" s="1"/>
      <c r="ZP192" s="1"/>
      <c r="ZQ192" s="1"/>
      <c r="ZR192" s="1"/>
      <c r="ZS192" s="1"/>
      <c r="ZT192" s="1"/>
      <c r="ZU192" s="1"/>
      <c r="ZV192" s="1"/>
      <c r="ZW192" s="1"/>
      <c r="ZX192" s="1"/>
      <c r="ZY192" s="1"/>
      <c r="ZZ192" s="1"/>
      <c r="AAA192" s="1"/>
      <c r="AAB192" s="1"/>
      <c r="AAC192" s="1"/>
      <c r="AAD192" s="1"/>
      <c r="AAE192" s="1"/>
      <c r="AAF192" s="1"/>
      <c r="AAG192" s="1"/>
      <c r="AAH192" s="1"/>
      <c r="AAI192" s="1"/>
      <c r="AAJ192" s="1"/>
      <c r="AAK192" s="1"/>
      <c r="AAL192" s="1"/>
      <c r="AAM192" s="1"/>
      <c r="AAN192" s="1"/>
      <c r="AAO192" s="1"/>
      <c r="AAP192" s="1"/>
      <c r="AAQ192" s="1"/>
      <c r="AAR192" s="1"/>
      <c r="AAS192" s="1"/>
      <c r="AAT192" s="1"/>
      <c r="AAU192" s="1"/>
      <c r="AAV192" s="1"/>
      <c r="AAW192" s="1"/>
      <c r="AAX192" s="1"/>
      <c r="AAY192" s="1"/>
      <c r="AAZ192" s="1"/>
      <c r="ABA192" s="1"/>
      <c r="ABB192" s="1"/>
      <c r="ABC192" s="1"/>
      <c r="ABD192" s="1"/>
      <c r="ABE192" s="1"/>
      <c r="ABF192" s="1"/>
      <c r="ABG192" s="1"/>
      <c r="ABH192" s="1"/>
      <c r="ABI192" s="1"/>
      <c r="ABJ192" s="1"/>
      <c r="ABK192" s="1"/>
      <c r="ABL192" s="1"/>
      <c r="ABM192" s="1"/>
      <c r="ABN192" s="1"/>
      <c r="ABO192" s="1"/>
      <c r="ABP192" s="1"/>
      <c r="ABQ192" s="1"/>
      <c r="ABR192" s="1"/>
      <c r="ABS192" s="1"/>
      <c r="ABT192" s="1"/>
      <c r="ABU192" s="1"/>
      <c r="ABV192" s="1"/>
      <c r="ABW192" s="1"/>
      <c r="ABX192" s="1"/>
      <c r="ABY192" s="1"/>
      <c r="ABZ192" s="1"/>
      <c r="ACA192" s="1"/>
      <c r="ACB192" s="1"/>
      <c r="ACC192" s="1"/>
      <c r="ACD192" s="1"/>
      <c r="ACE192" s="1"/>
      <c r="ACF192" s="1"/>
      <c r="ACG192" s="1"/>
      <c r="ACH192" s="1"/>
      <c r="ACI192" s="1"/>
      <c r="ACJ192" s="1"/>
      <c r="ACK192" s="1"/>
      <c r="ACL192" s="1"/>
      <c r="ACM192" s="1"/>
      <c r="ACN192" s="1"/>
      <c r="ACO192" s="1"/>
      <c r="ACP192" s="1"/>
      <c r="ACQ192" s="1"/>
      <c r="ACR192" s="1"/>
      <c r="ACS192" s="1"/>
      <c r="ACT192" s="1"/>
      <c r="ACU192" s="1"/>
      <c r="ACV192" s="1"/>
      <c r="ACW192" s="1"/>
      <c r="ACX192" s="1"/>
      <c r="ACY192" s="1"/>
      <c r="ACZ192" s="1"/>
      <c r="ADA192" s="1"/>
      <c r="ADB192" s="1"/>
      <c r="ADC192" s="1"/>
      <c r="ADD192" s="1"/>
      <c r="ADE192" s="1"/>
      <c r="ADF192" s="1"/>
      <c r="ADG192" s="1"/>
      <c r="ADH192" s="1"/>
      <c r="ADI192" s="1"/>
      <c r="ADJ192" s="1"/>
      <c r="ADK192" s="1"/>
      <c r="ADL192" s="1"/>
      <c r="ADM192" s="1"/>
      <c r="ADN192" s="1"/>
      <c r="ADO192" s="1"/>
      <c r="ADP192" s="1"/>
      <c r="ADQ192" s="1"/>
      <c r="ADR192" s="1"/>
      <c r="ADS192" s="1"/>
      <c r="ADT192" s="1"/>
      <c r="ADU192" s="1"/>
      <c r="ADV192" s="1"/>
      <c r="ADW192" s="1"/>
      <c r="ADX192" s="1"/>
      <c r="ADY192" s="1"/>
      <c r="ADZ192" s="1"/>
      <c r="AEA192" s="1"/>
      <c r="AEB192" s="1"/>
      <c r="AEC192" s="1"/>
      <c r="AED192" s="1"/>
      <c r="AEE192" s="1"/>
      <c r="AEF192" s="1"/>
      <c r="AEG192" s="1"/>
      <c r="AEH192" s="1"/>
      <c r="AEI192" s="1"/>
      <c r="AEJ192" s="1"/>
      <c r="AEK192" s="1"/>
      <c r="AEL192" s="1"/>
      <c r="AEM192" s="1"/>
      <c r="AEN192" s="1"/>
      <c r="AEO192" s="1"/>
      <c r="AEP192" s="1"/>
      <c r="AEQ192" s="1"/>
      <c r="AER192" s="1"/>
      <c r="AES192" s="1"/>
      <c r="AET192" s="1"/>
      <c r="AEU192" s="1"/>
      <c r="AEV192" s="1"/>
      <c r="AEW192" s="1"/>
      <c r="AEX192" s="1"/>
      <c r="AEY192" s="1"/>
      <c r="AEZ192" s="1"/>
      <c r="AFA192" s="1"/>
      <c r="AFB192" s="1"/>
      <c r="AFC192" s="1"/>
      <c r="AFD192" s="1"/>
      <c r="AFE192" s="1"/>
      <c r="AFF192" s="1"/>
      <c r="AFG192" s="1"/>
      <c r="AFH192" s="1"/>
      <c r="AFI192" s="1"/>
      <c r="AFJ192" s="1"/>
      <c r="AFK192" s="1"/>
      <c r="AFL192" s="1"/>
      <c r="AFM192" s="1"/>
      <c r="AFN192" s="1"/>
      <c r="AFO192" s="1"/>
      <c r="AFP192" s="1"/>
      <c r="AFQ192" s="1"/>
      <c r="AFR192" s="1"/>
      <c r="AFS192" s="1"/>
      <c r="AFT192" s="1"/>
      <c r="AFU192" s="1"/>
      <c r="AFV192" s="1"/>
      <c r="AFW192" s="1"/>
      <c r="AFX192" s="1"/>
      <c r="AFY192" s="1"/>
      <c r="AFZ192" s="1"/>
      <c r="AGA192" s="1"/>
      <c r="AGB192" s="1"/>
      <c r="AGC192" s="1"/>
      <c r="AGD192" s="1"/>
      <c r="AGE192" s="1"/>
      <c r="AGF192" s="1"/>
      <c r="AGG192" s="1"/>
      <c r="AGH192" s="1"/>
      <c r="AGI192" s="1"/>
      <c r="AGJ192" s="1"/>
      <c r="AGK192" s="1"/>
      <c r="AGL192" s="1"/>
      <c r="AGM192" s="1"/>
      <c r="AGN192" s="1"/>
      <c r="AGO192" s="1"/>
      <c r="AGP192" s="1"/>
      <c r="AGQ192" s="1"/>
      <c r="AGR192" s="1"/>
      <c r="AGS192" s="1"/>
      <c r="AGT192" s="1"/>
      <c r="AGU192" s="1"/>
      <c r="AGV192" s="1"/>
      <c r="AGW192" s="1"/>
      <c r="AGX192" s="1"/>
      <c r="AGY192" s="1"/>
      <c r="AGZ192" s="1"/>
      <c r="AHA192" s="1"/>
      <c r="AHB192" s="1"/>
      <c r="AHC192" s="1"/>
      <c r="AHD192" s="1"/>
      <c r="AHE192" s="1"/>
      <c r="AHF192" s="1"/>
      <c r="AHG192" s="1"/>
      <c r="AHH192" s="1"/>
      <c r="AHI192" s="1"/>
      <c r="AHJ192" s="1"/>
      <c r="AHK192" s="1"/>
      <c r="AHL192" s="1"/>
      <c r="AHM192" s="1"/>
      <c r="AHN192" s="1"/>
      <c r="AHO192" s="1"/>
      <c r="AHP192" s="1"/>
      <c r="AHQ192" s="1"/>
      <c r="AHR192" s="1"/>
      <c r="AHS192" s="1"/>
      <c r="AHT192" s="1"/>
      <c r="AHU192" s="1"/>
      <c r="AHV192" s="1"/>
      <c r="AHW192" s="1"/>
      <c r="AHX192" s="1"/>
      <c r="AHY192" s="1"/>
      <c r="AHZ192" s="1"/>
      <c r="AIA192" s="1"/>
      <c r="AIB192" s="1"/>
      <c r="AIC192" s="1"/>
      <c r="AID192" s="1"/>
      <c r="AIE192" s="1"/>
      <c r="AIF192" s="1"/>
      <c r="AIG192" s="1"/>
      <c r="AIH192" s="1"/>
      <c r="AII192" s="1"/>
      <c r="AIJ192" s="1"/>
      <c r="AIK192" s="1"/>
      <c r="AIL192" s="1"/>
      <c r="AIM192" s="1"/>
      <c r="AIN192" s="1"/>
      <c r="AIO192" s="1"/>
      <c r="AIP192" s="1"/>
      <c r="AIQ192" s="1"/>
      <c r="AIR192" s="1"/>
      <c r="AIS192" s="1"/>
      <c r="AIT192" s="1"/>
      <c r="AIU192" s="1"/>
      <c r="AIV192" s="1"/>
      <c r="AIW192" s="1"/>
      <c r="AIX192" s="1"/>
      <c r="AIY192" s="1"/>
      <c r="AIZ192" s="1"/>
      <c r="AJA192" s="1"/>
      <c r="AJB192" s="1"/>
      <c r="AJC192" s="1"/>
      <c r="AJD192" s="1"/>
      <c r="AJE192" s="1"/>
      <c r="AJF192" s="1"/>
      <c r="AJG192" s="1"/>
      <c r="AJH192" s="1"/>
      <c r="AJI192" s="1"/>
      <c r="AJJ192" s="1"/>
      <c r="AJK192" s="1"/>
      <c r="AJL192" s="1"/>
      <c r="AJM192" s="1"/>
      <c r="AJN192" s="1"/>
      <c r="AJO192" s="1"/>
      <c r="AJP192" s="1"/>
      <c r="AJQ192" s="1"/>
      <c r="AJR192" s="1"/>
      <c r="AJS192" s="1"/>
      <c r="AJT192" s="1"/>
      <c r="AJU192" s="1"/>
      <c r="AJV192" s="1"/>
      <c r="AJW192" s="1"/>
      <c r="AJX192" s="1"/>
      <c r="AJY192" s="1"/>
      <c r="AJZ192" s="1"/>
      <c r="AKA192" s="1"/>
      <c r="AKB192" s="1"/>
      <c r="AKC192" s="1"/>
      <c r="AKD192" s="1"/>
      <c r="AKE192" s="1"/>
      <c r="AKF192" s="1"/>
      <c r="AKG192" s="1"/>
      <c r="AKH192" s="1"/>
      <c r="AKI192" s="1"/>
      <c r="AKJ192" s="1"/>
      <c r="AKK192" s="1"/>
      <c r="AKL192" s="1"/>
      <c r="AKM192" s="1"/>
      <c r="AKN192" s="1"/>
      <c r="AKO192" s="1"/>
      <c r="AKP192" s="1"/>
      <c r="AKQ192" s="1"/>
      <c r="AKR192" s="1"/>
      <c r="AKS192" s="1"/>
      <c r="AKT192" s="1"/>
      <c r="AKU192" s="1"/>
      <c r="AKV192" s="1"/>
      <c r="AKW192" s="1"/>
      <c r="AKX192" s="1"/>
      <c r="AKY192" s="1"/>
      <c r="AKZ192" s="1"/>
      <c r="ALA192" s="1"/>
      <c r="ALB192" s="1"/>
      <c r="ALC192" s="1"/>
      <c r="ALD192" s="1"/>
      <c r="ALE192" s="1"/>
      <c r="ALF192" s="1"/>
      <c r="ALG192" s="1"/>
      <c r="ALH192" s="1"/>
      <c r="ALI192" s="1"/>
      <c r="ALJ192" s="1"/>
      <c r="ALK192" s="1"/>
      <c r="ALL192" s="1"/>
      <c r="ALM192" s="1"/>
      <c r="ALN192" s="1"/>
      <c r="ALO192" s="1"/>
      <c r="ALP192" s="1"/>
      <c r="ALQ192" s="1"/>
      <c r="ALR192" s="1"/>
      <c r="ALS192" s="1"/>
      <c r="ALT192" s="1"/>
      <c r="ALU192" s="1"/>
      <c r="ALV192" s="1"/>
      <c r="ALW192" s="1"/>
      <c r="ALX192" s="1"/>
      <c r="ALY192" s="1"/>
      <c r="ALZ192" s="1"/>
      <c r="AMA192" s="1"/>
      <c r="AMB192" s="1"/>
      <c r="AMC192" s="1"/>
      <c r="AMD192" s="1"/>
      <c r="AME192" s="1"/>
      <c r="AMF192" s="1"/>
      <c r="AMG192" s="1"/>
      <c r="AMH192" s="1"/>
      <c r="AMI192" s="1"/>
      <c r="AMJ192" s="1"/>
    </row>
    <row r="193" customFormat="false" ht="2.25" hidden="false" customHeight="true" outlineLevel="0" collapsed="false">
      <c r="AO193" s="243"/>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c r="IY193" s="1"/>
      <c r="IZ193" s="1"/>
      <c r="JA193" s="1"/>
      <c r="JB193" s="1"/>
      <c r="JC193" s="1"/>
      <c r="JD193" s="1"/>
      <c r="JE193" s="1"/>
      <c r="JF193" s="1"/>
      <c r="JG193" s="1"/>
      <c r="JH193" s="1"/>
      <c r="JI193" s="1"/>
      <c r="JJ193" s="1"/>
      <c r="JK193" s="1"/>
      <c r="JL193" s="1"/>
      <c r="JM193" s="1"/>
      <c r="JN193" s="1"/>
      <c r="JO193" s="1"/>
      <c r="JP193" s="1"/>
      <c r="JQ193" s="1"/>
      <c r="JR193" s="1"/>
      <c r="JS193" s="1"/>
      <c r="JT193" s="1"/>
      <c r="JU193" s="1"/>
      <c r="JV193" s="1"/>
      <c r="JW193" s="1"/>
      <c r="JX193" s="1"/>
      <c r="JY193" s="1"/>
      <c r="JZ193" s="1"/>
      <c r="KA193" s="1"/>
      <c r="KB193" s="1"/>
      <c r="KC193" s="1"/>
      <c r="KD193" s="1"/>
      <c r="KE193" s="1"/>
      <c r="KF193" s="1"/>
      <c r="KG193" s="1"/>
      <c r="KH193" s="1"/>
      <c r="KI193" s="1"/>
      <c r="KJ193" s="1"/>
      <c r="KK193" s="1"/>
      <c r="KL193" s="1"/>
      <c r="KM193" s="1"/>
      <c r="KN193" s="1"/>
      <c r="KO193" s="1"/>
      <c r="KP193" s="1"/>
      <c r="KQ193" s="1"/>
      <c r="KR193" s="1"/>
      <c r="KS193" s="1"/>
      <c r="KT193" s="1"/>
      <c r="KU193" s="1"/>
      <c r="KV193" s="1"/>
      <c r="KW193" s="1"/>
      <c r="KX193" s="1"/>
      <c r="KY193" s="1"/>
      <c r="KZ193" s="1"/>
      <c r="LA193" s="1"/>
      <c r="LB193" s="1"/>
      <c r="LC193" s="1"/>
      <c r="LD193" s="1"/>
      <c r="LE193" s="1"/>
      <c r="LF193" s="1"/>
      <c r="LG193" s="1"/>
      <c r="LH193" s="1"/>
      <c r="LI193" s="1"/>
      <c r="LJ193" s="1"/>
      <c r="LK193" s="1"/>
      <c r="LL193" s="1"/>
      <c r="LM193" s="1"/>
      <c r="LN193" s="1"/>
      <c r="LO193" s="1"/>
      <c r="LP193" s="1"/>
      <c r="LQ193" s="1"/>
      <c r="LR193" s="1"/>
      <c r="LS193" s="1"/>
      <c r="LT193" s="1"/>
      <c r="LU193" s="1"/>
      <c r="LV193" s="1"/>
      <c r="LW193" s="1"/>
      <c r="LX193" s="1"/>
      <c r="LY193" s="1"/>
      <c r="LZ193" s="1"/>
      <c r="MA193" s="1"/>
      <c r="MB193" s="1"/>
      <c r="MC193" s="1"/>
      <c r="MD193" s="1"/>
      <c r="ME193" s="1"/>
      <c r="MF193" s="1"/>
      <c r="MG193" s="1"/>
      <c r="MH193" s="1"/>
      <c r="MI193" s="1"/>
      <c r="MJ193" s="1"/>
      <c r="MK193" s="1"/>
      <c r="ML193" s="1"/>
      <c r="MM193" s="1"/>
      <c r="MN193" s="1"/>
      <c r="MO193" s="1"/>
      <c r="MP193" s="1"/>
      <c r="MQ193" s="1"/>
      <c r="MR193" s="1"/>
      <c r="MS193" s="1"/>
      <c r="MT193" s="1"/>
      <c r="MU193" s="1"/>
      <c r="MV193" s="1"/>
      <c r="MW193" s="1"/>
      <c r="MX193" s="1"/>
      <c r="MY193" s="1"/>
      <c r="MZ193" s="1"/>
      <c r="NA193" s="1"/>
      <c r="NB193" s="1"/>
      <c r="NC193" s="1"/>
      <c r="ND193" s="1"/>
      <c r="NE193" s="1"/>
      <c r="NF193" s="1"/>
      <c r="NG193" s="1"/>
      <c r="NH193" s="1"/>
      <c r="NI193" s="1"/>
      <c r="NJ193" s="1"/>
      <c r="NK193" s="1"/>
      <c r="NL193" s="1"/>
      <c r="NM193" s="1"/>
      <c r="NN193" s="1"/>
      <c r="NO193" s="1"/>
      <c r="NP193" s="1"/>
      <c r="NQ193" s="1"/>
      <c r="NR193" s="1"/>
      <c r="NS193" s="1"/>
      <c r="NT193" s="1"/>
      <c r="NU193" s="1"/>
      <c r="NV193" s="1"/>
      <c r="NW193" s="1"/>
      <c r="NX193" s="1"/>
      <c r="NY193" s="1"/>
      <c r="NZ193" s="1"/>
      <c r="OA193" s="1"/>
      <c r="OB193" s="1"/>
      <c r="OC193" s="1"/>
      <c r="OD193" s="1"/>
      <c r="OE193" s="1"/>
      <c r="OF193" s="1"/>
      <c r="OG193" s="1"/>
      <c r="OH193" s="1"/>
      <c r="OI193" s="1"/>
      <c r="OJ193" s="1"/>
      <c r="OK193" s="1"/>
      <c r="OL193" s="1"/>
      <c r="OM193" s="1"/>
      <c r="ON193" s="1"/>
      <c r="OO193" s="1"/>
      <c r="OP193" s="1"/>
      <c r="OQ193" s="1"/>
      <c r="OR193" s="1"/>
      <c r="OS193" s="1"/>
      <c r="OT193" s="1"/>
      <c r="OU193" s="1"/>
      <c r="OV193" s="1"/>
      <c r="OW193" s="1"/>
      <c r="OX193" s="1"/>
      <c r="OY193" s="1"/>
      <c r="OZ193" s="1"/>
      <c r="PA193" s="1"/>
      <c r="PB193" s="1"/>
      <c r="PC193" s="1"/>
      <c r="PD193" s="1"/>
      <c r="PE193" s="1"/>
      <c r="PF193" s="1"/>
      <c r="PG193" s="1"/>
      <c r="PH193" s="1"/>
      <c r="PI193" s="1"/>
      <c r="PJ193" s="1"/>
      <c r="PK193" s="1"/>
      <c r="PL193" s="1"/>
      <c r="PM193" s="1"/>
      <c r="PN193" s="1"/>
      <c r="PO193" s="1"/>
      <c r="PP193" s="1"/>
      <c r="PQ193" s="1"/>
      <c r="PR193" s="1"/>
      <c r="PS193" s="1"/>
      <c r="PT193" s="1"/>
      <c r="PU193" s="1"/>
      <c r="PV193" s="1"/>
      <c r="PW193" s="1"/>
      <c r="PX193" s="1"/>
      <c r="PY193" s="1"/>
      <c r="PZ193" s="1"/>
      <c r="QA193" s="1"/>
      <c r="QB193" s="1"/>
      <c r="QC193" s="1"/>
      <c r="QD193" s="1"/>
      <c r="QE193" s="1"/>
      <c r="QF193" s="1"/>
      <c r="QG193" s="1"/>
      <c r="QH193" s="1"/>
      <c r="QI193" s="1"/>
      <c r="QJ193" s="1"/>
      <c r="QK193" s="1"/>
      <c r="QL193" s="1"/>
      <c r="QM193" s="1"/>
      <c r="QN193" s="1"/>
      <c r="QO193" s="1"/>
      <c r="QP193" s="1"/>
      <c r="QQ193" s="1"/>
      <c r="QR193" s="1"/>
      <c r="QS193" s="1"/>
      <c r="QT193" s="1"/>
      <c r="QU193" s="1"/>
      <c r="QV193" s="1"/>
      <c r="QW193" s="1"/>
      <c r="QX193" s="1"/>
      <c r="QY193" s="1"/>
      <c r="QZ193" s="1"/>
      <c r="RA193" s="1"/>
      <c r="RB193" s="1"/>
      <c r="RC193" s="1"/>
      <c r="RD193" s="1"/>
      <c r="RE193" s="1"/>
      <c r="RF193" s="1"/>
      <c r="RG193" s="1"/>
      <c r="RH193" s="1"/>
      <c r="RI193" s="1"/>
      <c r="RJ193" s="1"/>
      <c r="RK193" s="1"/>
      <c r="RL193" s="1"/>
      <c r="RM193" s="1"/>
      <c r="RN193" s="1"/>
      <c r="RO193" s="1"/>
      <c r="RP193" s="1"/>
      <c r="RQ193" s="1"/>
      <c r="RR193" s="1"/>
      <c r="RS193" s="1"/>
      <c r="RT193" s="1"/>
      <c r="RU193" s="1"/>
      <c r="RV193" s="1"/>
      <c r="RW193" s="1"/>
      <c r="RX193" s="1"/>
      <c r="RY193" s="1"/>
      <c r="RZ193" s="1"/>
      <c r="SA193" s="1"/>
      <c r="SB193" s="1"/>
      <c r="SC193" s="1"/>
      <c r="SD193" s="1"/>
      <c r="SE193" s="1"/>
      <c r="SF193" s="1"/>
      <c r="SG193" s="1"/>
      <c r="SH193" s="1"/>
      <c r="SI193" s="1"/>
      <c r="SJ193" s="1"/>
      <c r="SK193" s="1"/>
      <c r="SL193" s="1"/>
      <c r="SM193" s="1"/>
      <c r="SN193" s="1"/>
      <c r="SO193" s="1"/>
      <c r="SP193" s="1"/>
      <c r="SQ193" s="1"/>
      <c r="SR193" s="1"/>
      <c r="SS193" s="1"/>
      <c r="ST193" s="1"/>
      <c r="SU193" s="1"/>
      <c r="SV193" s="1"/>
      <c r="SW193" s="1"/>
      <c r="SX193" s="1"/>
      <c r="SY193" s="1"/>
      <c r="SZ193" s="1"/>
      <c r="TA193" s="1"/>
      <c r="TB193" s="1"/>
      <c r="TC193" s="1"/>
      <c r="TD193" s="1"/>
      <c r="TE193" s="1"/>
      <c r="TF193" s="1"/>
      <c r="TG193" s="1"/>
      <c r="TH193" s="1"/>
      <c r="TI193" s="1"/>
      <c r="TJ193" s="1"/>
      <c r="TK193" s="1"/>
      <c r="TL193" s="1"/>
      <c r="TM193" s="1"/>
      <c r="TN193" s="1"/>
      <c r="TO193" s="1"/>
      <c r="TP193" s="1"/>
      <c r="TQ193" s="1"/>
      <c r="TR193" s="1"/>
      <c r="TS193" s="1"/>
      <c r="TT193" s="1"/>
      <c r="TU193" s="1"/>
      <c r="TV193" s="1"/>
      <c r="TW193" s="1"/>
      <c r="TX193" s="1"/>
      <c r="TY193" s="1"/>
      <c r="TZ193" s="1"/>
      <c r="UA193" s="1"/>
      <c r="UB193" s="1"/>
      <c r="UC193" s="1"/>
      <c r="UD193" s="1"/>
      <c r="UE193" s="1"/>
      <c r="UF193" s="1"/>
      <c r="UG193" s="1"/>
      <c r="UH193" s="1"/>
      <c r="UI193" s="1"/>
      <c r="UJ193" s="1"/>
      <c r="UK193" s="1"/>
      <c r="UL193" s="1"/>
      <c r="UM193" s="1"/>
      <c r="UN193" s="1"/>
      <c r="UO193" s="1"/>
      <c r="UP193" s="1"/>
      <c r="UQ193" s="1"/>
      <c r="UR193" s="1"/>
      <c r="US193" s="1"/>
      <c r="UT193" s="1"/>
      <c r="UU193" s="1"/>
      <c r="UV193" s="1"/>
      <c r="UW193" s="1"/>
      <c r="UX193" s="1"/>
      <c r="UY193" s="1"/>
      <c r="UZ193" s="1"/>
      <c r="VA193" s="1"/>
      <c r="VB193" s="1"/>
      <c r="VC193" s="1"/>
      <c r="VD193" s="1"/>
      <c r="VE193" s="1"/>
      <c r="VF193" s="1"/>
      <c r="VG193" s="1"/>
      <c r="VH193" s="1"/>
      <c r="VI193" s="1"/>
      <c r="VJ193" s="1"/>
      <c r="VK193" s="1"/>
      <c r="VL193" s="1"/>
      <c r="VM193" s="1"/>
      <c r="VN193" s="1"/>
      <c r="VO193" s="1"/>
      <c r="VP193" s="1"/>
      <c r="VQ193" s="1"/>
      <c r="VR193" s="1"/>
      <c r="VS193" s="1"/>
      <c r="VT193" s="1"/>
      <c r="VU193" s="1"/>
      <c r="VV193" s="1"/>
      <c r="VW193" s="1"/>
      <c r="VX193" s="1"/>
      <c r="VY193" s="1"/>
      <c r="VZ193" s="1"/>
      <c r="WA193" s="1"/>
      <c r="WB193" s="1"/>
      <c r="WC193" s="1"/>
      <c r="WD193" s="1"/>
      <c r="WE193" s="1"/>
      <c r="WF193" s="1"/>
      <c r="WG193" s="1"/>
      <c r="WH193" s="1"/>
      <c r="WI193" s="1"/>
      <c r="WJ193" s="1"/>
      <c r="WK193" s="1"/>
      <c r="WL193" s="1"/>
      <c r="WM193" s="1"/>
      <c r="WN193" s="1"/>
      <c r="WO193" s="1"/>
      <c r="WP193" s="1"/>
      <c r="WQ193" s="1"/>
      <c r="WR193" s="1"/>
      <c r="WS193" s="1"/>
      <c r="WT193" s="1"/>
      <c r="WU193" s="1"/>
      <c r="WV193" s="1"/>
      <c r="WW193" s="1"/>
      <c r="WX193" s="1"/>
      <c r="WY193" s="1"/>
      <c r="WZ193" s="1"/>
      <c r="XA193" s="1"/>
      <c r="XB193" s="1"/>
      <c r="XC193" s="1"/>
      <c r="XD193" s="1"/>
      <c r="XE193" s="1"/>
      <c r="XF193" s="1"/>
      <c r="XG193" s="1"/>
      <c r="XH193" s="1"/>
      <c r="XI193" s="1"/>
      <c r="XJ193" s="1"/>
      <c r="XK193" s="1"/>
      <c r="XL193" s="1"/>
      <c r="XM193" s="1"/>
      <c r="XN193" s="1"/>
      <c r="XO193" s="1"/>
      <c r="XP193" s="1"/>
      <c r="XQ193" s="1"/>
      <c r="XR193" s="1"/>
      <c r="XS193" s="1"/>
      <c r="XT193" s="1"/>
      <c r="XU193" s="1"/>
      <c r="XV193" s="1"/>
      <c r="XW193" s="1"/>
      <c r="XX193" s="1"/>
      <c r="XY193" s="1"/>
      <c r="XZ193" s="1"/>
      <c r="YA193" s="1"/>
      <c r="YB193" s="1"/>
      <c r="YC193" s="1"/>
      <c r="YD193" s="1"/>
      <c r="YE193" s="1"/>
      <c r="YF193" s="1"/>
      <c r="YG193" s="1"/>
      <c r="YH193" s="1"/>
      <c r="YI193" s="1"/>
      <c r="YJ193" s="1"/>
      <c r="YK193" s="1"/>
      <c r="YL193" s="1"/>
      <c r="YM193" s="1"/>
      <c r="YN193" s="1"/>
      <c r="YO193" s="1"/>
      <c r="YP193" s="1"/>
      <c r="YQ193" s="1"/>
      <c r="YR193" s="1"/>
      <c r="YS193" s="1"/>
      <c r="YT193" s="1"/>
      <c r="YU193" s="1"/>
      <c r="YV193" s="1"/>
      <c r="YW193" s="1"/>
      <c r="YX193" s="1"/>
      <c r="YY193" s="1"/>
      <c r="YZ193" s="1"/>
      <c r="ZA193" s="1"/>
      <c r="ZB193" s="1"/>
      <c r="ZC193" s="1"/>
      <c r="ZD193" s="1"/>
      <c r="ZE193" s="1"/>
      <c r="ZF193" s="1"/>
      <c r="ZG193" s="1"/>
      <c r="ZH193" s="1"/>
      <c r="ZI193" s="1"/>
      <c r="ZJ193" s="1"/>
      <c r="ZK193" s="1"/>
      <c r="ZL193" s="1"/>
      <c r="ZM193" s="1"/>
      <c r="ZN193" s="1"/>
      <c r="ZO193" s="1"/>
      <c r="ZP193" s="1"/>
      <c r="ZQ193" s="1"/>
      <c r="ZR193" s="1"/>
      <c r="ZS193" s="1"/>
      <c r="ZT193" s="1"/>
      <c r="ZU193" s="1"/>
      <c r="ZV193" s="1"/>
      <c r="ZW193" s="1"/>
      <c r="ZX193" s="1"/>
      <c r="ZY193" s="1"/>
      <c r="ZZ193" s="1"/>
      <c r="AAA193" s="1"/>
      <c r="AAB193" s="1"/>
      <c r="AAC193" s="1"/>
      <c r="AAD193" s="1"/>
      <c r="AAE193" s="1"/>
      <c r="AAF193" s="1"/>
      <c r="AAG193" s="1"/>
      <c r="AAH193" s="1"/>
      <c r="AAI193" s="1"/>
      <c r="AAJ193" s="1"/>
      <c r="AAK193" s="1"/>
      <c r="AAL193" s="1"/>
      <c r="AAM193" s="1"/>
      <c r="AAN193" s="1"/>
      <c r="AAO193" s="1"/>
      <c r="AAP193" s="1"/>
      <c r="AAQ193" s="1"/>
      <c r="AAR193" s="1"/>
      <c r="AAS193" s="1"/>
      <c r="AAT193" s="1"/>
      <c r="AAU193" s="1"/>
      <c r="AAV193" s="1"/>
      <c r="AAW193" s="1"/>
      <c r="AAX193" s="1"/>
      <c r="AAY193" s="1"/>
      <c r="AAZ193" s="1"/>
      <c r="ABA193" s="1"/>
      <c r="ABB193" s="1"/>
      <c r="ABC193" s="1"/>
      <c r="ABD193" s="1"/>
      <c r="ABE193" s="1"/>
      <c r="ABF193" s="1"/>
      <c r="ABG193" s="1"/>
      <c r="ABH193" s="1"/>
      <c r="ABI193" s="1"/>
      <c r="ABJ193" s="1"/>
      <c r="ABK193" s="1"/>
      <c r="ABL193" s="1"/>
      <c r="ABM193" s="1"/>
      <c r="ABN193" s="1"/>
      <c r="ABO193" s="1"/>
      <c r="ABP193" s="1"/>
      <c r="ABQ193" s="1"/>
      <c r="ABR193" s="1"/>
      <c r="ABS193" s="1"/>
      <c r="ABT193" s="1"/>
      <c r="ABU193" s="1"/>
      <c r="ABV193" s="1"/>
      <c r="ABW193" s="1"/>
      <c r="ABX193" s="1"/>
      <c r="ABY193" s="1"/>
      <c r="ABZ193" s="1"/>
      <c r="ACA193" s="1"/>
      <c r="ACB193" s="1"/>
      <c r="ACC193" s="1"/>
      <c r="ACD193" s="1"/>
      <c r="ACE193" s="1"/>
      <c r="ACF193" s="1"/>
      <c r="ACG193" s="1"/>
      <c r="ACH193" s="1"/>
      <c r="ACI193" s="1"/>
      <c r="ACJ193" s="1"/>
      <c r="ACK193" s="1"/>
      <c r="ACL193" s="1"/>
      <c r="ACM193" s="1"/>
      <c r="ACN193" s="1"/>
      <c r="ACO193" s="1"/>
      <c r="ACP193" s="1"/>
      <c r="ACQ193" s="1"/>
      <c r="ACR193" s="1"/>
      <c r="ACS193" s="1"/>
      <c r="ACT193" s="1"/>
      <c r="ACU193" s="1"/>
      <c r="ACV193" s="1"/>
      <c r="ACW193" s="1"/>
      <c r="ACX193" s="1"/>
      <c r="ACY193" s="1"/>
      <c r="ACZ193" s="1"/>
      <c r="ADA193" s="1"/>
      <c r="ADB193" s="1"/>
      <c r="ADC193" s="1"/>
      <c r="ADD193" s="1"/>
      <c r="ADE193" s="1"/>
      <c r="ADF193" s="1"/>
      <c r="ADG193" s="1"/>
      <c r="ADH193" s="1"/>
      <c r="ADI193" s="1"/>
      <c r="ADJ193" s="1"/>
      <c r="ADK193" s="1"/>
      <c r="ADL193" s="1"/>
      <c r="ADM193" s="1"/>
      <c r="ADN193" s="1"/>
      <c r="ADO193" s="1"/>
      <c r="ADP193" s="1"/>
      <c r="ADQ193" s="1"/>
      <c r="ADR193" s="1"/>
      <c r="ADS193" s="1"/>
      <c r="ADT193" s="1"/>
      <c r="ADU193" s="1"/>
      <c r="ADV193" s="1"/>
      <c r="ADW193" s="1"/>
      <c r="ADX193" s="1"/>
      <c r="ADY193" s="1"/>
      <c r="ADZ193" s="1"/>
      <c r="AEA193" s="1"/>
      <c r="AEB193" s="1"/>
      <c r="AEC193" s="1"/>
      <c r="AED193" s="1"/>
      <c r="AEE193" s="1"/>
      <c r="AEF193" s="1"/>
      <c r="AEG193" s="1"/>
      <c r="AEH193" s="1"/>
      <c r="AEI193" s="1"/>
      <c r="AEJ193" s="1"/>
      <c r="AEK193" s="1"/>
      <c r="AEL193" s="1"/>
      <c r="AEM193" s="1"/>
      <c r="AEN193" s="1"/>
      <c r="AEO193" s="1"/>
      <c r="AEP193" s="1"/>
      <c r="AEQ193" s="1"/>
      <c r="AER193" s="1"/>
      <c r="AES193" s="1"/>
      <c r="AET193" s="1"/>
      <c r="AEU193" s="1"/>
      <c r="AEV193" s="1"/>
      <c r="AEW193" s="1"/>
      <c r="AEX193" s="1"/>
      <c r="AEY193" s="1"/>
      <c r="AEZ193" s="1"/>
      <c r="AFA193" s="1"/>
      <c r="AFB193" s="1"/>
      <c r="AFC193" s="1"/>
      <c r="AFD193" s="1"/>
      <c r="AFE193" s="1"/>
      <c r="AFF193" s="1"/>
      <c r="AFG193" s="1"/>
      <c r="AFH193" s="1"/>
      <c r="AFI193" s="1"/>
      <c r="AFJ193" s="1"/>
      <c r="AFK193" s="1"/>
      <c r="AFL193" s="1"/>
      <c r="AFM193" s="1"/>
      <c r="AFN193" s="1"/>
      <c r="AFO193" s="1"/>
      <c r="AFP193" s="1"/>
      <c r="AFQ193" s="1"/>
      <c r="AFR193" s="1"/>
      <c r="AFS193" s="1"/>
      <c r="AFT193" s="1"/>
      <c r="AFU193" s="1"/>
      <c r="AFV193" s="1"/>
      <c r="AFW193" s="1"/>
      <c r="AFX193" s="1"/>
      <c r="AFY193" s="1"/>
      <c r="AFZ193" s="1"/>
      <c r="AGA193" s="1"/>
      <c r="AGB193" s="1"/>
      <c r="AGC193" s="1"/>
      <c r="AGD193" s="1"/>
      <c r="AGE193" s="1"/>
      <c r="AGF193" s="1"/>
      <c r="AGG193" s="1"/>
      <c r="AGH193" s="1"/>
      <c r="AGI193" s="1"/>
      <c r="AGJ193" s="1"/>
      <c r="AGK193" s="1"/>
      <c r="AGL193" s="1"/>
      <c r="AGM193" s="1"/>
      <c r="AGN193" s="1"/>
      <c r="AGO193" s="1"/>
      <c r="AGP193" s="1"/>
      <c r="AGQ193" s="1"/>
      <c r="AGR193" s="1"/>
      <c r="AGS193" s="1"/>
      <c r="AGT193" s="1"/>
      <c r="AGU193" s="1"/>
      <c r="AGV193" s="1"/>
      <c r="AGW193" s="1"/>
      <c r="AGX193" s="1"/>
      <c r="AGY193" s="1"/>
      <c r="AGZ193" s="1"/>
      <c r="AHA193" s="1"/>
      <c r="AHB193" s="1"/>
      <c r="AHC193" s="1"/>
      <c r="AHD193" s="1"/>
      <c r="AHE193" s="1"/>
      <c r="AHF193" s="1"/>
      <c r="AHG193" s="1"/>
      <c r="AHH193" s="1"/>
      <c r="AHI193" s="1"/>
      <c r="AHJ193" s="1"/>
      <c r="AHK193" s="1"/>
      <c r="AHL193" s="1"/>
      <c r="AHM193" s="1"/>
      <c r="AHN193" s="1"/>
      <c r="AHO193" s="1"/>
      <c r="AHP193" s="1"/>
      <c r="AHQ193" s="1"/>
      <c r="AHR193" s="1"/>
      <c r="AHS193" s="1"/>
      <c r="AHT193" s="1"/>
      <c r="AHU193" s="1"/>
      <c r="AHV193" s="1"/>
      <c r="AHW193" s="1"/>
      <c r="AHX193" s="1"/>
      <c r="AHY193" s="1"/>
      <c r="AHZ193" s="1"/>
      <c r="AIA193" s="1"/>
      <c r="AIB193" s="1"/>
      <c r="AIC193" s="1"/>
      <c r="AID193" s="1"/>
      <c r="AIE193" s="1"/>
      <c r="AIF193" s="1"/>
      <c r="AIG193" s="1"/>
      <c r="AIH193" s="1"/>
      <c r="AII193" s="1"/>
      <c r="AIJ193" s="1"/>
      <c r="AIK193" s="1"/>
      <c r="AIL193" s="1"/>
      <c r="AIM193" s="1"/>
      <c r="AIN193" s="1"/>
      <c r="AIO193" s="1"/>
      <c r="AIP193" s="1"/>
      <c r="AIQ193" s="1"/>
      <c r="AIR193" s="1"/>
      <c r="AIS193" s="1"/>
      <c r="AIT193" s="1"/>
      <c r="AIU193" s="1"/>
      <c r="AIV193" s="1"/>
      <c r="AIW193" s="1"/>
      <c r="AIX193" s="1"/>
      <c r="AIY193" s="1"/>
      <c r="AIZ193" s="1"/>
      <c r="AJA193" s="1"/>
      <c r="AJB193" s="1"/>
      <c r="AJC193" s="1"/>
      <c r="AJD193" s="1"/>
      <c r="AJE193" s="1"/>
      <c r="AJF193" s="1"/>
      <c r="AJG193" s="1"/>
      <c r="AJH193" s="1"/>
      <c r="AJI193" s="1"/>
      <c r="AJJ193" s="1"/>
      <c r="AJK193" s="1"/>
      <c r="AJL193" s="1"/>
      <c r="AJM193" s="1"/>
      <c r="AJN193" s="1"/>
      <c r="AJO193" s="1"/>
      <c r="AJP193" s="1"/>
      <c r="AJQ193" s="1"/>
      <c r="AJR193" s="1"/>
      <c r="AJS193" s="1"/>
      <c r="AJT193" s="1"/>
      <c r="AJU193" s="1"/>
      <c r="AJV193" s="1"/>
      <c r="AJW193" s="1"/>
      <c r="AJX193" s="1"/>
      <c r="AJY193" s="1"/>
      <c r="AJZ193" s="1"/>
      <c r="AKA193" s="1"/>
      <c r="AKB193" s="1"/>
      <c r="AKC193" s="1"/>
      <c r="AKD193" s="1"/>
      <c r="AKE193" s="1"/>
      <c r="AKF193" s="1"/>
      <c r="AKG193" s="1"/>
      <c r="AKH193" s="1"/>
      <c r="AKI193" s="1"/>
      <c r="AKJ193" s="1"/>
      <c r="AKK193" s="1"/>
      <c r="AKL193" s="1"/>
      <c r="AKM193" s="1"/>
      <c r="AKN193" s="1"/>
      <c r="AKO193" s="1"/>
      <c r="AKP193" s="1"/>
      <c r="AKQ193" s="1"/>
      <c r="AKR193" s="1"/>
      <c r="AKS193" s="1"/>
      <c r="AKT193" s="1"/>
      <c r="AKU193" s="1"/>
      <c r="AKV193" s="1"/>
      <c r="AKW193" s="1"/>
      <c r="AKX193" s="1"/>
      <c r="AKY193" s="1"/>
      <c r="AKZ193" s="1"/>
      <c r="ALA193" s="1"/>
      <c r="ALB193" s="1"/>
      <c r="ALC193" s="1"/>
      <c r="ALD193" s="1"/>
      <c r="ALE193" s="1"/>
      <c r="ALF193" s="1"/>
      <c r="ALG193" s="1"/>
      <c r="ALH193" s="1"/>
      <c r="ALI193" s="1"/>
      <c r="ALJ193" s="1"/>
      <c r="ALK193" s="1"/>
      <c r="ALL193" s="1"/>
      <c r="ALM193" s="1"/>
      <c r="ALN193" s="1"/>
      <c r="ALO193" s="1"/>
      <c r="ALP193" s="1"/>
      <c r="ALQ193" s="1"/>
      <c r="ALR193" s="1"/>
      <c r="ALS193" s="1"/>
      <c r="ALT193" s="1"/>
      <c r="ALU193" s="1"/>
      <c r="ALV193" s="1"/>
      <c r="ALW193" s="1"/>
      <c r="ALX193" s="1"/>
      <c r="ALY193" s="1"/>
      <c r="ALZ193" s="1"/>
      <c r="AMA193" s="1"/>
      <c r="AMB193" s="1"/>
      <c r="AMC193" s="1"/>
      <c r="AMD193" s="1"/>
      <c r="AME193" s="1"/>
      <c r="AMF193" s="1"/>
      <c r="AMG193" s="1"/>
      <c r="AMH193" s="1"/>
      <c r="AMI193" s="1"/>
      <c r="AMJ193" s="1"/>
    </row>
    <row r="194" s="90" customFormat="true" ht="10.5" hidden="false" customHeight="true" outlineLevel="0" collapsed="false">
      <c r="A194" s="48" t="s">
        <v>334</v>
      </c>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8"/>
      <c r="AN194" s="48"/>
      <c r="AO194" s="48"/>
      <c r="AP194" s="7"/>
      <c r="AQ194" s="7"/>
      <c r="AR194" s="7"/>
      <c r="AS194" s="7"/>
      <c r="AT194" s="7"/>
      <c r="AU194" s="7"/>
      <c r="AV194" s="7"/>
      <c r="AW194" s="7"/>
      <c r="AX194" s="7"/>
      <c r="AY194" s="7"/>
      <c r="AZ194" s="7"/>
      <c r="BA194" s="7"/>
      <c r="BB194" s="7"/>
      <c r="BC194" s="7"/>
    </row>
    <row r="195" s="90" customFormat="true" ht="1.5" hidden="false" customHeight="true" outlineLevel="0" collapsed="false">
      <c r="A195" s="244"/>
      <c r="B195" s="244"/>
      <c r="C195" s="244"/>
      <c r="D195" s="244"/>
      <c r="E195" s="244"/>
      <c r="F195" s="244"/>
      <c r="G195" s="244"/>
      <c r="H195" s="244"/>
      <c r="I195" s="244"/>
      <c r="J195" s="244"/>
      <c r="K195" s="244"/>
      <c r="L195" s="244"/>
      <c r="M195" s="244"/>
      <c r="N195" s="244"/>
      <c r="O195" s="244"/>
      <c r="P195" s="244"/>
      <c r="Q195" s="244"/>
      <c r="R195" s="244"/>
      <c r="S195" s="244"/>
      <c r="T195" s="244"/>
      <c r="U195" s="244"/>
      <c r="V195" s="244"/>
      <c r="W195" s="244"/>
      <c r="X195" s="244"/>
      <c r="Y195" s="244"/>
      <c r="Z195" s="244"/>
      <c r="AA195" s="244"/>
      <c r="AB195" s="244"/>
      <c r="AC195" s="244"/>
      <c r="AD195" s="244"/>
      <c r="AE195" s="244"/>
      <c r="AF195" s="244"/>
      <c r="AG195" s="244"/>
      <c r="AH195" s="244"/>
      <c r="AI195" s="244"/>
      <c r="AJ195" s="244"/>
      <c r="AK195" s="244"/>
      <c r="AL195" s="244"/>
      <c r="AM195" s="244"/>
      <c r="AN195" s="244"/>
      <c r="AO195" s="244"/>
      <c r="AP195" s="7"/>
      <c r="AQ195" s="7"/>
      <c r="AR195" s="7"/>
      <c r="AS195" s="7"/>
      <c r="AT195" s="7"/>
      <c r="AU195" s="7"/>
      <c r="AV195" s="7"/>
      <c r="AW195" s="7"/>
      <c r="AX195" s="7"/>
      <c r="AY195" s="7"/>
      <c r="AZ195" s="7"/>
      <c r="BA195" s="7"/>
      <c r="BB195" s="7"/>
      <c r="BC195" s="7"/>
    </row>
    <row r="196" s="90" customFormat="true" ht="10.5" hidden="false" customHeight="true" outlineLevel="0" collapsed="false">
      <c r="A196" s="136" t="s">
        <v>335</v>
      </c>
      <c r="B196" s="136"/>
      <c r="C196" s="136"/>
      <c r="D196" s="136"/>
      <c r="E196" s="136"/>
      <c r="F196" s="136"/>
      <c r="G196" s="136"/>
      <c r="H196" s="136"/>
      <c r="I196" s="136"/>
      <c r="J196" s="136"/>
      <c r="K196" s="136"/>
      <c r="L196" s="136"/>
      <c r="M196" s="136"/>
      <c r="N196" s="220" t="s">
        <v>336</v>
      </c>
      <c r="O196" s="220"/>
      <c r="P196" s="220"/>
      <c r="Q196" s="220"/>
      <c r="R196" s="220"/>
      <c r="S196" s="183"/>
      <c r="T196" s="183"/>
      <c r="U196" s="136" t="s">
        <v>337</v>
      </c>
      <c r="V196" s="136"/>
      <c r="W196" s="136"/>
      <c r="X196" s="136"/>
      <c r="Y196" s="136"/>
      <c r="Z196" s="136"/>
      <c r="AA196" s="136"/>
      <c r="AB196" s="136"/>
      <c r="AC196" s="136"/>
      <c r="AD196" s="136"/>
      <c r="AE196" s="136"/>
      <c r="AF196" s="136"/>
      <c r="AG196" s="136"/>
      <c r="AH196" s="220" t="s">
        <v>336</v>
      </c>
      <c r="AI196" s="220"/>
      <c r="AJ196" s="220"/>
      <c r="AK196" s="220"/>
      <c r="AL196" s="220"/>
      <c r="AM196" s="215"/>
      <c r="AN196" s="215"/>
      <c r="AO196" s="215"/>
      <c r="AP196" s="7"/>
      <c r="AQ196" s="7"/>
      <c r="AR196" s="7"/>
      <c r="AS196" s="7"/>
      <c r="AT196" s="7"/>
      <c r="AU196" s="7"/>
      <c r="AV196" s="7"/>
      <c r="AW196" s="7"/>
      <c r="AX196" s="7"/>
      <c r="AY196" s="7"/>
      <c r="AZ196" s="7"/>
      <c r="BA196" s="7"/>
      <c r="BB196" s="7"/>
      <c r="BC196" s="7"/>
    </row>
    <row r="197" s="90" customFormat="true" ht="10.5" hidden="false" customHeight="true" outlineLevel="0" collapsed="false">
      <c r="A197" s="79" t="s">
        <v>338</v>
      </c>
      <c r="B197" s="79"/>
      <c r="C197" s="79"/>
      <c r="D197" s="79"/>
      <c r="E197" s="79"/>
      <c r="F197" s="79"/>
      <c r="G197" s="79"/>
      <c r="H197" s="79"/>
      <c r="I197" s="79"/>
      <c r="J197" s="79"/>
      <c r="K197" s="79"/>
      <c r="L197" s="79"/>
      <c r="M197" s="79"/>
      <c r="N197" s="245"/>
      <c r="O197" s="245"/>
      <c r="P197" s="245"/>
      <c r="Q197" s="245"/>
      <c r="R197" s="245"/>
      <c r="S197" s="183"/>
      <c r="T197" s="183"/>
      <c r="U197" s="79" t="s">
        <v>339</v>
      </c>
      <c r="V197" s="79"/>
      <c r="W197" s="79"/>
      <c r="X197" s="79"/>
      <c r="Y197" s="79"/>
      <c r="Z197" s="79"/>
      <c r="AA197" s="79"/>
      <c r="AB197" s="79"/>
      <c r="AC197" s="79"/>
      <c r="AD197" s="79"/>
      <c r="AE197" s="79"/>
      <c r="AF197" s="79"/>
      <c r="AG197" s="79"/>
      <c r="AH197" s="245"/>
      <c r="AI197" s="245"/>
      <c r="AJ197" s="245"/>
      <c r="AK197" s="245"/>
      <c r="AL197" s="245"/>
      <c r="AM197" s="215"/>
      <c r="AN197" s="215"/>
      <c r="AO197" s="215"/>
      <c r="AP197" s="7"/>
      <c r="AQ197" s="7"/>
      <c r="AR197" s="7"/>
      <c r="AS197" s="7"/>
      <c r="AT197" s="7"/>
      <c r="AU197" s="7"/>
      <c r="AV197" s="7"/>
      <c r="AW197" s="7"/>
      <c r="AX197" s="7"/>
      <c r="AY197" s="7"/>
      <c r="AZ197" s="7"/>
      <c r="BA197" s="7"/>
      <c r="BB197" s="7"/>
      <c r="BC197" s="7"/>
    </row>
    <row r="198" s="90" customFormat="true" ht="10.5" hidden="false" customHeight="true" outlineLevel="0" collapsed="false">
      <c r="A198" s="79" t="s">
        <v>340</v>
      </c>
      <c r="B198" s="79"/>
      <c r="C198" s="79"/>
      <c r="D198" s="79"/>
      <c r="E198" s="79"/>
      <c r="F198" s="79"/>
      <c r="G198" s="79"/>
      <c r="H198" s="79"/>
      <c r="I198" s="79"/>
      <c r="J198" s="79"/>
      <c r="K198" s="79"/>
      <c r="L198" s="79"/>
      <c r="M198" s="79"/>
      <c r="N198" s="245"/>
      <c r="O198" s="245"/>
      <c r="P198" s="245"/>
      <c r="Q198" s="245"/>
      <c r="R198" s="245"/>
      <c r="S198" s="183"/>
      <c r="T198" s="183"/>
      <c r="U198" s="79" t="s">
        <v>341</v>
      </c>
      <c r="V198" s="79"/>
      <c r="W198" s="79"/>
      <c r="X198" s="79"/>
      <c r="Y198" s="79"/>
      <c r="Z198" s="79"/>
      <c r="AA198" s="79"/>
      <c r="AB198" s="79"/>
      <c r="AC198" s="79"/>
      <c r="AD198" s="79"/>
      <c r="AE198" s="79"/>
      <c r="AF198" s="79"/>
      <c r="AG198" s="79"/>
      <c r="AH198" s="245"/>
      <c r="AI198" s="245"/>
      <c r="AJ198" s="245"/>
      <c r="AK198" s="245"/>
      <c r="AL198" s="245"/>
      <c r="AM198" s="215"/>
      <c r="AN198" s="215"/>
      <c r="AO198" s="215"/>
      <c r="AP198" s="7"/>
      <c r="AQ198" s="7"/>
      <c r="AR198" s="7"/>
      <c r="AS198" s="7"/>
      <c r="AT198" s="7"/>
      <c r="AU198" s="7"/>
      <c r="AV198" s="7"/>
      <c r="AW198" s="7"/>
      <c r="AX198" s="7"/>
      <c r="AY198" s="7"/>
      <c r="AZ198" s="7"/>
      <c r="BA198" s="7"/>
      <c r="BB198" s="7"/>
      <c r="BC198" s="7"/>
    </row>
    <row r="199" s="90" customFormat="true" ht="10.5" hidden="false" customHeight="true" outlineLevel="0" collapsed="false">
      <c r="A199" s="79" t="s">
        <v>342</v>
      </c>
      <c r="B199" s="79"/>
      <c r="C199" s="79"/>
      <c r="D199" s="79"/>
      <c r="E199" s="79"/>
      <c r="F199" s="79"/>
      <c r="G199" s="79"/>
      <c r="H199" s="79"/>
      <c r="I199" s="79"/>
      <c r="J199" s="79"/>
      <c r="K199" s="79"/>
      <c r="L199" s="79"/>
      <c r="M199" s="79"/>
      <c r="N199" s="245"/>
      <c r="O199" s="245"/>
      <c r="P199" s="245"/>
      <c r="Q199" s="245"/>
      <c r="R199" s="245"/>
      <c r="S199" s="183"/>
      <c r="T199" s="183"/>
      <c r="U199" s="79" t="s">
        <v>343</v>
      </c>
      <c r="V199" s="79"/>
      <c r="W199" s="79"/>
      <c r="X199" s="79"/>
      <c r="Y199" s="79"/>
      <c r="Z199" s="79"/>
      <c r="AA199" s="79"/>
      <c r="AB199" s="79"/>
      <c r="AC199" s="79"/>
      <c r="AD199" s="79"/>
      <c r="AE199" s="79"/>
      <c r="AF199" s="79"/>
      <c r="AG199" s="79"/>
      <c r="AH199" s="245"/>
      <c r="AI199" s="245"/>
      <c r="AJ199" s="245"/>
      <c r="AK199" s="245"/>
      <c r="AL199" s="245"/>
      <c r="AM199" s="215"/>
      <c r="AN199" s="215"/>
      <c r="AO199" s="215"/>
      <c r="AP199" s="7"/>
      <c r="AQ199" s="7"/>
      <c r="AR199" s="7"/>
      <c r="AS199" s="7"/>
      <c r="AT199" s="7"/>
      <c r="AU199" s="7"/>
      <c r="AV199" s="7"/>
      <c r="AW199" s="7"/>
      <c r="AX199" s="7"/>
      <c r="AY199" s="7"/>
      <c r="AZ199" s="7"/>
      <c r="BA199" s="7"/>
      <c r="BB199" s="7"/>
      <c r="BC199" s="7"/>
    </row>
    <row r="200" s="90" customFormat="true" ht="10.5" hidden="false" customHeight="true" outlineLevel="0" collapsed="false">
      <c r="A200" s="79" t="s">
        <v>344</v>
      </c>
      <c r="B200" s="79"/>
      <c r="C200" s="79"/>
      <c r="D200" s="79"/>
      <c r="E200" s="79"/>
      <c r="F200" s="79"/>
      <c r="G200" s="79"/>
      <c r="H200" s="79"/>
      <c r="I200" s="79"/>
      <c r="J200" s="79"/>
      <c r="K200" s="79"/>
      <c r="L200" s="79"/>
      <c r="M200" s="79"/>
      <c r="N200" s="245"/>
      <c r="O200" s="245"/>
      <c r="P200" s="245"/>
      <c r="Q200" s="245"/>
      <c r="R200" s="245"/>
      <c r="S200" s="183"/>
      <c r="T200" s="183"/>
      <c r="U200" s="79" t="s">
        <v>345</v>
      </c>
      <c r="V200" s="79"/>
      <c r="W200" s="79"/>
      <c r="X200" s="79"/>
      <c r="Y200" s="79"/>
      <c r="Z200" s="79"/>
      <c r="AA200" s="79"/>
      <c r="AB200" s="79"/>
      <c r="AC200" s="79"/>
      <c r="AD200" s="79"/>
      <c r="AE200" s="79"/>
      <c r="AF200" s="79"/>
      <c r="AG200" s="79"/>
      <c r="AH200" s="245"/>
      <c r="AI200" s="245"/>
      <c r="AJ200" s="245"/>
      <c r="AK200" s="245"/>
      <c r="AL200" s="245"/>
      <c r="AM200" s="215"/>
      <c r="AN200" s="215"/>
      <c r="AO200" s="215"/>
      <c r="AP200" s="7"/>
      <c r="AQ200" s="7"/>
      <c r="AR200" s="7"/>
      <c r="AS200" s="7"/>
      <c r="AT200" s="7"/>
      <c r="AU200" s="7"/>
      <c r="AV200" s="7"/>
      <c r="AW200" s="7"/>
      <c r="AX200" s="7"/>
      <c r="AY200" s="7"/>
      <c r="AZ200" s="7"/>
      <c r="BA200" s="7"/>
      <c r="BB200" s="7"/>
      <c r="BC200" s="7"/>
    </row>
    <row r="201" s="90" customFormat="true" ht="10.5" hidden="false" customHeight="true" outlineLevel="0" collapsed="false">
      <c r="A201" s="79" t="s">
        <v>346</v>
      </c>
      <c r="B201" s="79"/>
      <c r="C201" s="79"/>
      <c r="D201" s="79"/>
      <c r="E201" s="79"/>
      <c r="F201" s="79"/>
      <c r="G201" s="79"/>
      <c r="H201" s="79"/>
      <c r="I201" s="79"/>
      <c r="J201" s="79"/>
      <c r="K201" s="79"/>
      <c r="L201" s="79"/>
      <c r="M201" s="79"/>
      <c r="N201" s="245" t="n">
        <v>5450</v>
      </c>
      <c r="O201" s="245"/>
      <c r="P201" s="245"/>
      <c r="Q201" s="245"/>
      <c r="R201" s="245"/>
      <c r="S201" s="183"/>
      <c r="T201" s="183"/>
      <c r="U201" s="246" t="s">
        <v>347</v>
      </c>
      <c r="V201" s="246"/>
      <c r="W201" s="246"/>
      <c r="X201" s="246"/>
      <c r="Y201" s="246"/>
      <c r="Z201" s="246"/>
      <c r="AA201" s="246"/>
      <c r="AB201" s="246"/>
      <c r="AC201" s="246"/>
      <c r="AD201" s="246"/>
      <c r="AE201" s="246"/>
      <c r="AF201" s="246"/>
      <c r="AG201" s="246"/>
      <c r="AH201" s="226" t="n">
        <f aca="false">SUM(AH197:AO200)</f>
        <v>0</v>
      </c>
      <c r="AI201" s="226"/>
      <c r="AJ201" s="226"/>
      <c r="AK201" s="226"/>
      <c r="AL201" s="226"/>
      <c r="AM201" s="215"/>
      <c r="AN201" s="215"/>
      <c r="AO201" s="215"/>
      <c r="AP201" s="7"/>
      <c r="AQ201" s="7"/>
      <c r="AR201" s="7"/>
      <c r="AS201" s="7"/>
      <c r="AT201" s="7"/>
      <c r="AU201" s="7"/>
      <c r="AV201" s="7"/>
      <c r="AW201" s="7"/>
      <c r="AX201" s="7"/>
      <c r="AY201" s="7"/>
      <c r="AZ201" s="7"/>
      <c r="BA201" s="7"/>
      <c r="BB201" s="7"/>
      <c r="BC201" s="7"/>
    </row>
    <row r="202" s="90" customFormat="true" ht="10.5" hidden="false" customHeight="true" outlineLevel="0" collapsed="false">
      <c r="A202" s="246" t="s">
        <v>348</v>
      </c>
      <c r="B202" s="246"/>
      <c r="C202" s="246"/>
      <c r="D202" s="246"/>
      <c r="E202" s="246"/>
      <c r="F202" s="246"/>
      <c r="G202" s="246"/>
      <c r="H202" s="246"/>
      <c r="I202" s="246"/>
      <c r="J202" s="246"/>
      <c r="K202" s="246"/>
      <c r="L202" s="246"/>
      <c r="M202" s="246"/>
      <c r="N202" s="247" t="n">
        <f aca="false">SUM(N197:R201)</f>
        <v>5450</v>
      </c>
      <c r="O202" s="247"/>
      <c r="P202" s="247"/>
      <c r="Q202" s="247"/>
      <c r="R202" s="247"/>
      <c r="S202" s="183"/>
      <c r="T202" s="183"/>
      <c r="U202" s="248" t="s">
        <v>349</v>
      </c>
      <c r="V202" s="248"/>
      <c r="W202" s="248"/>
      <c r="X202" s="248"/>
      <c r="Y202" s="248"/>
      <c r="Z202" s="248"/>
      <c r="AA202" s="248"/>
      <c r="AB202" s="248"/>
      <c r="AC202" s="248"/>
      <c r="AD202" s="248"/>
      <c r="AE202" s="248"/>
      <c r="AF202" s="248"/>
      <c r="AG202" s="248"/>
      <c r="AH202" s="249" t="n">
        <v>55395.85</v>
      </c>
      <c r="AI202" s="249"/>
      <c r="AJ202" s="249"/>
      <c r="AK202" s="249"/>
      <c r="AL202" s="249"/>
      <c r="AM202" s="215"/>
      <c r="AN202" s="215"/>
      <c r="AO202" s="215"/>
      <c r="AP202" s="7"/>
      <c r="AQ202" s="7"/>
      <c r="AR202" s="7"/>
      <c r="AS202" s="7"/>
      <c r="AT202" s="7"/>
      <c r="AU202" s="7"/>
      <c r="AV202" s="7"/>
      <c r="AW202" s="7"/>
      <c r="AX202" s="7"/>
      <c r="AY202" s="7"/>
      <c r="AZ202" s="7"/>
      <c r="BA202" s="7"/>
      <c r="BB202" s="7"/>
      <c r="BC202" s="7"/>
    </row>
    <row r="203" s="90" customFormat="true" ht="10.5" hidden="false" customHeight="true" outlineLevel="0" collapsed="false">
      <c r="A203" s="248" t="s">
        <v>350</v>
      </c>
      <c r="B203" s="248"/>
      <c r="C203" s="248"/>
      <c r="D203" s="248"/>
      <c r="E203" s="248"/>
      <c r="F203" s="248"/>
      <c r="G203" s="248"/>
      <c r="H203" s="248"/>
      <c r="I203" s="248"/>
      <c r="J203" s="248"/>
      <c r="K203" s="248"/>
      <c r="L203" s="248"/>
      <c r="M203" s="248"/>
      <c r="N203" s="249"/>
      <c r="O203" s="249"/>
      <c r="P203" s="249"/>
      <c r="Q203" s="249"/>
      <c r="R203" s="249"/>
      <c r="S203" s="183"/>
      <c r="T203" s="183"/>
      <c r="U203" s="79" t="s">
        <v>351</v>
      </c>
      <c r="V203" s="79"/>
      <c r="W203" s="79"/>
      <c r="X203" s="79"/>
      <c r="Y203" s="79"/>
      <c r="Z203" s="79"/>
      <c r="AA203" s="79"/>
      <c r="AB203" s="79"/>
      <c r="AC203" s="79"/>
      <c r="AD203" s="79"/>
      <c r="AE203" s="79"/>
      <c r="AF203" s="79"/>
      <c r="AG203" s="79"/>
      <c r="AH203" s="245" t="n">
        <v>51221.6</v>
      </c>
      <c r="AI203" s="245"/>
      <c r="AJ203" s="245"/>
      <c r="AK203" s="245"/>
      <c r="AL203" s="245"/>
      <c r="AM203" s="215"/>
      <c r="AN203" s="215"/>
      <c r="AO203" s="215"/>
      <c r="AP203" s="7"/>
      <c r="AQ203" s="7"/>
      <c r="AR203" s="7"/>
      <c r="AS203" s="7"/>
      <c r="AT203" s="7"/>
      <c r="AU203" s="7"/>
      <c r="AV203" s="7"/>
      <c r="AW203" s="7"/>
      <c r="AX203" s="7"/>
      <c r="AY203" s="7"/>
      <c r="AZ203" s="7"/>
      <c r="BA203" s="7"/>
      <c r="BB203" s="7"/>
      <c r="BC203" s="7"/>
    </row>
    <row r="204" s="90" customFormat="true" ht="10.5" hidden="false" customHeight="true" outlineLevel="0" collapsed="false">
      <c r="A204" s="79" t="s">
        <v>352</v>
      </c>
      <c r="B204" s="79"/>
      <c r="C204" s="79"/>
      <c r="D204" s="79"/>
      <c r="E204" s="79"/>
      <c r="F204" s="79"/>
      <c r="G204" s="79"/>
      <c r="H204" s="79"/>
      <c r="I204" s="79"/>
      <c r="J204" s="79"/>
      <c r="K204" s="79"/>
      <c r="L204" s="79"/>
      <c r="M204" s="79"/>
      <c r="N204" s="245"/>
      <c r="O204" s="245"/>
      <c r="P204" s="245"/>
      <c r="Q204" s="245"/>
      <c r="R204" s="245"/>
      <c r="S204" s="183"/>
      <c r="T204" s="183"/>
      <c r="U204" s="79" t="s">
        <v>353</v>
      </c>
      <c r="V204" s="79"/>
      <c r="W204" s="79"/>
      <c r="X204" s="79"/>
      <c r="Y204" s="79"/>
      <c r="Z204" s="79"/>
      <c r="AA204" s="79"/>
      <c r="AB204" s="79"/>
      <c r="AC204" s="79"/>
      <c r="AD204" s="79"/>
      <c r="AE204" s="79"/>
      <c r="AF204" s="79"/>
      <c r="AG204" s="79"/>
      <c r="AH204" s="245"/>
      <c r="AI204" s="245"/>
      <c r="AJ204" s="245"/>
      <c r="AK204" s="245"/>
      <c r="AL204" s="245"/>
      <c r="AM204" s="215"/>
      <c r="AN204" s="215"/>
      <c r="AO204" s="215"/>
      <c r="AP204" s="7"/>
      <c r="AQ204" s="7"/>
      <c r="AR204" s="7"/>
      <c r="AS204" s="7"/>
      <c r="AT204" s="7"/>
      <c r="AU204" s="7"/>
      <c r="AV204" s="7"/>
      <c r="AW204" s="7"/>
      <c r="AX204" s="7"/>
      <c r="AY204" s="7"/>
      <c r="AZ204" s="7"/>
      <c r="BA204" s="7"/>
      <c r="BB204" s="7"/>
      <c r="BC204" s="7"/>
    </row>
    <row r="205" s="90" customFormat="true" ht="10.5" hidden="false" customHeight="true" outlineLevel="0" collapsed="false">
      <c r="A205" s="79" t="s">
        <v>354</v>
      </c>
      <c r="B205" s="79"/>
      <c r="C205" s="79"/>
      <c r="D205" s="79"/>
      <c r="E205" s="79"/>
      <c r="F205" s="79"/>
      <c r="G205" s="79"/>
      <c r="H205" s="79"/>
      <c r="I205" s="79"/>
      <c r="J205" s="79"/>
      <c r="K205" s="79"/>
      <c r="L205" s="79"/>
      <c r="M205" s="79"/>
      <c r="N205" s="245"/>
      <c r="O205" s="245"/>
      <c r="P205" s="245"/>
      <c r="Q205" s="245"/>
      <c r="R205" s="245"/>
      <c r="S205" s="183"/>
      <c r="T205" s="183"/>
      <c r="U205" s="246" t="s">
        <v>355</v>
      </c>
      <c r="V205" s="246"/>
      <c r="W205" s="246"/>
      <c r="X205" s="246"/>
      <c r="Y205" s="246"/>
      <c r="Z205" s="246"/>
      <c r="AA205" s="246"/>
      <c r="AB205" s="246"/>
      <c r="AC205" s="246"/>
      <c r="AD205" s="246"/>
      <c r="AE205" s="246"/>
      <c r="AF205" s="246"/>
      <c r="AG205" s="246"/>
      <c r="AH205" s="226" t="n">
        <f aca="false">SUM(AH202:AO204)</f>
        <v>106617.45</v>
      </c>
      <c r="AI205" s="226"/>
      <c r="AJ205" s="226"/>
      <c r="AK205" s="226"/>
      <c r="AL205" s="226"/>
      <c r="AM205" s="215"/>
      <c r="AN205" s="215"/>
      <c r="AO205" s="215"/>
      <c r="AP205" s="7"/>
      <c r="AQ205" s="7"/>
      <c r="AR205" s="7"/>
      <c r="AS205" s="7"/>
      <c r="AT205" s="7"/>
      <c r="AU205" s="7"/>
      <c r="AV205" s="7"/>
      <c r="AW205" s="7"/>
      <c r="AX205" s="7"/>
      <c r="AY205" s="7"/>
      <c r="AZ205" s="7"/>
      <c r="BA205" s="7"/>
      <c r="BB205" s="7"/>
      <c r="BC205" s="7"/>
    </row>
    <row r="206" s="90" customFormat="true" ht="10.5" hidden="false" customHeight="true" outlineLevel="0" collapsed="false">
      <c r="A206" s="250" t="s">
        <v>356</v>
      </c>
      <c r="B206" s="250"/>
      <c r="C206" s="250"/>
      <c r="D206" s="250"/>
      <c r="E206" s="250"/>
      <c r="F206" s="250"/>
      <c r="G206" s="250"/>
      <c r="H206" s="250"/>
      <c r="I206" s="250"/>
      <c r="J206" s="250"/>
      <c r="K206" s="250"/>
      <c r="L206" s="250"/>
      <c r="M206" s="250"/>
      <c r="N206" s="251" t="n">
        <f aca="false">SUM(N203:R205)</f>
        <v>0</v>
      </c>
      <c r="O206" s="251"/>
      <c r="P206" s="251"/>
      <c r="Q206" s="251"/>
      <c r="R206" s="251"/>
      <c r="S206" s="183"/>
      <c r="T206" s="183"/>
      <c r="U206" s="252"/>
      <c r="V206" s="252"/>
      <c r="W206" s="252"/>
      <c r="X206" s="252"/>
      <c r="Y206" s="252"/>
      <c r="Z206" s="252"/>
      <c r="AA206" s="252"/>
      <c r="AB206" s="252"/>
      <c r="AC206" s="252"/>
      <c r="AD206" s="252"/>
      <c r="AE206" s="252"/>
      <c r="AF206" s="252"/>
      <c r="AG206" s="252"/>
      <c r="AH206" s="252"/>
      <c r="AI206" s="252"/>
      <c r="AJ206" s="252"/>
      <c r="AK206" s="252"/>
      <c r="AL206" s="252"/>
      <c r="AM206" s="252"/>
      <c r="AN206" s="252"/>
      <c r="AO206" s="252"/>
      <c r="AP206" s="7"/>
      <c r="AQ206" s="7"/>
      <c r="AR206" s="7"/>
      <c r="AS206" s="7"/>
      <c r="AT206" s="7"/>
      <c r="AU206" s="7"/>
      <c r="AV206" s="7"/>
      <c r="AW206" s="7"/>
      <c r="AX206" s="7"/>
      <c r="AY206" s="7"/>
      <c r="AZ206" s="7"/>
      <c r="BA206" s="7"/>
      <c r="BB206" s="7"/>
      <c r="BC206" s="7"/>
    </row>
    <row r="207" s="90" customFormat="true" ht="10.5" hidden="false" customHeight="true" outlineLevel="0" collapsed="false">
      <c r="A207" s="248" t="s">
        <v>357</v>
      </c>
      <c r="B207" s="248"/>
      <c r="C207" s="248"/>
      <c r="D207" s="248"/>
      <c r="E207" s="248"/>
      <c r="F207" s="248"/>
      <c r="G207" s="248"/>
      <c r="H207" s="248"/>
      <c r="I207" s="248"/>
      <c r="J207" s="248"/>
      <c r="K207" s="248"/>
      <c r="L207" s="248"/>
      <c r="M207" s="248"/>
      <c r="N207" s="249" t="n">
        <v>8000</v>
      </c>
      <c r="O207" s="249"/>
      <c r="P207" s="249"/>
      <c r="Q207" s="249"/>
      <c r="R207" s="249"/>
      <c r="S207" s="183"/>
      <c r="T207" s="183"/>
      <c r="U207" s="152" t="s">
        <v>358</v>
      </c>
      <c r="V207" s="152"/>
      <c r="W207" s="152"/>
      <c r="X207" s="152"/>
      <c r="Y207" s="152"/>
      <c r="Z207" s="152"/>
      <c r="AA207" s="152"/>
      <c r="AB207" s="152"/>
      <c r="AC207" s="152"/>
      <c r="AD207" s="152"/>
      <c r="AE207" s="152"/>
      <c r="AF207" s="152"/>
      <c r="AG207" s="152"/>
      <c r="AH207" s="253" t="n">
        <f aca="false">AH201+AH205</f>
        <v>106617.45</v>
      </c>
      <c r="AI207" s="253"/>
      <c r="AJ207" s="253"/>
      <c r="AK207" s="253"/>
      <c r="AL207" s="253"/>
      <c r="AM207" s="254"/>
      <c r="AN207" s="254"/>
      <c r="AO207" s="254"/>
      <c r="AP207" s="7"/>
      <c r="AQ207" s="7"/>
      <c r="AR207" s="7"/>
      <c r="AS207" s="7"/>
      <c r="AT207" s="7"/>
      <c r="AU207" s="7"/>
      <c r="AV207" s="7"/>
      <c r="AW207" s="7"/>
      <c r="AX207" s="7"/>
      <c r="AY207" s="7"/>
      <c r="AZ207" s="7"/>
      <c r="BA207" s="7"/>
      <c r="BB207" s="7"/>
      <c r="BC207" s="7"/>
    </row>
    <row r="208" s="90" customFormat="true" ht="10.5" hidden="false" customHeight="true" outlineLevel="0" collapsed="false">
      <c r="A208" s="79" t="s">
        <v>359</v>
      </c>
      <c r="B208" s="79"/>
      <c r="C208" s="79"/>
      <c r="D208" s="79"/>
      <c r="E208" s="79"/>
      <c r="F208" s="79"/>
      <c r="G208" s="79"/>
      <c r="H208" s="79"/>
      <c r="I208" s="79"/>
      <c r="J208" s="79"/>
      <c r="K208" s="79"/>
      <c r="L208" s="79"/>
      <c r="M208" s="79"/>
      <c r="N208" s="245"/>
      <c r="O208" s="245"/>
      <c r="P208" s="245"/>
      <c r="Q208" s="245"/>
      <c r="R208" s="245"/>
      <c r="S208" s="183"/>
      <c r="T208" s="183"/>
      <c r="AO208" s="91"/>
      <c r="AP208" s="7"/>
      <c r="AQ208" s="7"/>
      <c r="AR208" s="7"/>
      <c r="AS208" s="7"/>
      <c r="AT208" s="7"/>
      <c r="AU208" s="7"/>
      <c r="AV208" s="7"/>
      <c r="AW208" s="7"/>
      <c r="AX208" s="7"/>
      <c r="AY208" s="7"/>
      <c r="AZ208" s="7"/>
      <c r="BA208" s="7"/>
      <c r="BB208" s="7"/>
      <c r="BC208" s="7"/>
    </row>
    <row r="209" s="90" customFormat="true" ht="10.5" hidden="false" customHeight="true" outlineLevel="0" collapsed="false">
      <c r="A209" s="79" t="s">
        <v>360</v>
      </c>
      <c r="B209" s="79"/>
      <c r="C209" s="79"/>
      <c r="D209" s="79"/>
      <c r="E209" s="79"/>
      <c r="F209" s="79"/>
      <c r="G209" s="79"/>
      <c r="H209" s="79"/>
      <c r="I209" s="79"/>
      <c r="J209" s="79"/>
      <c r="K209" s="79"/>
      <c r="L209" s="79"/>
      <c r="M209" s="79"/>
      <c r="N209" s="245" t="n">
        <v>150000</v>
      </c>
      <c r="O209" s="245"/>
      <c r="P209" s="245"/>
      <c r="Q209" s="245"/>
      <c r="R209" s="245"/>
      <c r="S209" s="183"/>
      <c r="T209" s="183"/>
      <c r="AO209" s="91"/>
      <c r="AP209" s="7"/>
      <c r="AQ209" s="7"/>
      <c r="AR209" s="7"/>
      <c r="AS209" s="7"/>
      <c r="AT209" s="7"/>
      <c r="AU209" s="7"/>
      <c r="AV209" s="7"/>
      <c r="AW209" s="7"/>
      <c r="AX209" s="7"/>
      <c r="AY209" s="7"/>
      <c r="AZ209" s="7"/>
      <c r="BA209" s="7"/>
      <c r="BB209" s="7"/>
      <c r="BC209" s="7"/>
    </row>
    <row r="210" s="90" customFormat="true" ht="10.5" hidden="false" customHeight="true" outlineLevel="0" collapsed="false">
      <c r="A210" s="79" t="s">
        <v>361</v>
      </c>
      <c r="B210" s="79"/>
      <c r="C210" s="79"/>
      <c r="D210" s="79"/>
      <c r="E210" s="79"/>
      <c r="F210" s="79"/>
      <c r="G210" s="79"/>
      <c r="H210" s="79"/>
      <c r="I210" s="79"/>
      <c r="J210" s="79"/>
      <c r="K210" s="79"/>
      <c r="L210" s="79"/>
      <c r="M210" s="79"/>
      <c r="N210" s="245"/>
      <c r="O210" s="245"/>
      <c r="P210" s="245"/>
      <c r="Q210" s="245"/>
      <c r="R210" s="245"/>
      <c r="S210" s="183"/>
      <c r="T210" s="183"/>
      <c r="U210" s="72" t="s">
        <v>362</v>
      </c>
      <c r="V210" s="72"/>
      <c r="W210" s="72"/>
      <c r="X210" s="72"/>
      <c r="Y210" s="72"/>
      <c r="Z210" s="72"/>
      <c r="AA210" s="72"/>
      <c r="AB210" s="72"/>
      <c r="AC210" s="72"/>
      <c r="AD210" s="72"/>
      <c r="AE210" s="72"/>
      <c r="AF210" s="72"/>
      <c r="AG210" s="72"/>
      <c r="AH210" s="147" t="n">
        <f aca="false">N214-AH207</f>
        <v>56832.55</v>
      </c>
      <c r="AI210" s="147"/>
      <c r="AJ210" s="147"/>
      <c r="AK210" s="147"/>
      <c r="AL210" s="147"/>
      <c r="AM210" s="254"/>
      <c r="AN210" s="254"/>
      <c r="AO210" s="254"/>
      <c r="AP210" s="7"/>
      <c r="AQ210" s="7"/>
      <c r="AR210" s="7"/>
      <c r="AS210" s="7"/>
      <c r="AT210" s="7"/>
      <c r="AU210" s="7"/>
      <c r="AV210" s="7"/>
      <c r="AW210" s="7"/>
      <c r="AX210" s="7"/>
      <c r="AY210" s="7"/>
      <c r="AZ210" s="7"/>
      <c r="BA210" s="7"/>
      <c r="BB210" s="7"/>
      <c r="BC210" s="7"/>
    </row>
    <row r="211" s="90" customFormat="true" ht="10.5" hidden="false" customHeight="true" outlineLevel="0" collapsed="false">
      <c r="A211" s="79" t="s">
        <v>363</v>
      </c>
      <c r="B211" s="79"/>
      <c r="C211" s="79"/>
      <c r="D211" s="79"/>
      <c r="E211" s="79"/>
      <c r="F211" s="79"/>
      <c r="G211" s="79"/>
      <c r="H211" s="79"/>
      <c r="I211" s="79"/>
      <c r="J211" s="79"/>
      <c r="K211" s="79"/>
      <c r="L211" s="79"/>
      <c r="M211" s="79"/>
      <c r="N211" s="245"/>
      <c r="O211" s="245"/>
      <c r="P211" s="245"/>
      <c r="Q211" s="245"/>
      <c r="R211" s="245"/>
      <c r="S211" s="183"/>
      <c r="T211" s="183"/>
      <c r="AO211" s="91"/>
      <c r="AP211" s="7"/>
      <c r="AQ211" s="7"/>
      <c r="AR211" s="7"/>
      <c r="AS211" s="7"/>
      <c r="AT211" s="7"/>
      <c r="AU211" s="7"/>
      <c r="AV211" s="7"/>
      <c r="AW211" s="7"/>
      <c r="AX211" s="7"/>
      <c r="AY211" s="7"/>
      <c r="AZ211" s="7"/>
      <c r="BA211" s="7"/>
      <c r="BB211" s="7"/>
      <c r="BC211" s="7"/>
    </row>
    <row r="212" s="90" customFormat="true" ht="10.5" hidden="false" customHeight="true" outlineLevel="0" collapsed="false">
      <c r="A212" s="246" t="s">
        <v>364</v>
      </c>
      <c r="B212" s="246"/>
      <c r="C212" s="246"/>
      <c r="D212" s="246"/>
      <c r="E212" s="246"/>
      <c r="F212" s="246"/>
      <c r="G212" s="246"/>
      <c r="H212" s="246"/>
      <c r="I212" s="246"/>
      <c r="J212" s="246"/>
      <c r="K212" s="246"/>
      <c r="L212" s="246"/>
      <c r="M212" s="246"/>
      <c r="N212" s="247" t="n">
        <f aca="false">SUM(N207:R211)</f>
        <v>158000</v>
      </c>
      <c r="O212" s="247"/>
      <c r="P212" s="247"/>
      <c r="Q212" s="247"/>
      <c r="R212" s="247"/>
      <c r="S212" s="183"/>
      <c r="T212" s="183"/>
      <c r="AO212" s="91"/>
      <c r="AP212" s="7"/>
      <c r="AQ212" s="7"/>
      <c r="AR212" s="7"/>
      <c r="AS212" s="7"/>
      <c r="AT212" s="7"/>
      <c r="AU212" s="7"/>
      <c r="AV212" s="7"/>
      <c r="AW212" s="7"/>
      <c r="AX212" s="7"/>
      <c r="AY212" s="7"/>
      <c r="AZ212" s="7"/>
      <c r="BA212" s="7"/>
      <c r="BB212" s="7"/>
      <c r="BC212" s="7"/>
    </row>
    <row r="213" s="90" customFormat="true" ht="3" hidden="false" customHeight="true" outlineLevel="0" collapsed="false">
      <c r="A213" s="255"/>
      <c r="B213" s="255"/>
      <c r="C213" s="255"/>
      <c r="D213" s="255"/>
      <c r="E213" s="255"/>
      <c r="F213" s="255"/>
      <c r="G213" s="255"/>
      <c r="H213" s="255"/>
      <c r="I213" s="255"/>
      <c r="J213" s="255"/>
      <c r="K213" s="255"/>
      <c r="L213" s="255"/>
      <c r="M213" s="255"/>
      <c r="N213" s="255"/>
      <c r="O213" s="255"/>
      <c r="P213" s="255"/>
      <c r="Q213" s="255"/>
      <c r="R213" s="255"/>
      <c r="S213" s="183"/>
      <c r="T213" s="183"/>
      <c r="AO213" s="91"/>
      <c r="AP213" s="7"/>
      <c r="AQ213" s="7"/>
      <c r="AR213" s="7"/>
      <c r="AS213" s="7"/>
      <c r="AT213" s="7"/>
      <c r="AU213" s="7"/>
      <c r="AV213" s="7"/>
      <c r="AW213" s="7"/>
      <c r="AX213" s="7"/>
      <c r="AY213" s="7"/>
      <c r="AZ213" s="7"/>
      <c r="BA213" s="7"/>
      <c r="BB213" s="7"/>
      <c r="BC213" s="7"/>
    </row>
    <row r="214" s="90" customFormat="true" ht="10.5" hidden="false" customHeight="true" outlineLevel="0" collapsed="false">
      <c r="A214" s="72" t="s">
        <v>365</v>
      </c>
      <c r="B214" s="72"/>
      <c r="C214" s="72"/>
      <c r="D214" s="72"/>
      <c r="E214" s="72"/>
      <c r="F214" s="72"/>
      <c r="G214" s="72"/>
      <c r="H214" s="72"/>
      <c r="I214" s="72"/>
      <c r="J214" s="72"/>
      <c r="K214" s="72"/>
      <c r="L214" s="72"/>
      <c r="M214" s="72"/>
      <c r="N214" s="147" t="n">
        <f aca="false">N202+N206+N212</f>
        <v>163450</v>
      </c>
      <c r="O214" s="147"/>
      <c r="P214" s="147"/>
      <c r="Q214" s="147"/>
      <c r="R214" s="147"/>
      <c r="S214" s="183"/>
      <c r="T214" s="183"/>
      <c r="U214" s="152" t="s">
        <v>366</v>
      </c>
      <c r="V214" s="152"/>
      <c r="W214" s="152"/>
      <c r="X214" s="152"/>
      <c r="Y214" s="152"/>
      <c r="Z214" s="152"/>
      <c r="AA214" s="152"/>
      <c r="AB214" s="152"/>
      <c r="AC214" s="152"/>
      <c r="AD214" s="152"/>
      <c r="AE214" s="152"/>
      <c r="AF214" s="152"/>
      <c r="AG214" s="152"/>
      <c r="AH214" s="253" t="n">
        <f aca="false">AH207+AH210</f>
        <v>163450</v>
      </c>
      <c r="AI214" s="253"/>
      <c r="AJ214" s="253"/>
      <c r="AK214" s="253"/>
      <c r="AL214" s="253"/>
      <c r="AM214" s="256"/>
      <c r="AN214" s="130"/>
      <c r="AO214" s="130"/>
      <c r="AP214" s="38"/>
      <c r="AQ214" s="7"/>
      <c r="AR214" s="7"/>
      <c r="AS214" s="7"/>
      <c r="AT214" s="7"/>
      <c r="AU214" s="7"/>
      <c r="AV214" s="7"/>
      <c r="AW214" s="7"/>
      <c r="AX214" s="7"/>
      <c r="AY214" s="7"/>
      <c r="AZ214" s="7"/>
      <c r="BA214" s="7"/>
      <c r="BB214" s="7"/>
      <c r="BC214" s="7"/>
    </row>
    <row r="215" s="90" customFormat="true" ht="3" hidden="false" customHeight="true" outlineLevel="0" collapsed="false">
      <c r="A215" s="257"/>
      <c r="B215" s="257"/>
      <c r="C215" s="257"/>
      <c r="D215" s="257"/>
      <c r="E215" s="257"/>
      <c r="F215" s="257"/>
      <c r="G215" s="257"/>
      <c r="H215" s="257"/>
      <c r="I215" s="257"/>
      <c r="J215" s="257"/>
      <c r="K215" s="257"/>
      <c r="L215" s="257"/>
      <c r="M215" s="257"/>
      <c r="N215" s="257"/>
      <c r="O215" s="257"/>
      <c r="P215" s="257"/>
      <c r="Q215" s="257"/>
      <c r="R215" s="257"/>
      <c r="S215" s="257"/>
      <c r="T215" s="257"/>
      <c r="U215" s="257"/>
      <c r="V215" s="257"/>
      <c r="W215" s="257"/>
      <c r="X215" s="257"/>
      <c r="Y215" s="257"/>
      <c r="Z215" s="257"/>
      <c r="AA215" s="257"/>
      <c r="AB215" s="257"/>
      <c r="AC215" s="257"/>
      <c r="AD215" s="257"/>
      <c r="AE215" s="257"/>
      <c r="AF215" s="257"/>
      <c r="AG215" s="257"/>
      <c r="AH215" s="257"/>
      <c r="AI215" s="257"/>
      <c r="AJ215" s="257"/>
      <c r="AK215" s="257"/>
      <c r="AL215" s="257"/>
      <c r="AM215" s="257"/>
      <c r="AN215" s="257"/>
      <c r="AO215" s="257"/>
      <c r="AP215" s="38"/>
      <c r="AQ215" s="7"/>
      <c r="AR215" s="7"/>
      <c r="AS215" s="7"/>
      <c r="AT215" s="7"/>
      <c r="AU215" s="7"/>
      <c r="AV215" s="7"/>
      <c r="AW215" s="7"/>
      <c r="AX215" s="7"/>
      <c r="AY215" s="7"/>
      <c r="AZ215" s="7"/>
      <c r="BA215" s="7"/>
      <c r="BB215" s="7"/>
      <c r="BC215" s="7"/>
    </row>
    <row r="216" s="90" customFormat="true" ht="3" hidden="false" customHeight="true" outlineLevel="0" collapsed="false">
      <c r="A216" s="257"/>
      <c r="B216" s="257"/>
      <c r="C216" s="257"/>
      <c r="D216" s="257"/>
      <c r="E216" s="257"/>
      <c r="F216" s="257"/>
      <c r="G216" s="257"/>
      <c r="H216" s="257"/>
      <c r="I216" s="257"/>
      <c r="J216" s="257"/>
      <c r="K216" s="257"/>
      <c r="L216" s="257"/>
      <c r="M216" s="257"/>
      <c r="N216" s="257"/>
      <c r="O216" s="257"/>
      <c r="P216" s="257"/>
      <c r="Q216" s="257"/>
      <c r="R216" s="257"/>
      <c r="S216" s="257"/>
      <c r="T216" s="257"/>
      <c r="U216" s="257"/>
      <c r="V216" s="257"/>
      <c r="W216" s="257"/>
      <c r="X216" s="257"/>
      <c r="Y216" s="257"/>
      <c r="Z216" s="257"/>
      <c r="AA216" s="257"/>
      <c r="AB216" s="257"/>
      <c r="AC216" s="257"/>
      <c r="AD216" s="257"/>
      <c r="AE216" s="257"/>
      <c r="AF216" s="257"/>
      <c r="AG216" s="257"/>
      <c r="AH216" s="257"/>
      <c r="AI216" s="257"/>
      <c r="AJ216" s="257"/>
      <c r="AK216" s="257"/>
      <c r="AL216" s="257"/>
      <c r="AM216" s="257"/>
      <c r="AN216" s="257"/>
      <c r="AO216" s="257"/>
      <c r="AP216" s="38"/>
      <c r="AQ216" s="7"/>
      <c r="AR216" s="7"/>
      <c r="AS216" s="7"/>
      <c r="AT216" s="7"/>
      <c r="AU216" s="7"/>
      <c r="AV216" s="7"/>
      <c r="AW216" s="7"/>
      <c r="AX216" s="7"/>
      <c r="AY216" s="7"/>
      <c r="AZ216" s="7"/>
      <c r="BA216" s="7"/>
      <c r="BB216" s="7"/>
      <c r="BC216" s="7"/>
    </row>
    <row r="217" s="90" customFormat="true" ht="10.5" hidden="false" customHeight="true" outlineLevel="0" collapsed="false">
      <c r="A217" s="136" t="s">
        <v>367</v>
      </c>
      <c r="B217" s="136"/>
      <c r="C217" s="136"/>
      <c r="D217" s="136"/>
      <c r="E217" s="136"/>
      <c r="F217" s="136"/>
      <c r="G217" s="136"/>
      <c r="H217" s="136"/>
      <c r="I217" s="136"/>
      <c r="J217" s="220" t="s">
        <v>336</v>
      </c>
      <c r="K217" s="220"/>
      <c r="L217" s="220"/>
      <c r="M217" s="220"/>
      <c r="N217" s="136" t="s">
        <v>368</v>
      </c>
      <c r="O217" s="136"/>
      <c r="P217" s="136"/>
      <c r="Q217" s="136"/>
      <c r="R217" s="136"/>
      <c r="S217" s="136"/>
      <c r="T217" s="136"/>
      <c r="U217" s="136"/>
      <c r="V217" s="136"/>
      <c r="W217" s="136"/>
      <c r="X217" s="136"/>
      <c r="Y217" s="220" t="s">
        <v>336</v>
      </c>
      <c r="Z217" s="220"/>
      <c r="AA217" s="220"/>
      <c r="AB217" s="220"/>
      <c r="AC217" s="258" t="s">
        <v>369</v>
      </c>
      <c r="AD217" s="258"/>
      <c r="AE217" s="258"/>
      <c r="AF217" s="258"/>
      <c r="AG217" s="258"/>
      <c r="AH217" s="258"/>
      <c r="AI217" s="258"/>
      <c r="AJ217" s="258"/>
      <c r="AK217" s="258"/>
      <c r="AL217" s="258"/>
      <c r="AM217" s="258"/>
      <c r="AN217" s="258"/>
      <c r="AO217" s="258"/>
      <c r="AP217" s="38"/>
      <c r="AQ217" s="7"/>
      <c r="AR217" s="7"/>
      <c r="AS217" s="7"/>
      <c r="AT217" s="7"/>
      <c r="AU217" s="7"/>
      <c r="AV217" s="7"/>
      <c r="AW217" s="7"/>
      <c r="AX217" s="7"/>
      <c r="AY217" s="7"/>
      <c r="AZ217" s="7"/>
      <c r="BA217" s="7"/>
      <c r="BB217" s="7"/>
      <c r="BC217" s="7"/>
    </row>
    <row r="218" s="90" customFormat="true" ht="10.5" hidden="false" customHeight="true" outlineLevel="0" collapsed="false">
      <c r="A218" s="259" t="s">
        <v>370</v>
      </c>
      <c r="B218" s="259"/>
      <c r="C218" s="259"/>
      <c r="D218" s="259"/>
      <c r="E218" s="259"/>
      <c r="F218" s="259"/>
      <c r="G218" s="259"/>
      <c r="H218" s="259"/>
      <c r="I218" s="259"/>
      <c r="J218" s="260" t="n">
        <v>763.45</v>
      </c>
      <c r="K218" s="260"/>
      <c r="L218" s="260"/>
      <c r="M218" s="260"/>
      <c r="N218" s="259" t="s">
        <v>371</v>
      </c>
      <c r="O218" s="259"/>
      <c r="P218" s="259"/>
      <c r="Q218" s="259"/>
      <c r="R218" s="259"/>
      <c r="S218" s="259"/>
      <c r="T218" s="259"/>
      <c r="U218" s="259"/>
      <c r="V218" s="259"/>
      <c r="W218" s="259"/>
      <c r="X218" s="259"/>
      <c r="Y218" s="261" t="n">
        <v>140</v>
      </c>
      <c r="Z218" s="261"/>
      <c r="AA218" s="261"/>
      <c r="AB218" s="261"/>
      <c r="AC218" s="79" t="s">
        <v>372</v>
      </c>
      <c r="AD218" s="79"/>
      <c r="AE218" s="79"/>
      <c r="AF218" s="79"/>
      <c r="AG218" s="79"/>
      <c r="AH218" s="79"/>
      <c r="AI218" s="79"/>
      <c r="AJ218" s="260" t="n">
        <f aca="false">+O127+W114</f>
        <v>11025</v>
      </c>
      <c r="AK218" s="260"/>
      <c r="AL218" s="260"/>
      <c r="AM218" s="260"/>
      <c r="AN218" s="260"/>
      <c r="AO218" s="260"/>
      <c r="AP218" s="7"/>
      <c r="AQ218" s="7"/>
      <c r="AR218" s="7"/>
      <c r="AS218" s="7"/>
      <c r="AT218" s="7"/>
      <c r="AU218" s="7"/>
      <c r="AV218" s="7"/>
      <c r="AW218" s="7"/>
      <c r="AX218" s="7"/>
      <c r="AY218" s="7"/>
      <c r="AZ218" s="7"/>
      <c r="BA218" s="7"/>
      <c r="BB218" s="7"/>
      <c r="BC218" s="7"/>
    </row>
    <row r="219" s="90" customFormat="true" ht="10.5" hidden="false" customHeight="true" outlineLevel="0" collapsed="false">
      <c r="A219" s="259" t="s">
        <v>373</v>
      </c>
      <c r="B219" s="259"/>
      <c r="C219" s="259"/>
      <c r="D219" s="259"/>
      <c r="E219" s="259"/>
      <c r="F219" s="259"/>
      <c r="G219" s="259"/>
      <c r="H219" s="259"/>
      <c r="I219" s="259"/>
      <c r="J219" s="260"/>
      <c r="K219" s="260"/>
      <c r="L219" s="260"/>
      <c r="M219" s="260"/>
      <c r="N219" s="259" t="s">
        <v>374</v>
      </c>
      <c r="O219" s="259"/>
      <c r="P219" s="259"/>
      <c r="Q219" s="259"/>
      <c r="R219" s="259"/>
      <c r="S219" s="259"/>
      <c r="T219" s="259"/>
      <c r="U219" s="259"/>
      <c r="V219" s="259"/>
      <c r="W219" s="259"/>
      <c r="X219" s="259"/>
      <c r="Y219" s="261"/>
      <c r="Z219" s="261"/>
      <c r="AA219" s="261"/>
      <c r="AB219" s="261"/>
      <c r="AC219" s="79" t="s">
        <v>375</v>
      </c>
      <c r="AD219" s="79"/>
      <c r="AE219" s="79"/>
      <c r="AF219" s="79"/>
      <c r="AG219" s="79"/>
      <c r="AH219" s="79"/>
      <c r="AI219" s="79"/>
      <c r="AJ219" s="260" t="n">
        <f aca="false">+AK127+AA114</f>
        <v>7336</v>
      </c>
      <c r="AK219" s="260"/>
      <c r="AL219" s="260"/>
      <c r="AM219" s="260"/>
      <c r="AN219" s="260"/>
      <c r="AO219" s="260"/>
      <c r="AP219" s="7"/>
      <c r="AQ219" s="7"/>
      <c r="AR219" s="7"/>
      <c r="AS219" s="7"/>
      <c r="AT219" s="7"/>
      <c r="AU219" s="7"/>
      <c r="AV219" s="7"/>
      <c r="AW219" s="7"/>
      <c r="AX219" s="7"/>
      <c r="AY219" s="7"/>
      <c r="AZ219" s="7"/>
      <c r="BA219" s="7"/>
      <c r="BB219" s="7"/>
      <c r="BC219" s="7"/>
    </row>
    <row r="220" s="90" customFormat="true" ht="10.5" hidden="false" customHeight="true" outlineLevel="0" collapsed="false">
      <c r="A220" s="259" t="s">
        <v>376</v>
      </c>
      <c r="B220" s="259"/>
      <c r="C220" s="259"/>
      <c r="D220" s="259"/>
      <c r="E220" s="259"/>
      <c r="F220" s="259"/>
      <c r="G220" s="259"/>
      <c r="H220" s="259"/>
      <c r="I220" s="259"/>
      <c r="J220" s="245"/>
      <c r="K220" s="245"/>
      <c r="L220" s="245"/>
      <c r="M220" s="245"/>
      <c r="N220" s="259" t="s">
        <v>377</v>
      </c>
      <c r="O220" s="259"/>
      <c r="P220" s="259"/>
      <c r="Q220" s="259"/>
      <c r="R220" s="259"/>
      <c r="S220" s="259"/>
      <c r="T220" s="259"/>
      <c r="U220" s="259"/>
      <c r="V220" s="259"/>
      <c r="W220" s="259"/>
      <c r="X220" s="259"/>
      <c r="Y220" s="261" t="n">
        <v>50</v>
      </c>
      <c r="Z220" s="261"/>
      <c r="AA220" s="261"/>
      <c r="AB220" s="261"/>
      <c r="AC220" s="79" t="s">
        <v>378</v>
      </c>
      <c r="AD220" s="79"/>
      <c r="AE220" s="79"/>
      <c r="AF220" s="79"/>
      <c r="AG220" s="79"/>
      <c r="AH220" s="79"/>
      <c r="AI220" s="79"/>
      <c r="AJ220" s="262" t="n">
        <f aca="false">AJ218-AJ219</f>
        <v>3689</v>
      </c>
      <c r="AK220" s="262"/>
      <c r="AL220" s="262"/>
      <c r="AM220" s="262"/>
      <c r="AN220" s="262"/>
      <c r="AO220" s="262"/>
      <c r="AP220" s="7"/>
      <c r="AQ220" s="7"/>
      <c r="AR220" s="7"/>
      <c r="AS220" s="7"/>
      <c r="AT220" s="7"/>
      <c r="AU220" s="7"/>
      <c r="AV220" s="7"/>
      <c r="AW220" s="7"/>
      <c r="AX220" s="7"/>
      <c r="AY220" s="7"/>
      <c r="AZ220" s="7"/>
      <c r="BA220" s="7"/>
      <c r="BB220" s="7"/>
      <c r="BC220" s="7"/>
    </row>
    <row r="221" s="90" customFormat="true" ht="10.5" hidden="false" customHeight="true" outlineLevel="0" collapsed="false">
      <c r="A221" s="259" t="s">
        <v>379</v>
      </c>
      <c r="B221" s="259"/>
      <c r="C221" s="259"/>
      <c r="D221" s="259"/>
      <c r="E221" s="259"/>
      <c r="F221" s="259"/>
      <c r="G221" s="259"/>
      <c r="H221" s="259"/>
      <c r="I221" s="259"/>
      <c r="J221" s="245"/>
      <c r="K221" s="245"/>
      <c r="L221" s="245"/>
      <c r="M221" s="245"/>
      <c r="N221" s="259" t="s">
        <v>380</v>
      </c>
      <c r="O221" s="259"/>
      <c r="P221" s="259"/>
      <c r="Q221" s="259"/>
      <c r="R221" s="259"/>
      <c r="S221" s="259"/>
      <c r="T221" s="259"/>
      <c r="U221" s="259"/>
      <c r="V221" s="259"/>
      <c r="W221" s="259"/>
      <c r="X221" s="259"/>
      <c r="Y221" s="261"/>
      <c r="Z221" s="261"/>
      <c r="AA221" s="261"/>
      <c r="AB221" s="261"/>
      <c r="AC221" s="79" t="s">
        <v>381</v>
      </c>
      <c r="AD221" s="79"/>
      <c r="AE221" s="79"/>
      <c r="AF221" s="79"/>
      <c r="AG221" s="79"/>
      <c r="AH221" s="79"/>
      <c r="AI221" s="79"/>
      <c r="AJ221" s="142" t="n">
        <f aca="false">R223</f>
        <v>1570.98</v>
      </c>
      <c r="AK221" s="142"/>
      <c r="AL221" s="142"/>
      <c r="AM221" s="142"/>
      <c r="AN221" s="142"/>
      <c r="AO221" s="142"/>
      <c r="AP221" s="7"/>
      <c r="AQ221" s="7"/>
      <c r="AR221" s="7"/>
      <c r="AS221" s="7"/>
      <c r="AT221" s="7"/>
      <c r="AU221" s="7"/>
      <c r="AV221" s="7"/>
      <c r="AW221" s="7"/>
      <c r="AX221" s="7"/>
      <c r="AY221" s="7"/>
      <c r="AZ221" s="7"/>
      <c r="BA221" s="7"/>
      <c r="BB221" s="7"/>
      <c r="BC221" s="7"/>
    </row>
    <row r="222" s="90" customFormat="true" ht="10.5" hidden="false" customHeight="true" outlineLevel="0" collapsed="false">
      <c r="A222" s="259" t="s">
        <v>382</v>
      </c>
      <c r="B222" s="259"/>
      <c r="C222" s="259"/>
      <c r="D222" s="259"/>
      <c r="E222" s="259"/>
      <c r="F222" s="259"/>
      <c r="G222" s="259"/>
      <c r="H222" s="259"/>
      <c r="I222" s="259"/>
      <c r="J222" s="245"/>
      <c r="K222" s="245"/>
      <c r="L222" s="245"/>
      <c r="M222" s="245"/>
      <c r="N222" s="259" t="s">
        <v>383</v>
      </c>
      <c r="O222" s="259"/>
      <c r="P222" s="259"/>
      <c r="Q222" s="259"/>
      <c r="R222" s="259"/>
      <c r="S222" s="259"/>
      <c r="T222" s="259"/>
      <c r="U222" s="259"/>
      <c r="V222" s="259"/>
      <c r="W222" s="259"/>
      <c r="X222" s="259"/>
      <c r="Y222" s="261" t="n">
        <v>50</v>
      </c>
      <c r="Z222" s="261"/>
      <c r="AA222" s="261"/>
      <c r="AB222" s="261"/>
      <c r="AC222" s="79" t="s">
        <v>384</v>
      </c>
      <c r="AD222" s="79"/>
      <c r="AE222" s="79"/>
      <c r="AF222" s="79"/>
      <c r="AG222" s="79"/>
      <c r="AH222" s="79"/>
      <c r="AI222" s="79"/>
      <c r="AJ222" s="142" t="n">
        <f aca="false">AJ220-AJ221</f>
        <v>2118.02</v>
      </c>
      <c r="AK222" s="142"/>
      <c r="AL222" s="142"/>
      <c r="AM222" s="142"/>
      <c r="AN222" s="142"/>
      <c r="AO222" s="142"/>
      <c r="AP222" s="7"/>
      <c r="AQ222" s="7"/>
      <c r="AR222" s="7"/>
      <c r="AS222" s="7"/>
      <c r="AT222" s="7"/>
      <c r="AU222" s="7"/>
      <c r="AV222" s="7"/>
      <c r="AW222" s="7"/>
      <c r="AX222" s="7"/>
      <c r="AY222" s="7"/>
      <c r="AZ222" s="7"/>
      <c r="BA222" s="7"/>
      <c r="BB222" s="7"/>
      <c r="BC222" s="7"/>
    </row>
    <row r="223" s="90" customFormat="true" ht="10.5" hidden="false" customHeight="true" outlineLevel="0" collapsed="false">
      <c r="A223" s="259" t="s">
        <v>385</v>
      </c>
      <c r="B223" s="259"/>
      <c r="C223" s="259"/>
      <c r="D223" s="259"/>
      <c r="E223" s="259"/>
      <c r="F223" s="259"/>
      <c r="G223" s="259"/>
      <c r="H223" s="259"/>
      <c r="I223" s="259"/>
      <c r="J223" s="245"/>
      <c r="K223" s="245"/>
      <c r="L223" s="245"/>
      <c r="M223" s="245"/>
      <c r="N223" s="263" t="s">
        <v>386</v>
      </c>
      <c r="O223" s="263"/>
      <c r="P223" s="263"/>
      <c r="Q223" s="263"/>
      <c r="R223" s="264" t="n">
        <v>1570.98</v>
      </c>
      <c r="S223" s="264"/>
      <c r="T223" s="264"/>
      <c r="U223" s="35" t="s">
        <v>96</v>
      </c>
      <c r="V223" s="35"/>
      <c r="W223" s="35"/>
      <c r="X223" s="35"/>
      <c r="Y223" s="261" t="n">
        <v>1012.74</v>
      </c>
      <c r="Z223" s="261"/>
      <c r="AA223" s="261"/>
      <c r="AB223" s="261"/>
      <c r="AC223" s="79" t="s">
        <v>387</v>
      </c>
      <c r="AD223" s="79"/>
      <c r="AE223" s="79"/>
      <c r="AF223" s="79"/>
      <c r="AG223" s="79"/>
      <c r="AH223" s="79"/>
      <c r="AI223" s="79"/>
      <c r="AJ223" s="142" t="n">
        <f aca="false">Y228</f>
        <v>1352.74</v>
      </c>
      <c r="AK223" s="142"/>
      <c r="AL223" s="142"/>
      <c r="AM223" s="142"/>
      <c r="AN223" s="142"/>
      <c r="AO223" s="142"/>
      <c r="AP223" s="7"/>
      <c r="AQ223" s="7"/>
      <c r="AR223" s="7"/>
      <c r="AS223" s="7"/>
      <c r="AT223" s="7"/>
      <c r="AU223" s="7"/>
      <c r="AV223" s="7"/>
      <c r="AW223" s="7"/>
      <c r="AX223" s="7"/>
      <c r="AY223" s="7"/>
      <c r="AZ223" s="7"/>
      <c r="BA223" s="7"/>
      <c r="BB223" s="7"/>
      <c r="BC223" s="7"/>
    </row>
    <row r="224" s="90" customFormat="true" ht="10.5" hidden="false" customHeight="true" outlineLevel="0" collapsed="false">
      <c r="A224" s="259" t="s">
        <v>388</v>
      </c>
      <c r="B224" s="259"/>
      <c r="C224" s="259"/>
      <c r="D224" s="259"/>
      <c r="E224" s="259"/>
      <c r="F224" s="259"/>
      <c r="G224" s="259"/>
      <c r="H224" s="259"/>
      <c r="I224" s="259"/>
      <c r="J224" s="245"/>
      <c r="K224" s="245"/>
      <c r="L224" s="245"/>
      <c r="M224" s="245"/>
      <c r="N224" s="259" t="s">
        <v>389</v>
      </c>
      <c r="O224" s="259"/>
      <c r="P224" s="259"/>
      <c r="Q224" s="259"/>
      <c r="R224" s="259"/>
      <c r="S224" s="259"/>
      <c r="T224" s="259"/>
      <c r="U224" s="259"/>
      <c r="V224" s="259"/>
      <c r="W224" s="259"/>
      <c r="X224" s="259"/>
      <c r="Y224" s="261" t="n">
        <v>50</v>
      </c>
      <c r="Z224" s="261"/>
      <c r="AA224" s="261"/>
      <c r="AB224" s="261"/>
      <c r="AC224" s="79" t="s">
        <v>390</v>
      </c>
      <c r="AD224" s="79"/>
      <c r="AE224" s="79"/>
      <c r="AF224" s="79"/>
      <c r="AG224" s="79"/>
      <c r="AH224" s="79"/>
      <c r="AI224" s="79"/>
      <c r="AJ224" s="142" t="n">
        <f aca="false">J218+J219</f>
        <v>763.45</v>
      </c>
      <c r="AK224" s="142"/>
      <c r="AL224" s="142"/>
      <c r="AM224" s="142"/>
      <c r="AN224" s="142"/>
      <c r="AO224" s="142"/>
      <c r="AP224" s="7"/>
      <c r="AQ224" s="7"/>
      <c r="AR224" s="7"/>
      <c r="AS224" s="7"/>
      <c r="AT224" s="7"/>
      <c r="AU224" s="7"/>
      <c r="AV224" s="7"/>
      <c r="AW224" s="7"/>
      <c r="AX224" s="7"/>
      <c r="AY224" s="7"/>
      <c r="AZ224" s="7"/>
      <c r="BA224" s="7"/>
      <c r="BB224" s="7"/>
      <c r="BC224" s="7"/>
    </row>
    <row r="225" s="90" customFormat="true" ht="10.5" hidden="false" customHeight="true" outlineLevel="0" collapsed="false">
      <c r="A225" s="259" t="s">
        <v>391</v>
      </c>
      <c r="B225" s="259"/>
      <c r="C225" s="259"/>
      <c r="D225" s="259"/>
      <c r="E225" s="259"/>
      <c r="F225" s="259"/>
      <c r="G225" s="259"/>
      <c r="H225" s="259"/>
      <c r="I225" s="259"/>
      <c r="J225" s="245"/>
      <c r="K225" s="245"/>
      <c r="L225" s="245"/>
      <c r="M225" s="245"/>
      <c r="N225" s="259" t="s">
        <v>392</v>
      </c>
      <c r="O225" s="259"/>
      <c r="P225" s="259"/>
      <c r="Q225" s="259"/>
      <c r="R225" s="259"/>
      <c r="S225" s="259"/>
      <c r="T225" s="259"/>
      <c r="U225" s="259"/>
      <c r="V225" s="259"/>
      <c r="W225" s="259"/>
      <c r="X225" s="259"/>
      <c r="Y225" s="261"/>
      <c r="Z225" s="261"/>
      <c r="AA225" s="261"/>
      <c r="AB225" s="261"/>
      <c r="AC225" s="79" t="s">
        <v>393</v>
      </c>
      <c r="AD225" s="79"/>
      <c r="AE225" s="79"/>
      <c r="AF225" s="79"/>
      <c r="AG225" s="79"/>
      <c r="AH225" s="79"/>
      <c r="AI225" s="79"/>
      <c r="AJ225" s="262" t="n">
        <f aca="false">AJ222-AJ223+AJ224</f>
        <v>1528.73</v>
      </c>
      <c r="AK225" s="262"/>
      <c r="AL225" s="262"/>
      <c r="AM225" s="262"/>
      <c r="AN225" s="262"/>
      <c r="AO225" s="262"/>
      <c r="AP225" s="7"/>
      <c r="AQ225" s="7"/>
      <c r="AR225" s="7"/>
      <c r="AS225" s="7"/>
      <c r="AT225" s="7"/>
      <c r="AU225" s="7"/>
      <c r="AV225" s="7"/>
      <c r="AW225" s="7"/>
      <c r="AX225" s="7"/>
      <c r="AY225" s="7"/>
      <c r="AZ225" s="7"/>
      <c r="BA225" s="7"/>
      <c r="BB225" s="7"/>
      <c r="BC225" s="7"/>
    </row>
    <row r="226" s="90" customFormat="true" ht="10.5" hidden="false" customHeight="true" outlineLevel="0" collapsed="false">
      <c r="A226" s="259" t="s">
        <v>394</v>
      </c>
      <c r="B226" s="259"/>
      <c r="C226" s="259"/>
      <c r="D226" s="259"/>
      <c r="E226" s="259"/>
      <c r="F226" s="259"/>
      <c r="G226" s="259"/>
      <c r="H226" s="259"/>
      <c r="I226" s="259"/>
      <c r="J226" s="245"/>
      <c r="K226" s="245"/>
      <c r="L226" s="245"/>
      <c r="M226" s="245"/>
      <c r="N226" s="259" t="s">
        <v>395</v>
      </c>
      <c r="O226" s="259"/>
      <c r="P226" s="259"/>
      <c r="Q226" s="259"/>
      <c r="R226" s="259"/>
      <c r="S226" s="259"/>
      <c r="T226" s="259"/>
      <c r="U226" s="259"/>
      <c r="V226" s="259"/>
      <c r="W226" s="259"/>
      <c r="X226" s="259"/>
      <c r="Y226" s="261" t="n">
        <v>50</v>
      </c>
      <c r="Z226" s="261"/>
      <c r="AA226" s="261"/>
      <c r="AB226" s="261"/>
      <c r="AC226" s="201"/>
      <c r="AD226" s="201"/>
      <c r="AE226" s="201"/>
      <c r="AF226" s="201"/>
      <c r="AG226" s="201"/>
      <c r="AH226" s="201"/>
      <c r="AI226" s="201"/>
      <c r="AJ226" s="201"/>
      <c r="AK226" s="201"/>
      <c r="AL226" s="201"/>
      <c r="AM226" s="201"/>
      <c r="AN226" s="201"/>
      <c r="AO226" s="201"/>
      <c r="AP226" s="7"/>
      <c r="AQ226" s="7"/>
      <c r="AR226" s="7"/>
      <c r="AS226" s="7"/>
      <c r="AT226" s="7"/>
      <c r="AU226" s="7"/>
      <c r="AV226" s="7"/>
      <c r="AW226" s="7"/>
      <c r="AX226" s="7"/>
      <c r="AY226" s="7"/>
      <c r="AZ226" s="7"/>
      <c r="BA226" s="7"/>
      <c r="BB226" s="7"/>
      <c r="BC226" s="7"/>
    </row>
    <row r="227" s="90" customFormat="true" ht="10.5" hidden="false" customHeight="true" outlineLevel="0" collapsed="false">
      <c r="A227" s="265"/>
      <c r="B227" s="265"/>
      <c r="C227" s="265"/>
      <c r="D227" s="265"/>
      <c r="E227" s="265"/>
      <c r="F227" s="265"/>
      <c r="G227" s="265"/>
      <c r="H227" s="265"/>
      <c r="I227" s="265"/>
      <c r="J227" s="266"/>
      <c r="K227" s="266"/>
      <c r="L227" s="266"/>
      <c r="M227" s="266"/>
      <c r="N227" s="259" t="s">
        <v>396</v>
      </c>
      <c r="O227" s="259"/>
      <c r="P227" s="259"/>
      <c r="Q227" s="259"/>
      <c r="R227" s="259"/>
      <c r="S227" s="259"/>
      <c r="T227" s="259"/>
      <c r="U227" s="259"/>
      <c r="V227" s="259"/>
      <c r="W227" s="259"/>
      <c r="X227" s="259"/>
      <c r="Y227" s="261"/>
      <c r="Z227" s="261"/>
      <c r="AA227" s="261"/>
      <c r="AB227" s="261"/>
      <c r="AC227" s="259" t="s">
        <v>397</v>
      </c>
      <c r="AD227" s="259"/>
      <c r="AE227" s="259"/>
      <c r="AF227" s="259"/>
      <c r="AG227" s="259"/>
      <c r="AH227" s="259"/>
      <c r="AI227" s="259"/>
      <c r="AJ227" s="262" t="n">
        <f aca="false">AJ225*0.7</f>
        <v>1070.111</v>
      </c>
      <c r="AK227" s="262"/>
      <c r="AL227" s="262"/>
      <c r="AM227" s="262"/>
      <c r="AN227" s="262"/>
      <c r="AO227" s="262"/>
      <c r="AP227" s="7"/>
      <c r="AQ227" s="7"/>
      <c r="AR227" s="7"/>
      <c r="AS227" s="7"/>
      <c r="AT227" s="7"/>
      <c r="AU227" s="7"/>
      <c r="AV227" s="7"/>
      <c r="AW227" s="7"/>
      <c r="AX227" s="7"/>
      <c r="AY227" s="7"/>
      <c r="AZ227" s="7"/>
      <c r="BA227" s="7"/>
      <c r="BB227" s="7"/>
      <c r="BC227" s="7"/>
    </row>
    <row r="228" s="90" customFormat="true" ht="10.5" hidden="false" customHeight="true" outlineLevel="0" collapsed="false">
      <c r="A228" s="267" t="s">
        <v>398</v>
      </c>
      <c r="B228" s="267"/>
      <c r="C228" s="267"/>
      <c r="D228" s="267"/>
      <c r="E228" s="267"/>
      <c r="F228" s="267"/>
      <c r="G228" s="267"/>
      <c r="H228" s="267"/>
      <c r="I228" s="267"/>
      <c r="J228" s="226" t="n">
        <f aca="false">SUM(J218:L226)</f>
        <v>763.45</v>
      </c>
      <c r="K228" s="226"/>
      <c r="L228" s="226"/>
      <c r="M228" s="226"/>
      <c r="N228" s="267" t="s">
        <v>399</v>
      </c>
      <c r="O228" s="267"/>
      <c r="P228" s="267"/>
      <c r="Q228" s="267"/>
      <c r="R228" s="267"/>
      <c r="S228" s="267"/>
      <c r="T228" s="267"/>
      <c r="U228" s="267"/>
      <c r="V228" s="267"/>
      <c r="W228" s="267"/>
      <c r="X228" s="267"/>
      <c r="Y228" s="226" t="n">
        <f aca="false">SUM(Y218:AA227)</f>
        <v>1352.74</v>
      </c>
      <c r="Z228" s="226"/>
      <c r="AA228" s="226"/>
      <c r="AB228" s="226"/>
      <c r="AC228" s="268" t="s">
        <v>400</v>
      </c>
      <c r="AD228" s="268"/>
      <c r="AE228" s="268"/>
      <c r="AF228" s="268"/>
      <c r="AG228" s="268"/>
      <c r="AH228" s="268"/>
      <c r="AI228" s="268"/>
      <c r="AJ228" s="226" t="n">
        <f aca="false">AJ225*0.5</f>
        <v>764.365</v>
      </c>
      <c r="AK228" s="226"/>
      <c r="AL228" s="226"/>
      <c r="AM228" s="226"/>
      <c r="AN228" s="226"/>
      <c r="AO228" s="226"/>
      <c r="AP228" s="7"/>
      <c r="AQ228" s="7"/>
      <c r="AR228" s="7"/>
      <c r="AS228" s="7"/>
      <c r="AT228" s="7"/>
      <c r="AU228" s="7"/>
      <c r="AV228" s="7"/>
      <c r="AW228" s="7"/>
      <c r="AX228" s="7"/>
      <c r="AY228" s="7"/>
      <c r="AZ228" s="7"/>
      <c r="BA228" s="7"/>
      <c r="BB228" s="7"/>
      <c r="BC228" s="7"/>
    </row>
    <row r="229" s="90" customFormat="true" ht="10.5" hidden="false" customHeight="true" outlineLevel="0" collapsed="false">
      <c r="A229" s="227"/>
      <c r="B229" s="227"/>
      <c r="C229" s="227"/>
      <c r="D229" s="227"/>
      <c r="E229" s="227"/>
      <c r="F229" s="227"/>
      <c r="G229" s="227"/>
      <c r="H229" s="227"/>
      <c r="I229" s="227"/>
      <c r="J229" s="227"/>
      <c r="K229" s="227"/>
      <c r="L229" s="227"/>
      <c r="M229" s="227"/>
      <c r="N229" s="227"/>
      <c r="O229" s="227"/>
      <c r="P229" s="227"/>
      <c r="Q229" s="227"/>
      <c r="R229" s="227"/>
      <c r="S229" s="227"/>
      <c r="T229" s="227"/>
      <c r="U229" s="227"/>
      <c r="V229" s="227"/>
      <c r="W229" s="227"/>
      <c r="X229" s="227"/>
      <c r="Y229" s="227"/>
      <c r="Z229" s="227"/>
      <c r="AA229" s="227"/>
      <c r="AB229" s="227"/>
      <c r="AC229" s="227"/>
      <c r="AD229" s="227"/>
      <c r="AE229" s="227"/>
      <c r="AF229" s="227"/>
      <c r="AG229" s="227"/>
      <c r="AH229" s="227"/>
      <c r="AI229" s="227"/>
      <c r="AJ229" s="227"/>
      <c r="AK229" s="227"/>
      <c r="AL229" s="227"/>
      <c r="AM229" s="227"/>
      <c r="AN229" s="227"/>
      <c r="AO229" s="227"/>
      <c r="AP229" s="7"/>
      <c r="AQ229" s="7"/>
      <c r="AR229" s="7"/>
      <c r="AS229" s="7"/>
      <c r="AT229" s="7"/>
      <c r="AU229" s="7"/>
      <c r="AV229" s="7"/>
      <c r="AW229" s="7"/>
      <c r="AX229" s="7"/>
      <c r="AY229" s="7"/>
      <c r="AZ229" s="7"/>
      <c r="BA229" s="7"/>
      <c r="BB229" s="7"/>
      <c r="BC229" s="7"/>
    </row>
    <row r="230" s="90" customFormat="true" ht="10.5" hidden="false" customHeight="true" outlineLevel="0" collapsed="false">
      <c r="A230" s="227"/>
      <c r="B230" s="227"/>
      <c r="C230" s="227"/>
      <c r="D230" s="227"/>
      <c r="E230" s="227"/>
      <c r="F230" s="227"/>
      <c r="G230" s="227"/>
      <c r="H230" s="227"/>
      <c r="I230" s="227"/>
      <c r="J230" s="227"/>
      <c r="K230" s="227"/>
      <c r="L230" s="227"/>
      <c r="M230" s="227"/>
      <c r="N230" s="227"/>
      <c r="O230" s="227"/>
      <c r="P230" s="227"/>
      <c r="Q230" s="227"/>
      <c r="R230" s="227"/>
      <c r="S230" s="227"/>
      <c r="T230" s="227"/>
      <c r="U230" s="227"/>
      <c r="V230" s="227"/>
      <c r="W230" s="227"/>
      <c r="X230" s="227"/>
      <c r="Y230" s="227"/>
      <c r="Z230" s="227"/>
      <c r="AA230" s="227"/>
      <c r="AB230" s="227"/>
      <c r="AC230" s="227"/>
      <c r="AD230" s="227"/>
      <c r="AE230" s="227"/>
      <c r="AF230" s="227"/>
      <c r="AG230" s="227"/>
      <c r="AH230" s="227"/>
      <c r="AI230" s="227"/>
      <c r="AJ230" s="227"/>
      <c r="AK230" s="227"/>
      <c r="AL230" s="227"/>
      <c r="AM230" s="227"/>
      <c r="AN230" s="227"/>
      <c r="AO230" s="227"/>
      <c r="AP230" s="7"/>
      <c r="AQ230" s="7"/>
      <c r="AR230" s="7"/>
      <c r="AS230" s="7"/>
      <c r="AT230" s="7"/>
      <c r="AU230" s="7"/>
      <c r="AV230" s="7"/>
      <c r="AW230" s="7"/>
      <c r="AX230" s="7"/>
      <c r="AY230" s="7"/>
      <c r="AZ230" s="7"/>
      <c r="BA230" s="7"/>
      <c r="BB230" s="7"/>
      <c r="BC230" s="7"/>
    </row>
    <row r="231" s="90" customFormat="true" ht="10.5" hidden="false" customHeight="true" outlineLevel="0" collapsed="false">
      <c r="A231" s="72" t="s">
        <v>401</v>
      </c>
      <c r="B231" s="72"/>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
      <c r="AQ231" s="7"/>
      <c r="AR231" s="7"/>
      <c r="AS231" s="7"/>
      <c r="AT231" s="7"/>
      <c r="AU231" s="7"/>
      <c r="AV231" s="7"/>
      <c r="AW231" s="7"/>
      <c r="AX231" s="7"/>
      <c r="AY231" s="7"/>
      <c r="AZ231" s="7"/>
      <c r="BA231" s="7"/>
      <c r="BB231" s="7"/>
      <c r="BC231" s="7"/>
    </row>
    <row r="232" s="90" customFormat="true" ht="10.5" hidden="false" customHeight="true" outlineLevel="0" collapsed="false">
      <c r="A232" s="215"/>
      <c r="B232" s="215"/>
      <c r="C232" s="215"/>
      <c r="D232" s="215"/>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7"/>
      <c r="AQ232" s="7"/>
      <c r="AR232" s="7"/>
      <c r="AS232" s="7"/>
      <c r="AT232" s="7"/>
      <c r="AU232" s="7"/>
      <c r="AV232" s="7"/>
      <c r="AW232" s="7"/>
      <c r="AX232" s="7"/>
      <c r="AY232" s="7"/>
      <c r="AZ232" s="7"/>
      <c r="BA232" s="7"/>
      <c r="BB232" s="7"/>
      <c r="BC232" s="7"/>
    </row>
    <row r="233" s="90" customFormat="true" ht="10.5" hidden="false" customHeight="true" outlineLevel="0" collapsed="false">
      <c r="A233" s="98" t="s">
        <v>402</v>
      </c>
      <c r="B233" s="98"/>
      <c r="C233" s="98"/>
      <c r="D233" s="98"/>
      <c r="E233" s="98"/>
      <c r="F233" s="98"/>
      <c r="G233" s="98"/>
      <c r="H233" s="98"/>
      <c r="I233" s="98"/>
      <c r="J233" s="98"/>
      <c r="K233" s="98"/>
      <c r="L233" s="7"/>
      <c r="M233" s="7"/>
      <c r="N233" s="7"/>
      <c r="O233" s="7"/>
      <c r="P233" s="7"/>
      <c r="Q233" s="7"/>
      <c r="R233" s="7"/>
      <c r="S233" s="7"/>
      <c r="T233" s="7"/>
      <c r="U233" s="77" t="s">
        <v>403</v>
      </c>
      <c r="V233" s="77"/>
      <c r="W233" s="77"/>
      <c r="X233" s="77"/>
      <c r="Y233" s="77"/>
      <c r="Z233" s="77"/>
      <c r="AA233" s="77"/>
      <c r="AB233" s="77"/>
      <c r="AC233" s="77"/>
      <c r="AD233" s="77"/>
      <c r="AE233" s="77"/>
      <c r="AF233" s="77"/>
      <c r="AG233" s="7"/>
      <c r="AH233" s="7"/>
      <c r="AI233" s="7"/>
      <c r="AJ233" s="7"/>
      <c r="AK233" s="7"/>
      <c r="AL233" s="7"/>
      <c r="AM233" s="7"/>
      <c r="AN233" s="7"/>
      <c r="AO233" s="40"/>
      <c r="AP233" s="7"/>
      <c r="AQ233" s="7"/>
      <c r="AR233" s="7"/>
      <c r="AS233" s="7"/>
      <c r="AT233" s="7"/>
      <c r="AU233" s="7"/>
      <c r="AV233" s="7"/>
      <c r="AW233" s="7"/>
      <c r="AX233" s="7"/>
      <c r="AY233" s="7"/>
      <c r="AZ233" s="7"/>
      <c r="BA233" s="7"/>
      <c r="BB233" s="7"/>
      <c r="BC233" s="7"/>
    </row>
    <row r="234" s="90" customFormat="true" ht="3.75" hidden="false" customHeight="true" outlineLevel="0" collapsed="false">
      <c r="A234" s="38"/>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40"/>
      <c r="AP234" s="7"/>
      <c r="AQ234" s="7"/>
      <c r="AR234" s="7"/>
      <c r="AS234" s="7"/>
      <c r="AT234" s="7"/>
      <c r="AU234" s="7"/>
      <c r="AV234" s="7"/>
      <c r="AW234" s="7"/>
      <c r="AX234" s="7"/>
      <c r="AY234" s="7"/>
      <c r="AZ234" s="7"/>
      <c r="BA234" s="7"/>
      <c r="BB234" s="7"/>
      <c r="BC234" s="7"/>
    </row>
    <row r="235" s="90" customFormat="true" ht="10.5" hidden="false" customHeight="true" outlineLevel="0" collapsed="false">
      <c r="A235" s="259" t="s">
        <v>404</v>
      </c>
      <c r="B235" s="259"/>
      <c r="C235" s="259"/>
      <c r="D235" s="259"/>
      <c r="E235" s="259"/>
      <c r="F235" s="259"/>
      <c r="G235" s="259"/>
      <c r="H235" s="269" t="str">
        <f aca="false">IFERROR(N202/AH201,"-")</f>
        <v>-</v>
      </c>
      <c r="I235" s="269"/>
      <c r="J235" s="269"/>
      <c r="K235" s="269"/>
      <c r="L235" s="7"/>
      <c r="M235" s="7"/>
      <c r="N235" s="7"/>
      <c r="O235" s="7"/>
      <c r="P235" s="7"/>
      <c r="Q235" s="7"/>
      <c r="R235" s="7"/>
      <c r="S235" s="7"/>
      <c r="T235" s="7"/>
      <c r="U235" s="270" t="s">
        <v>405</v>
      </c>
      <c r="V235" s="270"/>
      <c r="W235" s="270"/>
      <c r="X235" s="270"/>
      <c r="Y235" s="270"/>
      <c r="Z235" s="270"/>
      <c r="AA235" s="270"/>
      <c r="AB235" s="270"/>
      <c r="AC235" s="271" t="n">
        <f aca="false">IFERROR(N200/((AJ218*12)/360),"-")</f>
        <v>0</v>
      </c>
      <c r="AD235" s="271"/>
      <c r="AE235" s="271"/>
      <c r="AF235" s="271"/>
      <c r="AG235" s="7"/>
      <c r="AH235" s="7"/>
      <c r="AI235" s="7"/>
      <c r="AJ235" s="7"/>
      <c r="AK235" s="7"/>
      <c r="AL235" s="7"/>
      <c r="AM235" s="7"/>
      <c r="AN235" s="7"/>
      <c r="AO235" s="40"/>
      <c r="AP235" s="7"/>
      <c r="AQ235" s="7"/>
      <c r="AR235" s="7"/>
      <c r="AS235" s="7"/>
      <c r="AT235" s="7"/>
      <c r="AU235" s="7"/>
      <c r="AV235" s="7"/>
      <c r="AW235" s="7"/>
      <c r="AX235" s="7"/>
      <c r="AY235" s="7"/>
      <c r="AZ235" s="7"/>
      <c r="BA235" s="7"/>
      <c r="BB235" s="7"/>
      <c r="BC235" s="7"/>
    </row>
    <row r="236" s="90" customFormat="true" ht="2.25" hidden="false" customHeight="true" outlineLevel="0" collapsed="false">
      <c r="A236" s="38"/>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40"/>
      <c r="AP236" s="7"/>
      <c r="AQ236" s="7"/>
      <c r="AR236" s="7"/>
      <c r="AS236" s="7"/>
      <c r="AT236" s="7"/>
      <c r="AU236" s="7"/>
      <c r="AV236" s="7"/>
      <c r="AW236" s="7"/>
      <c r="AX236" s="7"/>
      <c r="AY236" s="7"/>
      <c r="AZ236" s="7"/>
      <c r="BA236" s="7"/>
      <c r="BB236" s="7"/>
      <c r="BC236" s="7"/>
    </row>
    <row r="237" s="90" customFormat="true" ht="10.5" hidden="false" customHeight="true" outlineLevel="0" collapsed="false">
      <c r="A237" s="259" t="s">
        <v>406</v>
      </c>
      <c r="B237" s="259"/>
      <c r="C237" s="259"/>
      <c r="D237" s="259"/>
      <c r="E237" s="259"/>
      <c r="F237" s="259"/>
      <c r="G237" s="259"/>
      <c r="H237" s="271" t="str">
        <f aca="false">IFERROR((N202-N201)/AH201,"-")</f>
        <v>-</v>
      </c>
      <c r="I237" s="271"/>
      <c r="J237" s="271"/>
      <c r="K237" s="271"/>
      <c r="L237" s="7"/>
      <c r="M237" s="7"/>
      <c r="N237" s="7"/>
      <c r="O237" s="7"/>
      <c r="P237" s="7"/>
      <c r="Q237" s="7"/>
      <c r="R237" s="7"/>
      <c r="S237" s="7"/>
      <c r="T237" s="7"/>
      <c r="U237" s="270" t="s">
        <v>407</v>
      </c>
      <c r="V237" s="270"/>
      <c r="W237" s="270"/>
      <c r="X237" s="270"/>
      <c r="Y237" s="270"/>
      <c r="Z237" s="270"/>
      <c r="AA237" s="270"/>
      <c r="AB237" s="270"/>
      <c r="AC237" s="271" t="n">
        <f aca="false">IFERROR((AH197+AH204)/((AJ219*12)/360),"-")</f>
        <v>0</v>
      </c>
      <c r="AD237" s="271"/>
      <c r="AE237" s="271"/>
      <c r="AF237" s="271"/>
      <c r="AG237" s="7"/>
      <c r="AH237" s="7"/>
      <c r="AI237" s="7"/>
      <c r="AJ237" s="7"/>
      <c r="AK237" s="7"/>
      <c r="AL237" s="7"/>
      <c r="AM237" s="7"/>
      <c r="AN237" s="7"/>
      <c r="AO237" s="40"/>
      <c r="AP237" s="7"/>
      <c r="AQ237" s="7"/>
      <c r="AR237" s="7"/>
      <c r="AS237" s="7"/>
      <c r="AT237" s="7"/>
      <c r="AU237" s="7"/>
      <c r="AV237" s="7"/>
      <c r="AW237" s="7"/>
      <c r="AX237" s="7"/>
      <c r="AY237" s="7"/>
      <c r="AZ237" s="7"/>
      <c r="BA237" s="7"/>
      <c r="BB237" s="7"/>
      <c r="BC237" s="7"/>
    </row>
    <row r="238" s="90" customFormat="true" ht="2.25" hidden="false" customHeight="true" outlineLevel="0" collapsed="false">
      <c r="A238" s="38"/>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40"/>
      <c r="AP238" s="7"/>
      <c r="AQ238" s="7"/>
      <c r="AR238" s="7"/>
      <c r="AS238" s="7"/>
      <c r="AT238" s="7"/>
      <c r="AU238" s="7"/>
      <c r="AV238" s="7"/>
      <c r="AW238" s="7"/>
      <c r="AX238" s="7"/>
      <c r="AY238" s="7"/>
      <c r="AZ238" s="7"/>
      <c r="BA238" s="7"/>
      <c r="BB238" s="7"/>
      <c r="BC238" s="7"/>
    </row>
    <row r="239" s="90" customFormat="true" ht="10.5" hidden="false" customHeight="true" outlineLevel="0" collapsed="false">
      <c r="A239" s="259" t="s">
        <v>408</v>
      </c>
      <c r="B239" s="259"/>
      <c r="C239" s="259"/>
      <c r="D239" s="259"/>
      <c r="E239" s="259"/>
      <c r="F239" s="259"/>
      <c r="G239" s="259"/>
      <c r="H239" s="35" t="n">
        <f aca="false">IFERROR(N202-AH201,"-")</f>
        <v>5450</v>
      </c>
      <c r="I239" s="35"/>
      <c r="J239" s="35"/>
      <c r="K239" s="35"/>
      <c r="L239" s="7"/>
      <c r="M239" s="7"/>
      <c r="N239" s="7"/>
      <c r="O239" s="7"/>
      <c r="P239" s="7"/>
      <c r="Q239" s="7"/>
      <c r="R239" s="7"/>
      <c r="S239" s="7"/>
      <c r="T239" s="7"/>
      <c r="U239" s="270" t="s">
        <v>409</v>
      </c>
      <c r="V239" s="270"/>
      <c r="W239" s="270"/>
      <c r="X239" s="270"/>
      <c r="Y239" s="270"/>
      <c r="Z239" s="270"/>
      <c r="AA239" s="270"/>
      <c r="AB239" s="270"/>
      <c r="AC239" s="271" t="n">
        <f aca="false">IFERROR(N201/((AJ219*12)/360),"-")</f>
        <v>22.2873500545256</v>
      </c>
      <c r="AD239" s="271"/>
      <c r="AE239" s="271"/>
      <c r="AF239" s="271"/>
      <c r="AG239" s="7"/>
      <c r="AH239" s="7"/>
      <c r="AI239" s="7"/>
      <c r="AJ239" s="7"/>
      <c r="AK239" s="7"/>
      <c r="AL239" s="7"/>
      <c r="AM239" s="7"/>
      <c r="AN239" s="7"/>
      <c r="AO239" s="40"/>
      <c r="AP239" s="7"/>
      <c r="AQ239" s="7"/>
      <c r="AR239" s="7"/>
      <c r="AS239" s="7"/>
      <c r="AT239" s="7"/>
      <c r="AU239" s="7"/>
      <c r="AV239" s="7"/>
      <c r="AW239" s="7"/>
      <c r="AX239" s="7"/>
      <c r="AY239" s="7"/>
      <c r="AZ239" s="7"/>
      <c r="BA239" s="7"/>
      <c r="BB239" s="7"/>
      <c r="BC239" s="7"/>
    </row>
    <row r="240" s="90" customFormat="true" ht="2.25" hidden="false" customHeight="true" outlineLevel="0" collapsed="false">
      <c r="A240" s="38"/>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40"/>
      <c r="AP240" s="7"/>
      <c r="AQ240" s="7"/>
      <c r="AR240" s="7"/>
      <c r="AS240" s="7"/>
      <c r="AT240" s="7"/>
      <c r="AU240" s="7"/>
      <c r="AV240" s="7"/>
      <c r="AW240" s="7"/>
      <c r="AX240" s="7"/>
      <c r="AY240" s="7"/>
      <c r="AZ240" s="7"/>
      <c r="BA240" s="7"/>
      <c r="BB240" s="7"/>
      <c r="BC240" s="7"/>
    </row>
    <row r="241" s="90" customFormat="true" ht="10.5" hidden="false" customHeight="true" outlineLevel="0" collapsed="false">
      <c r="A241" s="259" t="s">
        <v>410</v>
      </c>
      <c r="B241" s="259"/>
      <c r="C241" s="259"/>
      <c r="D241" s="259"/>
      <c r="E241" s="259"/>
      <c r="F241" s="259"/>
      <c r="G241" s="259"/>
      <c r="H241" s="269" t="n">
        <f aca="false">IFERROR(P12/AJ225,"-")</f>
        <v>0.640346786272233</v>
      </c>
      <c r="I241" s="269"/>
      <c r="J241" s="269"/>
      <c r="K241" s="269"/>
      <c r="L241" s="7"/>
      <c r="M241" s="7"/>
      <c r="N241" s="7"/>
      <c r="O241" s="7"/>
      <c r="P241" s="7"/>
      <c r="Q241" s="7"/>
      <c r="R241" s="7"/>
      <c r="S241" s="7"/>
      <c r="T241" s="7"/>
      <c r="U241" s="270" t="s">
        <v>411</v>
      </c>
      <c r="V241" s="270"/>
      <c r="W241" s="270"/>
      <c r="X241" s="270"/>
      <c r="Y241" s="270"/>
      <c r="Z241" s="270"/>
      <c r="AA241" s="270"/>
      <c r="AB241" s="270"/>
      <c r="AC241" s="271" t="n">
        <f aca="false">IFERROR(AJ218/N214,"-")</f>
        <v>0.0674518201284797</v>
      </c>
      <c r="AD241" s="271"/>
      <c r="AE241" s="271"/>
      <c r="AF241" s="271"/>
      <c r="AG241" s="7"/>
      <c r="AH241" s="7"/>
      <c r="AI241" s="7"/>
      <c r="AJ241" s="7"/>
      <c r="AK241" s="7"/>
      <c r="AL241" s="7"/>
      <c r="AM241" s="7"/>
      <c r="AN241" s="7"/>
      <c r="AO241" s="40"/>
      <c r="AP241" s="7"/>
      <c r="AQ241" s="7"/>
      <c r="AR241" s="7"/>
      <c r="AS241" s="7"/>
      <c r="AT241" s="7"/>
      <c r="AU241" s="7"/>
      <c r="AV241" s="7"/>
      <c r="AW241" s="7"/>
      <c r="AX241" s="7"/>
      <c r="AY241" s="7"/>
      <c r="AZ241" s="7"/>
      <c r="BA241" s="7"/>
      <c r="BB241" s="7"/>
      <c r="BC241" s="7"/>
    </row>
    <row r="242" s="90" customFormat="true" ht="10.5" hidden="false" customHeight="true" outlineLevel="0" collapsed="false">
      <c r="A242" s="38"/>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40"/>
      <c r="AP242" s="7"/>
      <c r="AQ242" s="7"/>
      <c r="AR242" s="7"/>
      <c r="AS242" s="7"/>
      <c r="AT242" s="7"/>
      <c r="AU242" s="7"/>
      <c r="AV242" s="7"/>
      <c r="AW242" s="7"/>
      <c r="AX242" s="7"/>
      <c r="AY242" s="7"/>
      <c r="AZ242" s="7"/>
      <c r="BA242" s="7"/>
      <c r="BB242" s="7"/>
      <c r="BC242" s="7"/>
    </row>
    <row r="243" s="90" customFormat="true" ht="10.5" hidden="false" customHeight="true" outlineLevel="0" collapsed="false">
      <c r="A243" s="98" t="s">
        <v>412</v>
      </c>
      <c r="B243" s="98"/>
      <c r="C243" s="98"/>
      <c r="D243" s="98"/>
      <c r="E243" s="98"/>
      <c r="F243" s="98"/>
      <c r="G243" s="98"/>
      <c r="H243" s="98"/>
      <c r="I243" s="98"/>
      <c r="J243" s="98"/>
      <c r="K243" s="98"/>
      <c r="L243" s="98"/>
      <c r="M243" s="7"/>
      <c r="N243" s="7"/>
      <c r="O243" s="7"/>
      <c r="P243" s="7"/>
      <c r="Q243" s="7"/>
      <c r="R243" s="7"/>
      <c r="S243" s="7"/>
      <c r="T243" s="7"/>
      <c r="U243" s="77" t="s">
        <v>413</v>
      </c>
      <c r="V243" s="77"/>
      <c r="W243" s="77"/>
      <c r="X243" s="77"/>
      <c r="Y243" s="77"/>
      <c r="Z243" s="77"/>
      <c r="AA243" s="77"/>
      <c r="AB243" s="77"/>
      <c r="AC243" s="77"/>
      <c r="AD243" s="77"/>
      <c r="AE243" s="77"/>
      <c r="AF243" s="77"/>
      <c r="AG243" s="7"/>
      <c r="AH243" s="7"/>
      <c r="AI243" s="7"/>
      <c r="AJ243" s="7"/>
      <c r="AK243" s="7"/>
      <c r="AL243" s="7"/>
      <c r="AM243" s="7"/>
      <c r="AN243" s="7"/>
      <c r="AO243" s="40"/>
      <c r="AP243" s="7"/>
      <c r="AQ243" s="7"/>
      <c r="AR243" s="7"/>
      <c r="AS243" s="7"/>
      <c r="AT243" s="7"/>
      <c r="AU243" s="7"/>
      <c r="AV243" s="7"/>
      <c r="AW243" s="7"/>
      <c r="AX243" s="7"/>
      <c r="AY243" s="7"/>
      <c r="AZ243" s="7"/>
      <c r="BA243" s="7"/>
      <c r="BB243" s="7"/>
      <c r="BC243" s="7"/>
    </row>
    <row r="244" s="90" customFormat="true" ht="3" hidden="false" customHeight="true" outlineLevel="0" collapsed="false">
      <c r="A244" s="38"/>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40"/>
      <c r="AP244" s="7"/>
      <c r="AQ244" s="7"/>
      <c r="AR244" s="7"/>
      <c r="AS244" s="7"/>
      <c r="AT244" s="7"/>
      <c r="AU244" s="7"/>
      <c r="AV244" s="7"/>
      <c r="AW244" s="7"/>
      <c r="AX244" s="7"/>
      <c r="AY244" s="7"/>
      <c r="AZ244" s="7"/>
      <c r="BA244" s="7"/>
      <c r="BB244" s="7"/>
      <c r="BC244" s="7"/>
    </row>
    <row r="245" s="90" customFormat="true" ht="10.5" hidden="false" customHeight="true" outlineLevel="0" collapsed="false">
      <c r="A245" s="259" t="s">
        <v>414</v>
      </c>
      <c r="B245" s="259"/>
      <c r="C245" s="259"/>
      <c r="D245" s="259"/>
      <c r="E245" s="259"/>
      <c r="F245" s="259"/>
      <c r="G245" s="259"/>
      <c r="H245" s="259"/>
      <c r="I245" s="269" t="n">
        <f aca="false">IFERROR(AJ222/AJ218,"-")</f>
        <v>0.192110657596372</v>
      </c>
      <c r="J245" s="269"/>
      <c r="K245" s="269"/>
      <c r="L245" s="269"/>
      <c r="M245" s="7"/>
      <c r="N245" s="7"/>
      <c r="O245" s="7"/>
      <c r="P245" s="7"/>
      <c r="Q245" s="7"/>
      <c r="R245" s="7"/>
      <c r="S245" s="7"/>
      <c r="T245" s="7"/>
      <c r="U245" s="270" t="s">
        <v>415</v>
      </c>
      <c r="V245" s="270"/>
      <c r="W245" s="270"/>
      <c r="X245" s="270"/>
      <c r="Y245" s="270"/>
      <c r="Z245" s="270"/>
      <c r="AA245" s="270"/>
      <c r="AB245" s="270"/>
      <c r="AC245" s="269" t="n">
        <f aca="false">IFERROR(AH201/AH207,"-")</f>
        <v>0</v>
      </c>
      <c r="AD245" s="269"/>
      <c r="AE245" s="269"/>
      <c r="AF245" s="269"/>
      <c r="AG245" s="7"/>
      <c r="AH245" s="7"/>
      <c r="AI245" s="7"/>
      <c r="AJ245" s="7"/>
      <c r="AK245" s="7"/>
      <c r="AL245" s="7"/>
      <c r="AM245" s="7"/>
      <c r="AN245" s="7"/>
      <c r="AO245" s="40"/>
      <c r="AP245" s="7"/>
      <c r="AQ245" s="7"/>
      <c r="AR245" s="7"/>
      <c r="AS245" s="7"/>
      <c r="AT245" s="7"/>
      <c r="AU245" s="7"/>
      <c r="AV245" s="7"/>
      <c r="AW245" s="7"/>
      <c r="AX245" s="7"/>
      <c r="AY245" s="7"/>
      <c r="AZ245" s="7"/>
      <c r="BA245" s="7"/>
      <c r="BB245" s="7"/>
      <c r="BC245" s="7"/>
    </row>
    <row r="246" s="90" customFormat="true" ht="3" hidden="false" customHeight="true" outlineLevel="0" collapsed="false">
      <c r="A246" s="38"/>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40"/>
      <c r="AP246" s="7"/>
      <c r="AQ246" s="7"/>
      <c r="AR246" s="7"/>
      <c r="AS246" s="7"/>
      <c r="AT246" s="7"/>
      <c r="AU246" s="7"/>
      <c r="AV246" s="7"/>
      <c r="AW246" s="7"/>
      <c r="AX246" s="7"/>
      <c r="AY246" s="7"/>
      <c r="AZ246" s="7"/>
      <c r="BA246" s="7"/>
      <c r="BB246" s="7"/>
      <c r="BC246" s="7"/>
    </row>
    <row r="247" s="90" customFormat="true" ht="10.5" hidden="false" customHeight="true" outlineLevel="0" collapsed="false">
      <c r="A247" s="259" t="s">
        <v>416</v>
      </c>
      <c r="B247" s="259"/>
      <c r="C247" s="259"/>
      <c r="D247" s="259"/>
      <c r="E247" s="259"/>
      <c r="F247" s="259"/>
      <c r="G247" s="259"/>
      <c r="H247" s="259"/>
      <c r="I247" s="269" t="n">
        <f aca="false">IFERROR(AJ222/AH210,"-")</f>
        <v>0.0372677277370099</v>
      </c>
      <c r="J247" s="269"/>
      <c r="K247" s="269"/>
      <c r="L247" s="269"/>
      <c r="M247" s="7"/>
      <c r="N247" s="7"/>
      <c r="O247" s="7"/>
      <c r="P247" s="7"/>
      <c r="Q247" s="7"/>
      <c r="R247" s="7"/>
      <c r="S247" s="7"/>
      <c r="T247" s="7"/>
      <c r="U247" s="270" t="s">
        <v>417</v>
      </c>
      <c r="V247" s="270"/>
      <c r="W247" s="270"/>
      <c r="X247" s="270"/>
      <c r="Y247" s="270"/>
      <c r="Z247" s="270"/>
      <c r="AA247" s="270"/>
      <c r="AB247" s="270"/>
      <c r="AC247" s="269" t="n">
        <f aca="false">IFERROR(AH207/N214,"-")</f>
        <v>0.652293973692261</v>
      </c>
      <c r="AD247" s="269"/>
      <c r="AE247" s="269"/>
      <c r="AF247" s="269"/>
      <c r="AG247" s="7"/>
      <c r="AH247" s="7"/>
      <c r="AI247" s="7"/>
      <c r="AJ247" s="7"/>
      <c r="AK247" s="7"/>
      <c r="AL247" s="7"/>
      <c r="AM247" s="7"/>
      <c r="AN247" s="7"/>
      <c r="AO247" s="40"/>
      <c r="AP247" s="7"/>
      <c r="AQ247" s="7"/>
      <c r="AR247" s="7"/>
      <c r="AS247" s="7"/>
      <c r="AT247" s="7"/>
      <c r="AU247" s="7"/>
      <c r="AV247" s="7"/>
      <c r="AW247" s="7"/>
      <c r="AX247" s="7"/>
      <c r="AY247" s="7"/>
      <c r="AZ247" s="7"/>
      <c r="BA247" s="7"/>
      <c r="BB247" s="7"/>
      <c r="BC247" s="7"/>
    </row>
    <row r="248" s="90" customFormat="true" ht="3" hidden="false" customHeight="true" outlineLevel="0" collapsed="false">
      <c r="A248" s="38"/>
      <c r="B248" s="7"/>
      <c r="C248" s="7"/>
      <c r="D248" s="28"/>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40"/>
      <c r="AP248" s="7"/>
      <c r="AQ248" s="7"/>
      <c r="AR248" s="7"/>
      <c r="AS248" s="7"/>
      <c r="AT248" s="7"/>
      <c r="AU248" s="7"/>
      <c r="AV248" s="7"/>
      <c r="AW248" s="7"/>
      <c r="AX248" s="7"/>
      <c r="AY248" s="7"/>
      <c r="AZ248" s="7"/>
      <c r="BA248" s="7"/>
      <c r="BB248" s="7"/>
      <c r="BC248" s="7"/>
    </row>
    <row r="249" s="90" customFormat="true" ht="10.5" hidden="false" customHeight="true" outlineLevel="0" collapsed="false">
      <c r="A249" s="259" t="s">
        <v>418</v>
      </c>
      <c r="B249" s="259"/>
      <c r="C249" s="259"/>
      <c r="D249" s="259"/>
      <c r="E249" s="259"/>
      <c r="F249" s="259"/>
      <c r="G249" s="259"/>
      <c r="H249" s="259"/>
      <c r="I249" s="269" t="n">
        <f aca="false">IFERROR(AJ222/N214,"-")</f>
        <v>0.0129582135209544</v>
      </c>
      <c r="J249" s="269"/>
      <c r="K249" s="269"/>
      <c r="L249" s="269"/>
      <c r="M249" s="7"/>
      <c r="N249" s="7"/>
      <c r="O249" s="7"/>
      <c r="P249" s="7"/>
      <c r="Q249" s="7"/>
      <c r="R249" s="7"/>
      <c r="S249" s="7"/>
      <c r="T249" s="7"/>
      <c r="U249" s="270" t="s">
        <v>419</v>
      </c>
      <c r="V249" s="270"/>
      <c r="W249" s="270"/>
      <c r="X249" s="270"/>
      <c r="Y249" s="270"/>
      <c r="Z249" s="270"/>
      <c r="AA249" s="270"/>
      <c r="AB249" s="270"/>
      <c r="AC249" s="269" t="n">
        <f aca="false">IFERROR(AH207/AH210,"-")</f>
        <v>1.87599271896123</v>
      </c>
      <c r="AD249" s="269"/>
      <c r="AE249" s="269"/>
      <c r="AF249" s="269"/>
      <c r="AG249" s="7"/>
      <c r="AH249" s="7"/>
      <c r="AI249" s="7"/>
      <c r="AJ249" s="7"/>
      <c r="AK249" s="7"/>
      <c r="AL249" s="7"/>
      <c r="AM249" s="7"/>
      <c r="AN249" s="7"/>
      <c r="AO249" s="40"/>
      <c r="AP249" s="7"/>
      <c r="AQ249" s="7"/>
      <c r="AR249" s="7"/>
      <c r="AS249" s="7"/>
      <c r="AT249" s="7"/>
      <c r="AU249" s="7"/>
      <c r="AV249" s="7"/>
      <c r="AW249" s="7"/>
      <c r="AX249" s="7"/>
      <c r="AY249" s="7"/>
      <c r="AZ249" s="7"/>
      <c r="BA249" s="7"/>
      <c r="BB249" s="7"/>
      <c r="BC249" s="7"/>
    </row>
    <row r="250" s="90" customFormat="true" ht="10.5" hidden="false" customHeight="true" outlineLevel="0" collapsed="false">
      <c r="A250" s="45"/>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c r="AA250" s="46"/>
      <c r="AB250" s="46"/>
      <c r="AC250" s="46"/>
      <c r="AD250" s="46"/>
      <c r="AE250" s="46"/>
      <c r="AF250" s="46"/>
      <c r="AG250" s="46"/>
      <c r="AH250" s="46"/>
      <c r="AI250" s="46"/>
      <c r="AJ250" s="46"/>
      <c r="AK250" s="46"/>
      <c r="AL250" s="46"/>
      <c r="AM250" s="46"/>
      <c r="AN250" s="46"/>
      <c r="AO250" s="47"/>
      <c r="AP250" s="7"/>
      <c r="AQ250" s="7"/>
      <c r="AR250" s="7"/>
      <c r="AS250" s="7"/>
      <c r="AT250" s="7"/>
      <c r="AU250" s="7"/>
      <c r="AV250" s="7"/>
      <c r="AW250" s="7"/>
      <c r="AX250" s="7"/>
      <c r="AY250" s="7"/>
      <c r="AZ250" s="7"/>
      <c r="BA250" s="7"/>
      <c r="BB250" s="7"/>
      <c r="BC250" s="7"/>
    </row>
    <row r="251" s="90" customFormat="true" ht="2.25" hidden="false" customHeight="true" outlineLevel="0" collapsed="false">
      <c r="A251" s="6"/>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row>
    <row r="252" s="90" customFormat="true" ht="10.5" hidden="false" customHeight="true" outlineLevel="0" collapsed="false">
      <c r="A252" s="272" t="s">
        <v>420</v>
      </c>
      <c r="B252" s="272"/>
      <c r="C252" s="272"/>
      <c r="D252" s="272"/>
      <c r="E252" s="272"/>
      <c r="F252" s="272"/>
      <c r="G252" s="272"/>
      <c r="H252" s="272"/>
      <c r="I252" s="272"/>
      <c r="J252" s="272"/>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row>
    <row r="253" s="90" customFormat="true" ht="10.5" hidden="false" customHeight="true" outlineLevel="0" collapsed="false">
      <c r="A253" s="273"/>
      <c r="B253" s="274"/>
      <c r="C253" s="274"/>
      <c r="D253" s="274"/>
      <c r="E253" s="274"/>
      <c r="F253" s="274"/>
      <c r="G253" s="274"/>
      <c r="H253" s="274"/>
      <c r="I253" s="274"/>
      <c r="J253" s="274"/>
      <c r="K253" s="274"/>
      <c r="L253" s="274"/>
      <c r="M253" s="274"/>
      <c r="N253" s="274"/>
      <c r="O253" s="274"/>
      <c r="P253" s="274"/>
      <c r="Q253" s="274"/>
      <c r="R253" s="274"/>
      <c r="S253" s="274"/>
      <c r="T253" s="274"/>
      <c r="U253" s="274"/>
      <c r="V253" s="274"/>
      <c r="W253" s="274"/>
      <c r="X253" s="274"/>
      <c r="Y253" s="274"/>
      <c r="Z253" s="274"/>
      <c r="AA253" s="274"/>
      <c r="AB253" s="274"/>
      <c r="AC253" s="274"/>
      <c r="AD253" s="274"/>
      <c r="AE253" s="274"/>
      <c r="AF253" s="274"/>
      <c r="AG253" s="274"/>
      <c r="AH253" s="274"/>
      <c r="AI253" s="274"/>
      <c r="AJ253" s="274"/>
      <c r="AK253" s="274"/>
      <c r="AL253" s="274"/>
      <c r="AM253" s="274"/>
      <c r="AN253" s="274"/>
      <c r="AO253" s="274"/>
      <c r="AP253" s="7"/>
      <c r="AQ253" s="7"/>
      <c r="AR253" s="7"/>
      <c r="AS253" s="7"/>
      <c r="AT253" s="7"/>
      <c r="AU253" s="7"/>
      <c r="AV253" s="7"/>
      <c r="AW253" s="7"/>
      <c r="AX253" s="7"/>
      <c r="AY253" s="7"/>
      <c r="AZ253" s="7"/>
      <c r="BA253" s="7"/>
      <c r="BB253" s="7"/>
      <c r="BC253" s="7"/>
    </row>
    <row r="254" s="90" customFormat="true" ht="9.75" hidden="false" customHeight="true" outlineLevel="0" collapsed="false">
      <c r="A254" s="275"/>
      <c r="B254" s="275"/>
      <c r="C254" s="275"/>
      <c r="D254" s="275"/>
      <c r="E254" s="275"/>
      <c r="F254" s="275"/>
      <c r="G254" s="275"/>
      <c r="H254" s="275"/>
      <c r="I254" s="275"/>
      <c r="J254" s="275"/>
      <c r="K254" s="275"/>
      <c r="L254" s="275"/>
      <c r="M254" s="275"/>
      <c r="N254" s="275"/>
      <c r="O254" s="275"/>
      <c r="P254" s="275"/>
      <c r="Q254" s="275"/>
      <c r="R254" s="275"/>
      <c r="S254" s="275"/>
      <c r="T254" s="275"/>
      <c r="U254" s="275"/>
      <c r="V254" s="275"/>
      <c r="W254" s="275"/>
      <c r="X254" s="275"/>
      <c r="Y254" s="275"/>
      <c r="Z254" s="275"/>
      <c r="AA254" s="275"/>
      <c r="AB254" s="275"/>
      <c r="AC254" s="275"/>
      <c r="AD254" s="275"/>
      <c r="AE254" s="275"/>
      <c r="AF254" s="275"/>
      <c r="AG254" s="275"/>
      <c r="AH254" s="275"/>
      <c r="AI254" s="275"/>
      <c r="AJ254" s="275"/>
      <c r="AK254" s="275"/>
      <c r="AL254" s="275"/>
      <c r="AM254" s="275"/>
      <c r="AN254" s="275"/>
      <c r="AO254" s="275"/>
      <c r="AP254" s="7"/>
      <c r="AQ254" s="7"/>
      <c r="AR254" s="7"/>
      <c r="AS254" s="7"/>
      <c r="AT254" s="7"/>
      <c r="AU254" s="7"/>
      <c r="AV254" s="7"/>
      <c r="AW254" s="7"/>
      <c r="AX254" s="7"/>
      <c r="AY254" s="7"/>
      <c r="AZ254" s="7"/>
      <c r="BA254" s="7"/>
      <c r="BB254" s="7"/>
      <c r="BC254" s="7"/>
    </row>
    <row r="255" s="90" customFormat="true" ht="9.75" hidden="false" customHeight="true" outlineLevel="0" collapsed="false">
      <c r="A255" s="276" t="s">
        <v>421</v>
      </c>
      <c r="B255" s="274"/>
      <c r="C255" s="274"/>
      <c r="D255" s="274"/>
      <c r="E255" s="274"/>
      <c r="F255" s="274"/>
      <c r="G255" s="274"/>
      <c r="H255" s="274"/>
      <c r="I255" s="274"/>
      <c r="J255" s="274"/>
      <c r="K255" s="274"/>
      <c r="L255" s="274"/>
      <c r="M255" s="274"/>
      <c r="N255" s="274"/>
      <c r="O255" s="274"/>
      <c r="P255" s="274"/>
      <c r="Q255" s="274"/>
      <c r="R255" s="274"/>
      <c r="S255" s="274"/>
      <c r="T255" s="274"/>
      <c r="U255" s="274"/>
      <c r="V255" s="274"/>
      <c r="W255" s="274"/>
      <c r="X255" s="274"/>
      <c r="Y255" s="274"/>
      <c r="Z255" s="274"/>
      <c r="AA255" s="274"/>
      <c r="AB255" s="274"/>
      <c r="AC255" s="274"/>
      <c r="AD255" s="274"/>
      <c r="AE255" s="274"/>
      <c r="AF255" s="274"/>
      <c r="AG255" s="274"/>
      <c r="AH255" s="274"/>
      <c r="AI255" s="274"/>
      <c r="AJ255" s="274"/>
      <c r="AK255" s="274"/>
      <c r="AL255" s="274"/>
      <c r="AM255" s="274"/>
      <c r="AN255" s="274"/>
      <c r="AO255" s="274"/>
      <c r="AP255" s="7"/>
      <c r="AQ255" s="7"/>
      <c r="AR255" s="7"/>
      <c r="AS255" s="7"/>
      <c r="AT255" s="7"/>
      <c r="AU255" s="7"/>
      <c r="AV255" s="7"/>
      <c r="AW255" s="7"/>
      <c r="AX255" s="7"/>
      <c r="AY255" s="7"/>
      <c r="AZ255" s="7"/>
      <c r="BA255" s="7"/>
      <c r="BB255" s="7"/>
      <c r="BC255" s="7"/>
    </row>
    <row r="256" s="90" customFormat="true" ht="9.75" hidden="false" customHeight="true" outlineLevel="0" collapsed="false">
      <c r="A256" s="275"/>
      <c r="B256" s="275"/>
      <c r="C256" s="275"/>
      <c r="D256" s="275"/>
      <c r="E256" s="275"/>
      <c r="F256" s="275"/>
      <c r="G256" s="275"/>
      <c r="H256" s="275"/>
      <c r="I256" s="275"/>
      <c r="J256" s="275"/>
      <c r="K256" s="275"/>
      <c r="L256" s="275"/>
      <c r="M256" s="275"/>
      <c r="N256" s="275"/>
      <c r="O256" s="275"/>
      <c r="P256" s="275"/>
      <c r="Q256" s="275"/>
      <c r="R256" s="275"/>
      <c r="S256" s="275"/>
      <c r="T256" s="275"/>
      <c r="U256" s="275"/>
      <c r="V256" s="275"/>
      <c r="W256" s="275"/>
      <c r="X256" s="275"/>
      <c r="Y256" s="275"/>
      <c r="Z256" s="275"/>
      <c r="AA256" s="275"/>
      <c r="AB256" s="275"/>
      <c r="AC256" s="275"/>
      <c r="AD256" s="275"/>
      <c r="AE256" s="275"/>
      <c r="AF256" s="275"/>
      <c r="AG256" s="275"/>
      <c r="AH256" s="275"/>
      <c r="AI256" s="275"/>
      <c r="AJ256" s="275"/>
      <c r="AK256" s="275"/>
      <c r="AL256" s="275"/>
      <c r="AM256" s="275"/>
      <c r="AN256" s="275"/>
      <c r="AO256" s="275"/>
      <c r="AP256" s="7"/>
      <c r="AQ256" s="7"/>
      <c r="AR256" s="7"/>
      <c r="AS256" s="7"/>
      <c r="AT256" s="7"/>
      <c r="AU256" s="7"/>
      <c r="AV256" s="7"/>
      <c r="AW256" s="7"/>
      <c r="AX256" s="7"/>
      <c r="AY256" s="7"/>
      <c r="AZ256" s="7"/>
      <c r="BA256" s="7"/>
      <c r="BB256" s="7"/>
      <c r="BC256" s="7"/>
    </row>
    <row r="257" s="90" customFormat="true" ht="9.75" hidden="false" customHeight="true" outlineLevel="0" collapsed="false">
      <c r="A257" s="276" t="s">
        <v>422</v>
      </c>
      <c r="B257" s="274"/>
      <c r="C257" s="274"/>
      <c r="D257" s="274"/>
      <c r="E257" s="274"/>
      <c r="F257" s="274"/>
      <c r="G257" s="274"/>
      <c r="H257" s="274"/>
      <c r="I257" s="274"/>
      <c r="J257" s="274"/>
      <c r="K257" s="274"/>
      <c r="L257" s="274"/>
      <c r="M257" s="274"/>
      <c r="N257" s="274"/>
      <c r="O257" s="274"/>
      <c r="P257" s="274"/>
      <c r="Q257" s="274"/>
      <c r="R257" s="274"/>
      <c r="S257" s="274"/>
      <c r="T257" s="274"/>
      <c r="U257" s="274"/>
      <c r="V257" s="274"/>
      <c r="W257" s="274"/>
      <c r="X257" s="274"/>
      <c r="Y257" s="274"/>
      <c r="Z257" s="274"/>
      <c r="AA257" s="274"/>
      <c r="AB257" s="274"/>
      <c r="AC257" s="274"/>
      <c r="AD257" s="274"/>
      <c r="AE257" s="274"/>
      <c r="AF257" s="274"/>
      <c r="AG257" s="274"/>
      <c r="AH257" s="274"/>
      <c r="AI257" s="274"/>
      <c r="AJ257" s="274"/>
      <c r="AK257" s="274"/>
      <c r="AL257" s="274"/>
      <c r="AM257" s="274"/>
      <c r="AN257" s="274"/>
      <c r="AO257" s="274"/>
      <c r="AP257" s="7"/>
      <c r="AQ257" s="7"/>
      <c r="AR257" s="7"/>
      <c r="AS257" s="7"/>
      <c r="AT257" s="7"/>
      <c r="AU257" s="7"/>
      <c r="AV257" s="7"/>
      <c r="AW257" s="7"/>
      <c r="AX257" s="7"/>
      <c r="AY257" s="7"/>
      <c r="AZ257" s="7"/>
      <c r="BA257" s="7"/>
      <c r="BB257" s="7"/>
      <c r="BC257" s="7"/>
    </row>
    <row r="258" s="90" customFormat="true" ht="9.75" hidden="false" customHeight="true" outlineLevel="0" collapsed="false">
      <c r="A258" s="275"/>
      <c r="B258" s="275"/>
      <c r="C258" s="275"/>
      <c r="D258" s="275"/>
      <c r="E258" s="275"/>
      <c r="F258" s="275"/>
      <c r="G258" s="275"/>
      <c r="H258" s="275"/>
      <c r="I258" s="275"/>
      <c r="J258" s="275"/>
      <c r="K258" s="275"/>
      <c r="L258" s="275"/>
      <c r="M258" s="275"/>
      <c r="N258" s="275"/>
      <c r="O258" s="275"/>
      <c r="P258" s="275"/>
      <c r="Q258" s="275"/>
      <c r="R258" s="275"/>
      <c r="S258" s="275"/>
      <c r="T258" s="275"/>
      <c r="U258" s="275"/>
      <c r="V258" s="275"/>
      <c r="W258" s="275"/>
      <c r="X258" s="275"/>
      <c r="Y258" s="275"/>
      <c r="Z258" s="275"/>
      <c r="AA258" s="275"/>
      <c r="AB258" s="275"/>
      <c r="AC258" s="275"/>
      <c r="AD258" s="275"/>
      <c r="AE258" s="275"/>
      <c r="AF258" s="275"/>
      <c r="AG258" s="275"/>
      <c r="AH258" s="275"/>
      <c r="AI258" s="275"/>
      <c r="AJ258" s="275"/>
      <c r="AK258" s="275"/>
      <c r="AL258" s="275"/>
      <c r="AM258" s="275"/>
      <c r="AN258" s="275"/>
      <c r="AO258" s="275"/>
      <c r="AP258" s="7"/>
      <c r="AQ258" s="7"/>
      <c r="AR258" s="7"/>
      <c r="AS258" s="7"/>
      <c r="AT258" s="7"/>
      <c r="AU258" s="7"/>
      <c r="AV258" s="7"/>
      <c r="AW258" s="7"/>
      <c r="AX258" s="7"/>
      <c r="AY258" s="7"/>
      <c r="AZ258" s="7"/>
      <c r="BA258" s="7"/>
      <c r="BB258" s="7"/>
      <c r="BC258" s="7"/>
    </row>
    <row r="259" s="90" customFormat="true" ht="9.75" hidden="false" customHeight="true" outlineLevel="0" collapsed="false">
      <c r="A259" s="274"/>
      <c r="B259" s="274"/>
      <c r="C259" s="274"/>
      <c r="D259" s="274"/>
      <c r="E259" s="274"/>
      <c r="F259" s="274"/>
      <c r="G259" s="274"/>
      <c r="H259" s="274"/>
      <c r="I259" s="274"/>
      <c r="J259" s="274"/>
      <c r="K259" s="274"/>
      <c r="L259" s="274"/>
      <c r="M259" s="274"/>
      <c r="N259" s="274"/>
      <c r="O259" s="274"/>
      <c r="P259" s="274"/>
      <c r="Q259" s="274"/>
      <c r="R259" s="274"/>
      <c r="S259" s="274"/>
      <c r="T259" s="274"/>
      <c r="U259" s="274"/>
      <c r="V259" s="274"/>
      <c r="W259" s="274"/>
      <c r="X259" s="274"/>
      <c r="Y259" s="274"/>
      <c r="Z259" s="274"/>
      <c r="AA259" s="274"/>
      <c r="AB259" s="274"/>
      <c r="AC259" s="274"/>
      <c r="AD259" s="274"/>
      <c r="AE259" s="274"/>
      <c r="AF259" s="274"/>
      <c r="AG259" s="274"/>
      <c r="AH259" s="274"/>
      <c r="AI259" s="274"/>
      <c r="AJ259" s="274"/>
      <c r="AK259" s="274"/>
      <c r="AL259" s="274"/>
      <c r="AM259" s="274"/>
      <c r="AN259" s="274"/>
      <c r="AO259" s="274"/>
      <c r="AP259" s="7"/>
      <c r="AQ259" s="7"/>
      <c r="AR259" s="7"/>
      <c r="AS259" s="7"/>
      <c r="AT259" s="7"/>
      <c r="AU259" s="7"/>
      <c r="AV259" s="7"/>
      <c r="AW259" s="7"/>
      <c r="AX259" s="7"/>
      <c r="AY259" s="7"/>
      <c r="AZ259" s="7"/>
      <c r="BA259" s="7"/>
      <c r="BB259" s="7"/>
      <c r="BC259" s="7"/>
    </row>
    <row r="260" s="90" customFormat="true" ht="9.75" hidden="false" customHeight="true" outlineLevel="0" collapsed="false">
      <c r="A260" s="275"/>
      <c r="B260" s="275"/>
      <c r="C260" s="275"/>
      <c r="D260" s="275"/>
      <c r="E260" s="275"/>
      <c r="F260" s="275"/>
      <c r="G260" s="275"/>
      <c r="H260" s="275"/>
      <c r="I260" s="275"/>
      <c r="J260" s="275"/>
      <c r="K260" s="275"/>
      <c r="L260" s="275"/>
      <c r="M260" s="275"/>
      <c r="N260" s="275"/>
      <c r="O260" s="275"/>
      <c r="P260" s="275"/>
      <c r="Q260" s="275"/>
      <c r="R260" s="275"/>
      <c r="S260" s="275"/>
      <c r="T260" s="275"/>
      <c r="U260" s="275"/>
      <c r="V260" s="275"/>
      <c r="W260" s="275"/>
      <c r="X260" s="275"/>
      <c r="Y260" s="275"/>
      <c r="Z260" s="275"/>
      <c r="AA260" s="275"/>
      <c r="AB260" s="275"/>
      <c r="AC260" s="275"/>
      <c r="AD260" s="275"/>
      <c r="AE260" s="275"/>
      <c r="AF260" s="275"/>
      <c r="AG260" s="275"/>
      <c r="AH260" s="275"/>
      <c r="AI260" s="275"/>
      <c r="AJ260" s="275"/>
      <c r="AK260" s="275"/>
      <c r="AL260" s="275"/>
      <c r="AM260" s="275"/>
      <c r="AN260" s="275"/>
      <c r="AO260" s="275"/>
      <c r="AP260" s="7"/>
      <c r="AQ260" s="7"/>
      <c r="AR260" s="7"/>
      <c r="AS260" s="7"/>
      <c r="AT260" s="7"/>
      <c r="AU260" s="7"/>
      <c r="AV260" s="7"/>
      <c r="AW260" s="7"/>
      <c r="AX260" s="7"/>
      <c r="AY260" s="7"/>
      <c r="AZ260" s="7"/>
      <c r="BA260" s="7"/>
      <c r="BB260" s="7"/>
      <c r="BC260" s="7"/>
    </row>
    <row r="261" s="90" customFormat="true" ht="9.75" hidden="false" customHeight="true" outlineLevel="0" collapsed="false">
      <c r="A261" s="274"/>
      <c r="B261" s="274"/>
      <c r="C261" s="274"/>
      <c r="D261" s="274"/>
      <c r="E261" s="274"/>
      <c r="F261" s="274"/>
      <c r="G261" s="274"/>
      <c r="H261" s="274"/>
      <c r="I261" s="274"/>
      <c r="J261" s="274"/>
      <c r="K261" s="274"/>
      <c r="L261" s="274"/>
      <c r="M261" s="274"/>
      <c r="N261" s="274"/>
      <c r="O261" s="274"/>
      <c r="P261" s="274"/>
      <c r="Q261" s="274"/>
      <c r="R261" s="274"/>
      <c r="S261" s="274"/>
      <c r="T261" s="274"/>
      <c r="U261" s="274"/>
      <c r="V261" s="274"/>
      <c r="W261" s="274"/>
      <c r="X261" s="274"/>
      <c r="Y261" s="274"/>
      <c r="Z261" s="274"/>
      <c r="AA261" s="274"/>
      <c r="AB261" s="274"/>
      <c r="AC261" s="274"/>
      <c r="AD261" s="274"/>
      <c r="AE261" s="274"/>
      <c r="AF261" s="274"/>
      <c r="AG261" s="274"/>
      <c r="AH261" s="274"/>
      <c r="AI261" s="274"/>
      <c r="AJ261" s="274"/>
      <c r="AK261" s="274"/>
      <c r="AL261" s="274"/>
      <c r="AM261" s="274"/>
      <c r="AN261" s="274"/>
      <c r="AO261" s="274"/>
      <c r="AP261" s="7"/>
      <c r="AQ261" s="7"/>
      <c r="AR261" s="7"/>
      <c r="AS261" s="7"/>
      <c r="AT261" s="7"/>
      <c r="AU261" s="7"/>
      <c r="AV261" s="7"/>
      <c r="AW261" s="7"/>
      <c r="AX261" s="7"/>
      <c r="AY261" s="7"/>
      <c r="AZ261" s="7"/>
      <c r="BA261" s="7"/>
      <c r="BB261" s="7"/>
      <c r="BC261" s="7"/>
    </row>
    <row r="262" s="90" customFormat="true" ht="9.75" hidden="false" customHeight="true" outlineLevel="0" collapsed="false">
      <c r="A262" s="275"/>
      <c r="B262" s="275"/>
      <c r="C262" s="275"/>
      <c r="D262" s="275"/>
      <c r="E262" s="275"/>
      <c r="F262" s="275"/>
      <c r="G262" s="275"/>
      <c r="H262" s="275"/>
      <c r="I262" s="275"/>
      <c r="J262" s="275"/>
      <c r="K262" s="275"/>
      <c r="L262" s="275"/>
      <c r="M262" s="275"/>
      <c r="N262" s="275"/>
      <c r="O262" s="275"/>
      <c r="P262" s="275"/>
      <c r="Q262" s="275"/>
      <c r="R262" s="275"/>
      <c r="S262" s="275"/>
      <c r="T262" s="275"/>
      <c r="U262" s="275"/>
      <c r="V262" s="275"/>
      <c r="W262" s="275"/>
      <c r="X262" s="275"/>
      <c r="Y262" s="275"/>
      <c r="Z262" s="275"/>
      <c r="AA262" s="275"/>
      <c r="AB262" s="275"/>
      <c r="AC262" s="275"/>
      <c r="AD262" s="275"/>
      <c r="AE262" s="275"/>
      <c r="AF262" s="275"/>
      <c r="AG262" s="275"/>
      <c r="AH262" s="275"/>
      <c r="AI262" s="275"/>
      <c r="AJ262" s="275"/>
      <c r="AK262" s="275"/>
      <c r="AL262" s="275"/>
      <c r="AM262" s="275"/>
      <c r="AN262" s="275"/>
      <c r="AO262" s="275"/>
      <c r="AP262" s="7"/>
      <c r="AQ262" s="7"/>
      <c r="AR262" s="7"/>
      <c r="AS262" s="7"/>
      <c r="AT262" s="7"/>
      <c r="AU262" s="7"/>
      <c r="AV262" s="7"/>
      <c r="AW262" s="7"/>
      <c r="AX262" s="7"/>
      <c r="AY262" s="7"/>
      <c r="AZ262" s="7"/>
      <c r="BA262" s="7"/>
      <c r="BB262" s="7"/>
      <c r="BC262" s="7"/>
    </row>
    <row r="263" s="90" customFormat="true" ht="9.75" hidden="false" customHeight="true" outlineLevel="0" collapsed="false">
      <c r="A263" s="274"/>
      <c r="B263" s="274"/>
      <c r="C263" s="274"/>
      <c r="D263" s="274"/>
      <c r="E263" s="274"/>
      <c r="F263" s="274"/>
      <c r="G263" s="274"/>
      <c r="H263" s="274"/>
      <c r="I263" s="274"/>
      <c r="J263" s="274"/>
      <c r="K263" s="274"/>
      <c r="L263" s="274"/>
      <c r="M263" s="274"/>
      <c r="N263" s="274"/>
      <c r="O263" s="274"/>
      <c r="P263" s="274"/>
      <c r="Q263" s="274"/>
      <c r="R263" s="274"/>
      <c r="S263" s="274"/>
      <c r="T263" s="274"/>
      <c r="U263" s="274"/>
      <c r="V263" s="274"/>
      <c r="W263" s="274"/>
      <c r="X263" s="274"/>
      <c r="Y263" s="274"/>
      <c r="Z263" s="274"/>
      <c r="AA263" s="274"/>
      <c r="AB263" s="274"/>
      <c r="AC263" s="274"/>
      <c r="AD263" s="274"/>
      <c r="AE263" s="274"/>
      <c r="AF263" s="274"/>
      <c r="AG263" s="274"/>
      <c r="AH263" s="274"/>
      <c r="AI263" s="274"/>
      <c r="AJ263" s="274"/>
      <c r="AK263" s="274"/>
      <c r="AL263" s="274"/>
      <c r="AM263" s="274"/>
      <c r="AN263" s="274"/>
      <c r="AO263" s="274"/>
      <c r="AP263" s="7"/>
      <c r="AQ263" s="7"/>
      <c r="AR263" s="7"/>
      <c r="AS263" s="7"/>
      <c r="AT263" s="7"/>
      <c r="AU263" s="7"/>
      <c r="AV263" s="7"/>
      <c r="AW263" s="7"/>
      <c r="AX263" s="7"/>
      <c r="AY263" s="7"/>
      <c r="AZ263" s="7"/>
      <c r="BA263" s="7"/>
      <c r="BB263" s="7"/>
      <c r="BC263" s="7"/>
    </row>
    <row r="264" s="90" customFormat="true" ht="10.5" hidden="false" customHeight="true" outlineLevel="0" collapsed="false">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c r="AQ264" s="7"/>
      <c r="AR264" s="7"/>
      <c r="AS264" s="7"/>
      <c r="AT264" s="7"/>
      <c r="AU264" s="7"/>
      <c r="AV264" s="7"/>
      <c r="AW264" s="7"/>
      <c r="AX264" s="7"/>
      <c r="AY264" s="7"/>
      <c r="AZ264" s="7"/>
      <c r="BA264" s="7"/>
      <c r="BB264" s="7"/>
      <c r="BC264" s="7"/>
    </row>
    <row r="265" s="90" customFormat="true" ht="10.5" hidden="false" customHeight="true" outlineLevel="0" collapsed="false">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c r="AQ265" s="7"/>
      <c r="AR265" s="7"/>
      <c r="AS265" s="7"/>
      <c r="AT265" s="7"/>
      <c r="AU265" s="7"/>
      <c r="AV265" s="7"/>
      <c r="AW265" s="7"/>
      <c r="AX265" s="7"/>
      <c r="AY265" s="7"/>
      <c r="AZ265" s="7"/>
      <c r="BA265" s="7"/>
      <c r="BB265" s="7"/>
      <c r="BC265" s="7"/>
    </row>
    <row r="266" s="90" customFormat="true" ht="10.5" hidden="false" customHeight="true" outlineLevel="0" collapsed="false">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c r="AQ266" s="7"/>
      <c r="AR266" s="7"/>
      <c r="AS266" s="7"/>
      <c r="AT266" s="7"/>
      <c r="AU266" s="7"/>
      <c r="AV266" s="7"/>
      <c r="AW266" s="7"/>
      <c r="AX266" s="7"/>
      <c r="AY266" s="7"/>
      <c r="AZ266" s="7"/>
      <c r="BA266" s="7"/>
      <c r="BB266" s="7"/>
      <c r="BC266" s="7"/>
    </row>
    <row r="267" s="90" customFormat="true" ht="10.5" hidden="false" customHeight="true" outlineLevel="0" collapsed="false">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c r="AQ267" s="7"/>
      <c r="AR267" s="7"/>
      <c r="AS267" s="7"/>
      <c r="AT267" s="7"/>
      <c r="AU267" s="7"/>
      <c r="AV267" s="7"/>
      <c r="AW267" s="7"/>
      <c r="AX267" s="7"/>
      <c r="AY267" s="7"/>
      <c r="AZ267" s="7"/>
      <c r="BA267" s="7"/>
      <c r="BB267" s="7"/>
      <c r="BC267" s="7"/>
    </row>
    <row r="268" s="90" customFormat="true" ht="10.5" hidden="false" customHeight="true" outlineLevel="0" collapsed="false">
      <c r="A268" s="7"/>
      <c r="B268" s="7"/>
      <c r="C268" s="7"/>
      <c r="D268" s="7"/>
      <c r="E268" s="39"/>
      <c r="F268" s="39"/>
      <c r="G268" s="39"/>
      <c r="H268" s="39"/>
      <c r="I268" s="39"/>
      <c r="J268" s="39"/>
      <c r="K268" s="39"/>
      <c r="L268" s="39"/>
      <c r="M268" s="39"/>
      <c r="N268" s="277"/>
      <c r="O268" s="277"/>
      <c r="W268" s="7"/>
      <c r="X268" s="7"/>
      <c r="Y268" s="7"/>
      <c r="Z268" s="39"/>
      <c r="AA268" s="278" t="n">
        <f aca="false">AF6</f>
        <v>46202</v>
      </c>
      <c r="AB268" s="278"/>
      <c r="AC268" s="278"/>
      <c r="AD268" s="278"/>
      <c r="AE268" s="278"/>
      <c r="AF268" s="278"/>
      <c r="AG268" s="278"/>
      <c r="AH268" s="278"/>
      <c r="AI268" s="278"/>
      <c r="AJ268" s="278"/>
      <c r="AK268" s="278"/>
      <c r="AL268" s="278"/>
      <c r="AM268" s="278"/>
      <c r="AN268" s="39"/>
      <c r="AO268" s="7"/>
      <c r="AP268" s="7"/>
      <c r="AQ268" s="7"/>
      <c r="AR268" s="7"/>
      <c r="AS268" s="7"/>
      <c r="AT268" s="7"/>
      <c r="AU268" s="7"/>
      <c r="AV268" s="7"/>
      <c r="AW268" s="7"/>
      <c r="AX268" s="7"/>
      <c r="AY268" s="7"/>
      <c r="AZ268" s="7"/>
      <c r="BA268" s="7"/>
      <c r="BB268" s="7"/>
      <c r="BC268" s="7"/>
    </row>
    <row r="269" s="90" customFormat="true" ht="10.5" hidden="false" customHeight="true" outlineLevel="0" collapsed="false">
      <c r="A269" s="7"/>
      <c r="B269" s="7"/>
      <c r="C269" s="7"/>
      <c r="D269" s="279"/>
      <c r="E269" s="127" t="s">
        <v>423</v>
      </c>
      <c r="F269" s="127"/>
      <c r="G269" s="127"/>
      <c r="H269" s="127"/>
      <c r="I269" s="127"/>
      <c r="J269" s="127"/>
      <c r="K269" s="127"/>
      <c r="L269" s="127"/>
      <c r="M269" s="127"/>
      <c r="N269" s="127"/>
      <c r="W269" s="7"/>
      <c r="X269" s="7"/>
      <c r="Y269" s="7"/>
      <c r="Z269" s="7"/>
      <c r="AA269" s="21" t="s">
        <v>424</v>
      </c>
      <c r="AB269" s="21"/>
      <c r="AC269" s="21"/>
      <c r="AD269" s="21"/>
      <c r="AE269" s="21"/>
      <c r="AF269" s="21"/>
      <c r="AG269" s="21"/>
      <c r="AH269" s="21"/>
      <c r="AI269" s="21"/>
      <c r="AJ269" s="21"/>
      <c r="AK269" s="21"/>
      <c r="AL269" s="21"/>
      <c r="AM269" s="21"/>
      <c r="AN269" s="7"/>
      <c r="AO269" s="7"/>
      <c r="AP269" s="7"/>
      <c r="AQ269" s="7"/>
      <c r="AR269" s="7"/>
      <c r="AS269" s="7"/>
      <c r="AT269" s="7"/>
      <c r="AU269" s="7"/>
      <c r="AV269" s="7"/>
      <c r="AW269" s="7"/>
      <c r="AX269" s="7"/>
      <c r="AY269" s="7"/>
      <c r="AZ269" s="7"/>
      <c r="BA269" s="7"/>
      <c r="BB269" s="7"/>
      <c r="BC269" s="7"/>
    </row>
    <row r="270" s="90" customFormat="true" ht="10.5" hidden="false" customHeight="true" outlineLevel="0" collapsed="false">
      <c r="A270" s="7"/>
      <c r="B270" s="7"/>
      <c r="C270" s="7"/>
      <c r="D270" s="13" t="str">
        <f aca="false">+D10</f>
        <v>JARAMILLO JIMENEZ CARLOS ISRAEL</v>
      </c>
      <c r="E270" s="13"/>
      <c r="F270" s="13"/>
      <c r="G270" s="13"/>
      <c r="H270" s="13"/>
      <c r="I270" s="13"/>
      <c r="J270" s="13"/>
      <c r="K270" s="13"/>
      <c r="L270" s="13"/>
      <c r="M270" s="13"/>
      <c r="N270" s="13"/>
      <c r="O270" s="13"/>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c r="AQ270" s="7"/>
      <c r="AR270" s="7"/>
      <c r="AS270" s="7"/>
      <c r="AT270" s="7"/>
      <c r="AU270" s="7"/>
      <c r="AV270" s="7"/>
      <c r="AW270" s="7"/>
      <c r="AX270" s="7"/>
      <c r="AY270" s="7"/>
      <c r="AZ270" s="7"/>
      <c r="BA270" s="7"/>
      <c r="BB270" s="7"/>
      <c r="BC270" s="7"/>
    </row>
    <row r="271" s="90" customFormat="true" ht="2.25" hidden="false" customHeight="true" outlineLevel="0" collapsed="false">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c r="AQ271" s="7"/>
      <c r="AR271" s="7"/>
      <c r="AS271" s="7"/>
      <c r="AT271" s="7"/>
      <c r="AU271" s="7"/>
      <c r="AV271" s="7"/>
      <c r="AW271" s="7"/>
      <c r="AX271" s="7"/>
      <c r="AY271" s="7"/>
      <c r="AZ271" s="7"/>
      <c r="BA271" s="7"/>
      <c r="BB271" s="7"/>
      <c r="BC271" s="7"/>
    </row>
    <row r="272" s="90" customFormat="true" ht="10.5" hidden="false" customHeight="true" outlineLevel="0" collapsed="false">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c r="AQ272" s="7"/>
      <c r="AR272" s="7"/>
      <c r="AS272" s="7"/>
      <c r="AT272" s="7"/>
      <c r="AU272" s="7"/>
      <c r="AV272" s="7"/>
      <c r="AW272" s="7"/>
      <c r="AX272" s="7"/>
      <c r="AY272" s="7"/>
      <c r="AZ272" s="7"/>
      <c r="BA272" s="7"/>
      <c r="BB272" s="7"/>
      <c r="BC272" s="7"/>
    </row>
    <row r="273" s="7" customFormat="true" ht="2.25" hidden="false" customHeight="true" outlineLevel="0" collapsed="false"/>
    <row r="274" s="7" customFormat="true" ht="10.5" hidden="false" customHeight="true" outlineLevel="0" collapsed="false"/>
    <row r="275" s="90" customFormat="true" ht="2.25" hidden="false" customHeight="true" outlineLevel="0" collapsed="false">
      <c r="A275" s="6"/>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c r="AO275" s="7"/>
      <c r="AP275" s="7"/>
      <c r="AQ275" s="7"/>
      <c r="AR275" s="7"/>
      <c r="AS275" s="7"/>
      <c r="AT275" s="7"/>
      <c r="AU275" s="7"/>
      <c r="AV275" s="7"/>
      <c r="AW275" s="7"/>
      <c r="AX275" s="7"/>
      <c r="AY275" s="7"/>
      <c r="AZ275" s="7"/>
      <c r="BA275" s="7"/>
      <c r="BB275" s="7"/>
      <c r="BC275" s="7"/>
    </row>
    <row r="1048576" customFormat="false" ht="12.75" hidden="false" customHeight="true" outlineLevel="0" collapsed="false"/>
  </sheetData>
  <sheetProtection algorithmName="SHA-512" hashValue="Uj04zvoqo2aspdzQacERaG75zqhOMe7kN1Ra8/KS09DPEA2OxWnxqiHz/MezaeoWBvsTYsdP9ipPPU0ky2t0oA==" saltValue="6+kr3io91zSKvby6DXyqlw==" spinCount="100000" sheet="true" objects="true" scenarios="true"/>
  <mergeCells count="967">
    <mergeCell ref="A1:AC2"/>
    <mergeCell ref="N3:W3"/>
    <mergeCell ref="A4:AO4"/>
    <mergeCell ref="A6:E6"/>
    <mergeCell ref="I6:L6"/>
    <mergeCell ref="P6:S6"/>
    <mergeCell ref="T6:Z6"/>
    <mergeCell ref="AC6:AE6"/>
    <mergeCell ref="AF6:AO6"/>
    <mergeCell ref="A8:O8"/>
    <mergeCell ref="Q8:S8"/>
    <mergeCell ref="U8:W8"/>
    <mergeCell ref="Y8:AC8"/>
    <mergeCell ref="AE8:AK8"/>
    <mergeCell ref="A10:C10"/>
    <mergeCell ref="D10:P10"/>
    <mergeCell ref="Q10:V10"/>
    <mergeCell ref="W10:AC10"/>
    <mergeCell ref="AE10:AK10"/>
    <mergeCell ref="AL10:AO10"/>
    <mergeCell ref="A12:B12"/>
    <mergeCell ref="C12:F12"/>
    <mergeCell ref="G12:J12"/>
    <mergeCell ref="K12:L12"/>
    <mergeCell ref="M12:O12"/>
    <mergeCell ref="P12:S12"/>
    <mergeCell ref="T12:W12"/>
    <mergeCell ref="X12:AC12"/>
    <mergeCell ref="AD12:AF12"/>
    <mergeCell ref="AG12:AO12"/>
    <mergeCell ref="A14:F14"/>
    <mergeCell ref="G14:AO14"/>
    <mergeCell ref="A16:AO16"/>
    <mergeCell ref="A18:B18"/>
    <mergeCell ref="C18:E18"/>
    <mergeCell ref="F18:L18"/>
    <mergeCell ref="M18:AE18"/>
    <mergeCell ref="AF18:AH18"/>
    <mergeCell ref="AI18:AO18"/>
    <mergeCell ref="A20:D20"/>
    <mergeCell ref="E20:H20"/>
    <mergeCell ref="I20:Q20"/>
    <mergeCell ref="R20:V20"/>
    <mergeCell ref="W20:Y20"/>
    <mergeCell ref="Z20:AA20"/>
    <mergeCell ref="AB20:AC20"/>
    <mergeCell ref="AD20:AF20"/>
    <mergeCell ref="AG20:AO20"/>
    <mergeCell ref="A22:C22"/>
    <mergeCell ref="E22:F22"/>
    <mergeCell ref="G22:K22"/>
    <mergeCell ref="L22:P22"/>
    <mergeCell ref="Q22:T22"/>
    <mergeCell ref="U22:W22"/>
    <mergeCell ref="X22:AC22"/>
    <mergeCell ref="AD22:AI22"/>
    <mergeCell ref="AJ22:AN22"/>
    <mergeCell ref="A24:AO24"/>
    <mergeCell ref="A26:C26"/>
    <mergeCell ref="D26:H26"/>
    <mergeCell ref="I26:K26"/>
    <mergeCell ref="L26:O26"/>
    <mergeCell ref="P26:S26"/>
    <mergeCell ref="T26:X26"/>
    <mergeCell ref="Y26:AC26"/>
    <mergeCell ref="AD26:AO26"/>
    <mergeCell ref="A28:E28"/>
    <mergeCell ref="F28:M28"/>
    <mergeCell ref="N28:R28"/>
    <mergeCell ref="S28:Z28"/>
    <mergeCell ref="AA28:AB28"/>
    <mergeCell ref="AC28:AO28"/>
    <mergeCell ref="A30:D30"/>
    <mergeCell ref="E30:H30"/>
    <mergeCell ref="I30:K30"/>
    <mergeCell ref="L30:R30"/>
    <mergeCell ref="S30:U30"/>
    <mergeCell ref="V30:Y30"/>
    <mergeCell ref="Z30:AB30"/>
    <mergeCell ref="AC30:AF30"/>
    <mergeCell ref="AG30:AJ30"/>
    <mergeCell ref="AK30:AO30"/>
    <mergeCell ref="A32:E32"/>
    <mergeCell ref="F32:I32"/>
    <mergeCell ref="J32:M32"/>
    <mergeCell ref="N32:Q32"/>
    <mergeCell ref="R32:W32"/>
    <mergeCell ref="X32:AO32"/>
    <mergeCell ref="A34:AO34"/>
    <mergeCell ref="A36:B36"/>
    <mergeCell ref="C36:E36"/>
    <mergeCell ref="F36:L36"/>
    <mergeCell ref="M36:AE36"/>
    <mergeCell ref="AF36:AH36"/>
    <mergeCell ref="AI36:AO36"/>
    <mergeCell ref="A38:D38"/>
    <mergeCell ref="E38:H38"/>
    <mergeCell ref="I38:Q38"/>
    <mergeCell ref="R38:Y38"/>
    <mergeCell ref="Z38:AA38"/>
    <mergeCell ref="AB38:AC38"/>
    <mergeCell ref="AD38:AE38"/>
    <mergeCell ref="AF38:AO38"/>
    <mergeCell ref="A40:C40"/>
    <mergeCell ref="F40:K40"/>
    <mergeCell ref="L40:O40"/>
    <mergeCell ref="R40:W40"/>
    <mergeCell ref="X40:AO40"/>
    <mergeCell ref="A42:AO42"/>
    <mergeCell ref="B44:H44"/>
    <mergeCell ref="K44:R44"/>
    <mergeCell ref="T44:W44"/>
    <mergeCell ref="Y44:AF44"/>
    <mergeCell ref="A46:AO46"/>
    <mergeCell ref="A48:H48"/>
    <mergeCell ref="I48:W48"/>
    <mergeCell ref="X48:AO48"/>
    <mergeCell ref="A49:H49"/>
    <mergeCell ref="I49:W49"/>
    <mergeCell ref="X49:AO49"/>
    <mergeCell ref="A50:H50"/>
    <mergeCell ref="I50:W50"/>
    <mergeCell ref="X50:AO50"/>
    <mergeCell ref="A51:H51"/>
    <mergeCell ref="I51:W51"/>
    <mergeCell ref="X51:AO51"/>
    <mergeCell ref="A52:H52"/>
    <mergeCell ref="I52:W52"/>
    <mergeCell ref="X52:AO52"/>
    <mergeCell ref="A53:H53"/>
    <mergeCell ref="I53:W53"/>
    <mergeCell ref="X53:AO53"/>
    <mergeCell ref="A54:H54"/>
    <mergeCell ref="I54:W54"/>
    <mergeCell ref="X54:AO54"/>
    <mergeCell ref="A55:H55"/>
    <mergeCell ref="I55:W55"/>
    <mergeCell ref="X55:AO55"/>
    <mergeCell ref="A57:H57"/>
    <mergeCell ref="J57:K57"/>
    <mergeCell ref="O57:P57"/>
    <mergeCell ref="AA57:AB57"/>
    <mergeCell ref="AD57:AE57"/>
    <mergeCell ref="AF57:AG57"/>
    <mergeCell ref="A59:AO59"/>
    <mergeCell ref="A60:I60"/>
    <mergeCell ref="J60:AO60"/>
    <mergeCell ref="A62:G62"/>
    <mergeCell ref="H62:T62"/>
    <mergeCell ref="V62:AA62"/>
    <mergeCell ref="AB62:AC62"/>
    <mergeCell ref="AE62:AJ62"/>
    <mergeCell ref="AK62:AL62"/>
    <mergeCell ref="A64:G64"/>
    <mergeCell ref="H64:S64"/>
    <mergeCell ref="T64:X64"/>
    <mergeCell ref="Y64:AB64"/>
    <mergeCell ref="AC64:AG64"/>
    <mergeCell ref="AH64:AO64"/>
    <mergeCell ref="A66:C66"/>
    <mergeCell ref="D66:H66"/>
    <mergeCell ref="I66:K66"/>
    <mergeCell ref="L66:P66"/>
    <mergeCell ref="Q66:S66"/>
    <mergeCell ref="T66:X66"/>
    <mergeCell ref="Y66:AC66"/>
    <mergeCell ref="AD66:AO66"/>
    <mergeCell ref="A68:E68"/>
    <mergeCell ref="F68:M68"/>
    <mergeCell ref="N68:R68"/>
    <mergeCell ref="S68:Z68"/>
    <mergeCell ref="AA68:AB68"/>
    <mergeCell ref="AC68:AO68"/>
    <mergeCell ref="A70:AO70"/>
    <mergeCell ref="A71:K71"/>
    <mergeCell ref="L71:Z71"/>
    <mergeCell ref="AA71:AF71"/>
    <mergeCell ref="AG71:AO71"/>
    <mergeCell ref="A72:K72"/>
    <mergeCell ref="L72:Z72"/>
    <mergeCell ref="AA72:AF72"/>
    <mergeCell ref="AG72:AO72"/>
    <mergeCell ref="A73:K73"/>
    <mergeCell ref="L73:Z73"/>
    <mergeCell ref="AA73:AF73"/>
    <mergeCell ref="AG73:AO73"/>
    <mergeCell ref="A74:K74"/>
    <mergeCell ref="L74:Z74"/>
    <mergeCell ref="AA74:AF74"/>
    <mergeCell ref="AG74:AO74"/>
    <mergeCell ref="A76:S76"/>
    <mergeCell ref="U76:AO76"/>
    <mergeCell ref="A87:AO89"/>
    <mergeCell ref="Y90:AO90"/>
    <mergeCell ref="Y92:AA92"/>
    <mergeCell ref="AD92:AE92"/>
    <mergeCell ref="AH92:AL92"/>
    <mergeCell ref="B94:J94"/>
    <mergeCell ref="N94:V94"/>
    <mergeCell ref="Y94:AB94"/>
    <mergeCell ref="AC95:AO95"/>
    <mergeCell ref="A97:AO97"/>
    <mergeCell ref="A98:AO98"/>
    <mergeCell ref="A99:AO99"/>
    <mergeCell ref="A100:I100"/>
    <mergeCell ref="J100:L100"/>
    <mergeCell ref="M100:O100"/>
    <mergeCell ref="P100:R100"/>
    <mergeCell ref="S100:V100"/>
    <mergeCell ref="W100:Z100"/>
    <mergeCell ref="AA100:AD100"/>
    <mergeCell ref="AE100:AG100"/>
    <mergeCell ref="AH100:AK100"/>
    <mergeCell ref="AL100:AO100"/>
    <mergeCell ref="B101:I101"/>
    <mergeCell ref="J101:L101"/>
    <mergeCell ref="M101:O101"/>
    <mergeCell ref="P101:R101"/>
    <mergeCell ref="S101:V101"/>
    <mergeCell ref="W101:Z101"/>
    <mergeCell ref="AA101:AD101"/>
    <mergeCell ref="AE101:AG101"/>
    <mergeCell ref="AH101:AK101"/>
    <mergeCell ref="AL101:AO101"/>
    <mergeCell ref="B102:I102"/>
    <mergeCell ref="J102:L102"/>
    <mergeCell ref="M102:O102"/>
    <mergeCell ref="P102:R102"/>
    <mergeCell ref="S102:V102"/>
    <mergeCell ref="W102:Z102"/>
    <mergeCell ref="AA102:AD102"/>
    <mergeCell ref="AE102:AG102"/>
    <mergeCell ref="AH102:AK102"/>
    <mergeCell ref="AL102:AO102"/>
    <mergeCell ref="B103:I103"/>
    <mergeCell ref="J103:L103"/>
    <mergeCell ref="M103:O103"/>
    <mergeCell ref="P103:R103"/>
    <mergeCell ref="S103:V103"/>
    <mergeCell ref="W103:Z103"/>
    <mergeCell ref="AA103:AD103"/>
    <mergeCell ref="AE103:AG103"/>
    <mergeCell ref="AH103:AK103"/>
    <mergeCell ref="AL103:AO103"/>
    <mergeCell ref="B104:I104"/>
    <mergeCell ref="J104:L104"/>
    <mergeCell ref="M104:O104"/>
    <mergeCell ref="P104:R104"/>
    <mergeCell ref="S104:V104"/>
    <mergeCell ref="W104:Z104"/>
    <mergeCell ref="AA104:AD104"/>
    <mergeCell ref="AE104:AG104"/>
    <mergeCell ref="AH104:AK104"/>
    <mergeCell ref="AL104:AO104"/>
    <mergeCell ref="B105:I105"/>
    <mergeCell ref="J105:L105"/>
    <mergeCell ref="M105:O105"/>
    <mergeCell ref="P105:R105"/>
    <mergeCell ref="S105:V105"/>
    <mergeCell ref="W105:Z105"/>
    <mergeCell ref="AA105:AD105"/>
    <mergeCell ref="AE105:AG105"/>
    <mergeCell ref="AH105:AK105"/>
    <mergeCell ref="AL105:AO105"/>
    <mergeCell ref="B106:I106"/>
    <mergeCell ref="J106:L106"/>
    <mergeCell ref="M106:O106"/>
    <mergeCell ref="P106:R106"/>
    <mergeCell ref="S106:V106"/>
    <mergeCell ref="W106:Z106"/>
    <mergeCell ref="AA106:AD106"/>
    <mergeCell ref="AE106:AG106"/>
    <mergeCell ref="AH106:AK106"/>
    <mergeCell ref="AL106:AO106"/>
    <mergeCell ref="B107:I107"/>
    <mergeCell ref="J107:L107"/>
    <mergeCell ref="M107:O107"/>
    <mergeCell ref="P107:R107"/>
    <mergeCell ref="S107:V107"/>
    <mergeCell ref="W107:Z107"/>
    <mergeCell ref="AA107:AD107"/>
    <mergeCell ref="AE107:AG107"/>
    <mergeCell ref="AH107:AK107"/>
    <mergeCell ref="AL107:AO107"/>
    <mergeCell ref="B108:I108"/>
    <mergeCell ref="J108:L108"/>
    <mergeCell ref="M108:O108"/>
    <mergeCell ref="P108:R108"/>
    <mergeCell ref="S108:V108"/>
    <mergeCell ref="W108:Z108"/>
    <mergeCell ref="AA108:AD108"/>
    <mergeCell ref="AE108:AG108"/>
    <mergeCell ref="AH108:AK108"/>
    <mergeCell ref="AL108:AO108"/>
    <mergeCell ref="B109:I109"/>
    <mergeCell ref="J109:L109"/>
    <mergeCell ref="M109:O109"/>
    <mergeCell ref="P109:R109"/>
    <mergeCell ref="S109:V109"/>
    <mergeCell ref="W109:Z109"/>
    <mergeCell ref="AA109:AD109"/>
    <mergeCell ref="AE109:AG109"/>
    <mergeCell ref="AH109:AK109"/>
    <mergeCell ref="AL109:AO109"/>
    <mergeCell ref="B110:I110"/>
    <mergeCell ref="J110:L110"/>
    <mergeCell ref="M110:O110"/>
    <mergeCell ref="P110:R110"/>
    <mergeCell ref="S110:V110"/>
    <mergeCell ref="W110:Z110"/>
    <mergeCell ref="AA110:AD110"/>
    <mergeCell ref="AE110:AG110"/>
    <mergeCell ref="AH110:AK110"/>
    <mergeCell ref="AL110:AO110"/>
    <mergeCell ref="B111:I111"/>
    <mergeCell ref="J111:L111"/>
    <mergeCell ref="M111:O111"/>
    <mergeCell ref="P111:R111"/>
    <mergeCell ref="S111:V111"/>
    <mergeCell ref="W111:Z111"/>
    <mergeCell ref="AA111:AD111"/>
    <mergeCell ref="AE111:AG111"/>
    <mergeCell ref="AH111:AK111"/>
    <mergeCell ref="AL111:AO111"/>
    <mergeCell ref="B112:I112"/>
    <mergeCell ref="J112:L112"/>
    <mergeCell ref="M112:O112"/>
    <mergeCell ref="P112:R112"/>
    <mergeCell ref="S112:V112"/>
    <mergeCell ref="W112:Z112"/>
    <mergeCell ref="AA112:AD112"/>
    <mergeCell ref="AE112:AG112"/>
    <mergeCell ref="AH112:AK112"/>
    <mergeCell ref="AL112:AO112"/>
    <mergeCell ref="B113:I113"/>
    <mergeCell ref="J113:L113"/>
    <mergeCell ref="M113:O113"/>
    <mergeCell ref="P113:R113"/>
    <mergeCell ref="S113:V113"/>
    <mergeCell ref="W113:Z113"/>
    <mergeCell ref="AA113:AD113"/>
    <mergeCell ref="AE113:AG113"/>
    <mergeCell ref="AH113:AK113"/>
    <mergeCell ref="AL113:AO113"/>
    <mergeCell ref="A114:V114"/>
    <mergeCell ref="W114:Z114"/>
    <mergeCell ref="AA114:AD114"/>
    <mergeCell ref="AE114:AG114"/>
    <mergeCell ref="AH114:AK114"/>
    <mergeCell ref="AL114:AO114"/>
    <mergeCell ref="A116:AO116"/>
    <mergeCell ref="A117:R117"/>
    <mergeCell ref="S117:T127"/>
    <mergeCell ref="U117:AO117"/>
    <mergeCell ref="A118:I118"/>
    <mergeCell ref="J118:L118"/>
    <mergeCell ref="M118:O118"/>
    <mergeCell ref="P118:R118"/>
    <mergeCell ref="U118:AF118"/>
    <mergeCell ref="AG118:AI118"/>
    <mergeCell ref="AJ118:AL118"/>
    <mergeCell ref="AM118:AO118"/>
    <mergeCell ref="A119:I119"/>
    <mergeCell ref="J119:L119"/>
    <mergeCell ref="M119:O119"/>
    <mergeCell ref="P119:R119"/>
    <mergeCell ref="U119:AF119"/>
    <mergeCell ref="AG119:AI119"/>
    <mergeCell ref="AJ119:AL119"/>
    <mergeCell ref="AM119:AO119"/>
    <mergeCell ref="A120:I120"/>
    <mergeCell ref="J120:L120"/>
    <mergeCell ref="M120:O120"/>
    <mergeCell ref="P120:R120"/>
    <mergeCell ref="U120:AF120"/>
    <mergeCell ref="AG120:AI120"/>
    <mergeCell ref="AJ120:AL120"/>
    <mergeCell ref="AM120:AO120"/>
    <mergeCell ref="A121:I121"/>
    <mergeCell ref="J121:L121"/>
    <mergeCell ref="M121:O121"/>
    <mergeCell ref="P121:R121"/>
    <mergeCell ref="U121:AF121"/>
    <mergeCell ref="AG121:AI121"/>
    <mergeCell ref="AJ121:AL121"/>
    <mergeCell ref="AM121:AO121"/>
    <mergeCell ref="A122:I122"/>
    <mergeCell ref="J122:L122"/>
    <mergeCell ref="M122:O122"/>
    <mergeCell ref="P122:R122"/>
    <mergeCell ref="U122:AF122"/>
    <mergeCell ref="AG122:AI122"/>
    <mergeCell ref="AJ122:AL122"/>
    <mergeCell ref="AM122:AO122"/>
    <mergeCell ref="A123:I123"/>
    <mergeCell ref="J123:L123"/>
    <mergeCell ref="M123:O123"/>
    <mergeCell ref="P123:R123"/>
    <mergeCell ref="U123:AF123"/>
    <mergeCell ref="AG123:AI123"/>
    <mergeCell ref="AJ123:AL123"/>
    <mergeCell ref="AM123:AO123"/>
    <mergeCell ref="A124:I124"/>
    <mergeCell ref="J124:L124"/>
    <mergeCell ref="M124:O124"/>
    <mergeCell ref="P124:R124"/>
    <mergeCell ref="U124:AF124"/>
    <mergeCell ref="AG124:AI124"/>
    <mergeCell ref="AJ124:AL124"/>
    <mergeCell ref="AM124:AO124"/>
    <mergeCell ref="A125:I125"/>
    <mergeCell ref="J125:L125"/>
    <mergeCell ref="M125:O125"/>
    <mergeCell ref="P125:R125"/>
    <mergeCell ref="U125:AF125"/>
    <mergeCell ref="AG125:AI125"/>
    <mergeCell ref="AJ125:AL125"/>
    <mergeCell ref="AM125:AO125"/>
    <mergeCell ref="A126:I126"/>
    <mergeCell ref="J126:L126"/>
    <mergeCell ref="M126:O126"/>
    <mergeCell ref="P126:R126"/>
    <mergeCell ref="U126:AF126"/>
    <mergeCell ref="AG126:AI126"/>
    <mergeCell ref="AJ126:AL126"/>
    <mergeCell ref="AM126:AO126"/>
    <mergeCell ref="A127:N127"/>
    <mergeCell ref="O127:R127"/>
    <mergeCell ref="U127:AJ127"/>
    <mergeCell ref="AK127:AO127"/>
    <mergeCell ref="M129:R129"/>
    <mergeCell ref="S129:V129"/>
    <mergeCell ref="A131:AO131"/>
    <mergeCell ref="A132:D132"/>
    <mergeCell ref="E132:R132"/>
    <mergeCell ref="S132:S146"/>
    <mergeCell ref="T132:W132"/>
    <mergeCell ref="X132:AO132"/>
    <mergeCell ref="A133:I133"/>
    <mergeCell ref="J133:L133"/>
    <mergeCell ref="M133:O133"/>
    <mergeCell ref="P133:R133"/>
    <mergeCell ref="T133:AD133"/>
    <mergeCell ref="AE133:AG133"/>
    <mergeCell ref="AH133:AK133"/>
    <mergeCell ref="AL133:AO133"/>
    <mergeCell ref="A134:I134"/>
    <mergeCell ref="J134:L134"/>
    <mergeCell ref="M134:O134"/>
    <mergeCell ref="P134:R134"/>
    <mergeCell ref="T134:AD134"/>
    <mergeCell ref="AE134:AG134"/>
    <mergeCell ref="AH134:AK134"/>
    <mergeCell ref="AL134:AO134"/>
    <mergeCell ref="A135:I135"/>
    <mergeCell ref="J135:L135"/>
    <mergeCell ref="M135:O135"/>
    <mergeCell ref="P135:R135"/>
    <mergeCell ref="T135:AD135"/>
    <mergeCell ref="AE135:AG135"/>
    <mergeCell ref="AH135:AK135"/>
    <mergeCell ref="AL135:AO135"/>
    <mergeCell ref="A136:I136"/>
    <mergeCell ref="J136:L136"/>
    <mergeCell ref="M136:O136"/>
    <mergeCell ref="P136:R136"/>
    <mergeCell ref="T136:AD136"/>
    <mergeCell ref="AE136:AG136"/>
    <mergeCell ref="AH136:AK136"/>
    <mergeCell ref="AL136:AO136"/>
    <mergeCell ref="A137:I137"/>
    <mergeCell ref="J137:L137"/>
    <mergeCell ref="M137:O137"/>
    <mergeCell ref="P137:R137"/>
    <mergeCell ref="T137:AD137"/>
    <mergeCell ref="AE137:AG137"/>
    <mergeCell ref="AH137:AK137"/>
    <mergeCell ref="AL137:AO137"/>
    <mergeCell ref="A138:I138"/>
    <mergeCell ref="J138:L138"/>
    <mergeCell ref="M138:O138"/>
    <mergeCell ref="P138:R138"/>
    <mergeCell ref="T138:AD138"/>
    <mergeCell ref="AE138:AG138"/>
    <mergeCell ref="AH138:AK138"/>
    <mergeCell ref="AL138:AO138"/>
    <mergeCell ref="A139:I139"/>
    <mergeCell ref="J139:L139"/>
    <mergeCell ref="M139:O139"/>
    <mergeCell ref="P139:R139"/>
    <mergeCell ref="T139:AD139"/>
    <mergeCell ref="AE139:AG139"/>
    <mergeCell ref="AH139:AK139"/>
    <mergeCell ref="AL139:AO139"/>
    <mergeCell ref="A140:I140"/>
    <mergeCell ref="J140:L140"/>
    <mergeCell ref="M140:O140"/>
    <mergeCell ref="P140:R140"/>
    <mergeCell ref="T140:AD140"/>
    <mergeCell ref="AE140:AG140"/>
    <mergeCell ref="AH140:AK140"/>
    <mergeCell ref="AL140:AO140"/>
    <mergeCell ref="A141:I141"/>
    <mergeCell ref="J141:L141"/>
    <mergeCell ref="M141:O141"/>
    <mergeCell ref="P141:R141"/>
    <mergeCell ref="T141:AD141"/>
    <mergeCell ref="AE141:AG141"/>
    <mergeCell ref="AH141:AK141"/>
    <mergeCell ref="AL141:AO141"/>
    <mergeCell ref="A142:O142"/>
    <mergeCell ref="P142:R142"/>
    <mergeCell ref="T142:AK142"/>
    <mergeCell ref="AL142:AO142"/>
    <mergeCell ref="A143:I143"/>
    <mergeCell ref="J143:L143"/>
    <mergeCell ref="M143:O143"/>
    <mergeCell ref="P143:R143"/>
    <mergeCell ref="T143:AD143"/>
    <mergeCell ref="AE143:AG143"/>
    <mergeCell ref="AH143:AK143"/>
    <mergeCell ref="AL143:AO143"/>
    <mergeCell ref="A144:I144"/>
    <mergeCell ref="J144:L144"/>
    <mergeCell ref="M144:O144"/>
    <mergeCell ref="P144:R144"/>
    <mergeCell ref="T144:AD144"/>
    <mergeCell ref="AE144:AG144"/>
    <mergeCell ref="AH144:AK144"/>
    <mergeCell ref="AL144:AO144"/>
    <mergeCell ref="P145:R145"/>
    <mergeCell ref="AL145:AO145"/>
    <mergeCell ref="B146:D146"/>
    <mergeCell ref="E146:G146"/>
    <mergeCell ref="H146:I146"/>
    <mergeCell ref="J146:L146"/>
    <mergeCell ref="M146:O146"/>
    <mergeCell ref="P146:R146"/>
    <mergeCell ref="W146:Y146"/>
    <mergeCell ref="Z146:AB146"/>
    <mergeCell ref="AC146:AD146"/>
    <mergeCell ref="AE146:AG146"/>
    <mergeCell ref="AH146:AK146"/>
    <mergeCell ref="AL146:AO146"/>
    <mergeCell ref="A148:AO148"/>
    <mergeCell ref="A150:B150"/>
    <mergeCell ref="C150:J150"/>
    <mergeCell ref="K150:M150"/>
    <mergeCell ref="N150:O150"/>
    <mergeCell ref="P150:Q150"/>
    <mergeCell ref="R150:T150"/>
    <mergeCell ref="U150:V150"/>
    <mergeCell ref="W150:Z150"/>
    <mergeCell ref="AA150:AB150"/>
    <mergeCell ref="AC150:AD150"/>
    <mergeCell ref="AE150:AJ150"/>
    <mergeCell ref="AK150:AL150"/>
    <mergeCell ref="AM150:AO150"/>
    <mergeCell ref="A152:M152"/>
    <mergeCell ref="N152:R152"/>
    <mergeCell ref="S152:W152"/>
    <mergeCell ref="X152:AB152"/>
    <mergeCell ref="AC152:AG152"/>
    <mergeCell ref="AH152:AO152"/>
    <mergeCell ref="A153:M153"/>
    <mergeCell ref="N153:R153"/>
    <mergeCell ref="S153:W153"/>
    <mergeCell ref="X153:AB153"/>
    <mergeCell ref="AC153:AG153"/>
    <mergeCell ref="AH153:AO153"/>
    <mergeCell ref="A154:M154"/>
    <mergeCell ref="N154:R154"/>
    <mergeCell ref="S154:W154"/>
    <mergeCell ref="X154:AB154"/>
    <mergeCell ref="AC154:AG154"/>
    <mergeCell ref="AH154:AO154"/>
    <mergeCell ref="A155:M155"/>
    <mergeCell ref="N155:R155"/>
    <mergeCell ref="S155:W155"/>
    <mergeCell ref="X155:AB155"/>
    <mergeCell ref="AC155:AG155"/>
    <mergeCell ref="AH155:AO155"/>
    <mergeCell ref="A156:M156"/>
    <mergeCell ref="N156:R156"/>
    <mergeCell ref="S156:W156"/>
    <mergeCell ref="X156:AB156"/>
    <mergeCell ref="AC156:AG156"/>
    <mergeCell ref="AH156:AO156"/>
    <mergeCell ref="A157:M157"/>
    <mergeCell ref="N157:R157"/>
    <mergeCell ref="S157:W157"/>
    <mergeCell ref="X157:AB157"/>
    <mergeCell ref="AC157:AG157"/>
    <mergeCell ref="AH157:AO157"/>
    <mergeCell ref="A158:M158"/>
    <mergeCell ref="N158:R158"/>
    <mergeCell ref="S158:W158"/>
    <mergeCell ref="X158:AB158"/>
    <mergeCell ref="AC158:AG158"/>
    <mergeCell ref="AH158:AO158"/>
    <mergeCell ref="A160:F160"/>
    <mergeCell ref="G160:J160"/>
    <mergeCell ref="K160:N160"/>
    <mergeCell ref="O160:R160"/>
    <mergeCell ref="S160:V160"/>
    <mergeCell ref="W160:Z160"/>
    <mergeCell ref="AA160:AD160"/>
    <mergeCell ref="AE160:AH160"/>
    <mergeCell ref="AI160:AO160"/>
    <mergeCell ref="A161:F161"/>
    <mergeCell ref="G161:J161"/>
    <mergeCell ref="K161:N161"/>
    <mergeCell ref="O161:R161"/>
    <mergeCell ref="S161:V161"/>
    <mergeCell ref="W161:Z161"/>
    <mergeCell ref="AA161:AD161"/>
    <mergeCell ref="AE161:AH161"/>
    <mergeCell ref="AI161:AO161"/>
    <mergeCell ref="A162:F162"/>
    <mergeCell ref="G162:J162"/>
    <mergeCell ref="K162:N162"/>
    <mergeCell ref="O162:R162"/>
    <mergeCell ref="S162:V162"/>
    <mergeCell ref="W162:Z162"/>
    <mergeCell ref="AA162:AD162"/>
    <mergeCell ref="AE162:AH162"/>
    <mergeCell ref="AI162:AO162"/>
    <mergeCell ref="A163:F163"/>
    <mergeCell ref="G163:J163"/>
    <mergeCell ref="K163:N163"/>
    <mergeCell ref="O163:R163"/>
    <mergeCell ref="S163:V163"/>
    <mergeCell ref="W163:Z163"/>
    <mergeCell ref="AA163:AD163"/>
    <mergeCell ref="AE163:AH163"/>
    <mergeCell ref="AI163:AO163"/>
    <mergeCell ref="A164:F164"/>
    <mergeCell ref="G164:J164"/>
    <mergeCell ref="K164:N164"/>
    <mergeCell ref="O164:R164"/>
    <mergeCell ref="S164:V164"/>
    <mergeCell ref="W164:Z164"/>
    <mergeCell ref="AA164:AD164"/>
    <mergeCell ref="AE164:AH164"/>
    <mergeCell ref="AI164:AO164"/>
    <mergeCell ref="A165:F165"/>
    <mergeCell ref="G165:J165"/>
    <mergeCell ref="K165:N165"/>
    <mergeCell ref="O165:R165"/>
    <mergeCell ref="S165:V165"/>
    <mergeCell ref="W165:Z165"/>
    <mergeCell ref="AA165:AD165"/>
    <mergeCell ref="AE165:AH165"/>
    <mergeCell ref="AI165:AO165"/>
    <mergeCell ref="A166:F166"/>
    <mergeCell ref="G166:J166"/>
    <mergeCell ref="K166:N166"/>
    <mergeCell ref="O166:R166"/>
    <mergeCell ref="S166:V166"/>
    <mergeCell ref="W166:Z166"/>
    <mergeCell ref="AA166:AD166"/>
    <mergeCell ref="AE166:AH166"/>
    <mergeCell ref="AI166:AO166"/>
    <mergeCell ref="A168:E168"/>
    <mergeCell ref="F168:J168"/>
    <mergeCell ref="K168:O168"/>
    <mergeCell ref="P168:S168"/>
    <mergeCell ref="T168:X168"/>
    <mergeCell ref="Y168:AI168"/>
    <mergeCell ref="AJ168:AO168"/>
    <mergeCell ref="A169:AO169"/>
    <mergeCell ref="A170:AO170"/>
    <mergeCell ref="A171:AO171"/>
    <mergeCell ref="A172:E172"/>
    <mergeCell ref="F172:O172"/>
    <mergeCell ref="P172:Y172"/>
    <mergeCell ref="Z172:AC172"/>
    <mergeCell ref="AD172:AF172"/>
    <mergeCell ref="AG172:AO172"/>
    <mergeCell ref="A173:E173"/>
    <mergeCell ref="F173:O173"/>
    <mergeCell ref="P173:Y173"/>
    <mergeCell ref="Z173:AC173"/>
    <mergeCell ref="AD173:AF173"/>
    <mergeCell ref="AG173:AO173"/>
    <mergeCell ref="A174:E174"/>
    <mergeCell ref="F174:O174"/>
    <mergeCell ref="P174:Y174"/>
    <mergeCell ref="Z174:AC174"/>
    <mergeCell ref="AD174:AF174"/>
    <mergeCell ref="AG174:AO174"/>
    <mergeCell ref="A175:E175"/>
    <mergeCell ref="F175:O175"/>
    <mergeCell ref="P175:Y175"/>
    <mergeCell ref="Z175:AC175"/>
    <mergeCell ref="AD175:AF175"/>
    <mergeCell ref="AG175:AO175"/>
    <mergeCell ref="A176:E176"/>
    <mergeCell ref="F176:O176"/>
    <mergeCell ref="P176:Y176"/>
    <mergeCell ref="Z176:AC176"/>
    <mergeCell ref="AD176:AF176"/>
    <mergeCell ref="AG176:AO176"/>
    <mergeCell ref="A177:E177"/>
    <mergeCell ref="F177:O177"/>
    <mergeCell ref="P177:Y177"/>
    <mergeCell ref="Z177:AC177"/>
    <mergeCell ref="AD177:AF177"/>
    <mergeCell ref="AG177:AO177"/>
    <mergeCell ref="A178:E178"/>
    <mergeCell ref="F178:O178"/>
    <mergeCell ref="P178:Y178"/>
    <mergeCell ref="Z178:AC178"/>
    <mergeCell ref="AD178:AF178"/>
    <mergeCell ref="AG178:AO178"/>
    <mergeCell ref="A179:E179"/>
    <mergeCell ref="F179:O179"/>
    <mergeCell ref="P179:Y179"/>
    <mergeCell ref="Z179:AC179"/>
    <mergeCell ref="AD179:AF179"/>
    <mergeCell ref="AG179:AO179"/>
    <mergeCell ref="A180:E180"/>
    <mergeCell ref="F180:O180"/>
    <mergeCell ref="P180:Y180"/>
    <mergeCell ref="Z180:AC180"/>
    <mergeCell ref="AD180:AF180"/>
    <mergeCell ref="AG180:AO180"/>
    <mergeCell ref="A184:AO184"/>
    <mergeCell ref="A185:J185"/>
    <mergeCell ref="K185:N185"/>
    <mergeCell ref="O185:Q185"/>
    <mergeCell ref="R185:T185"/>
    <mergeCell ref="U185:X185"/>
    <mergeCell ref="Y185:AI185"/>
    <mergeCell ref="AJ185:AO185"/>
    <mergeCell ref="A186:J186"/>
    <mergeCell ref="K186:N186"/>
    <mergeCell ref="O186:Q186"/>
    <mergeCell ref="R186:T186"/>
    <mergeCell ref="U186:X186"/>
    <mergeCell ref="Y186:AI186"/>
    <mergeCell ref="AJ186:AO186"/>
    <mergeCell ref="A187:J187"/>
    <mergeCell ref="K187:N187"/>
    <mergeCell ref="O187:Q187"/>
    <mergeCell ref="R187:T187"/>
    <mergeCell ref="U187:X187"/>
    <mergeCell ref="Y187:AI187"/>
    <mergeCell ref="AJ187:AO187"/>
    <mergeCell ref="A188:J188"/>
    <mergeCell ref="K188:N188"/>
    <mergeCell ref="O188:Q188"/>
    <mergeCell ref="R188:T188"/>
    <mergeCell ref="U188:X188"/>
    <mergeCell ref="Y188:AI188"/>
    <mergeCell ref="AJ188:AO188"/>
    <mergeCell ref="A189:J189"/>
    <mergeCell ref="K189:N189"/>
    <mergeCell ref="O189:Q189"/>
    <mergeCell ref="R189:T189"/>
    <mergeCell ref="U189:X189"/>
    <mergeCell ref="Y189:AI189"/>
    <mergeCell ref="AJ189:AO189"/>
    <mergeCell ref="A190:J190"/>
    <mergeCell ref="K190:N190"/>
    <mergeCell ref="O190:Q190"/>
    <mergeCell ref="R190:T190"/>
    <mergeCell ref="U190:X190"/>
    <mergeCell ref="Y190:AI190"/>
    <mergeCell ref="AJ190:AO190"/>
    <mergeCell ref="A191:J191"/>
    <mergeCell ref="K191:N191"/>
    <mergeCell ref="O191:Q191"/>
    <mergeCell ref="R191:T191"/>
    <mergeCell ref="U191:X191"/>
    <mergeCell ref="Y191:AI191"/>
    <mergeCell ref="AJ191:AO191"/>
    <mergeCell ref="A192:J192"/>
    <mergeCell ref="K192:N192"/>
    <mergeCell ref="O192:Q192"/>
    <mergeCell ref="R192:T192"/>
    <mergeCell ref="U192:X192"/>
    <mergeCell ref="Y192:AI192"/>
    <mergeCell ref="AJ192:AO192"/>
    <mergeCell ref="A194:AO194"/>
    <mergeCell ref="A195:AO195"/>
    <mergeCell ref="A196:M196"/>
    <mergeCell ref="N196:R196"/>
    <mergeCell ref="S196:T214"/>
    <mergeCell ref="U196:AG196"/>
    <mergeCell ref="AH196:AL196"/>
    <mergeCell ref="AM196:AO205"/>
    <mergeCell ref="A197:M197"/>
    <mergeCell ref="N197:R197"/>
    <mergeCell ref="U197:AG197"/>
    <mergeCell ref="AH197:AL197"/>
    <mergeCell ref="A198:M198"/>
    <mergeCell ref="N198:R198"/>
    <mergeCell ref="U198:AG198"/>
    <mergeCell ref="AH198:AL198"/>
    <mergeCell ref="A199:M199"/>
    <mergeCell ref="N199:R199"/>
    <mergeCell ref="U199:AG199"/>
    <mergeCell ref="AH199:AL199"/>
    <mergeCell ref="A200:M200"/>
    <mergeCell ref="N200:R200"/>
    <mergeCell ref="U200:AG200"/>
    <mergeCell ref="AH200:AL200"/>
    <mergeCell ref="A201:M201"/>
    <mergeCell ref="N201:R201"/>
    <mergeCell ref="U201:AG201"/>
    <mergeCell ref="AH201:AL201"/>
    <mergeCell ref="A202:M202"/>
    <mergeCell ref="N202:R202"/>
    <mergeCell ref="U202:AG202"/>
    <mergeCell ref="AH202:AL202"/>
    <mergeCell ref="A203:M203"/>
    <mergeCell ref="N203:R203"/>
    <mergeCell ref="U203:AG203"/>
    <mergeCell ref="AH203:AL203"/>
    <mergeCell ref="A204:M204"/>
    <mergeCell ref="N204:R204"/>
    <mergeCell ref="U204:AG204"/>
    <mergeCell ref="AH204:AL204"/>
    <mergeCell ref="A205:M205"/>
    <mergeCell ref="N205:R205"/>
    <mergeCell ref="U205:AG205"/>
    <mergeCell ref="AH205:AL205"/>
    <mergeCell ref="A206:M206"/>
    <mergeCell ref="N206:R206"/>
    <mergeCell ref="U206:AO206"/>
    <mergeCell ref="A207:M207"/>
    <mergeCell ref="N207:R207"/>
    <mergeCell ref="U207:AG207"/>
    <mergeCell ref="AH207:AL207"/>
    <mergeCell ref="AM207:AO207"/>
    <mergeCell ref="A208:M208"/>
    <mergeCell ref="N208:R208"/>
    <mergeCell ref="A209:M209"/>
    <mergeCell ref="N209:R209"/>
    <mergeCell ref="A210:M210"/>
    <mergeCell ref="N210:R210"/>
    <mergeCell ref="U210:AG210"/>
    <mergeCell ref="AH210:AL210"/>
    <mergeCell ref="AM210:AO210"/>
    <mergeCell ref="A211:M211"/>
    <mergeCell ref="N211:R211"/>
    <mergeCell ref="A212:M212"/>
    <mergeCell ref="N212:R212"/>
    <mergeCell ref="A213:R213"/>
    <mergeCell ref="A214:M214"/>
    <mergeCell ref="N214:R214"/>
    <mergeCell ref="U214:AG214"/>
    <mergeCell ref="AH214:AL214"/>
    <mergeCell ref="A215:AO216"/>
    <mergeCell ref="A217:I217"/>
    <mergeCell ref="J217:M217"/>
    <mergeCell ref="N217:X217"/>
    <mergeCell ref="Y217:AB217"/>
    <mergeCell ref="AC217:AO217"/>
    <mergeCell ref="A218:I218"/>
    <mergeCell ref="J218:M218"/>
    <mergeCell ref="N218:X218"/>
    <mergeCell ref="Y218:AB218"/>
    <mergeCell ref="AC218:AI218"/>
    <mergeCell ref="AJ218:AO218"/>
    <mergeCell ref="A219:I219"/>
    <mergeCell ref="J219:M219"/>
    <mergeCell ref="N219:X219"/>
    <mergeCell ref="Y219:AB219"/>
    <mergeCell ref="AC219:AI219"/>
    <mergeCell ref="AJ219:AO219"/>
    <mergeCell ref="A220:I220"/>
    <mergeCell ref="J220:M220"/>
    <mergeCell ref="N220:X220"/>
    <mergeCell ref="Y220:AB220"/>
    <mergeCell ref="AC220:AI220"/>
    <mergeCell ref="AJ220:AO220"/>
    <mergeCell ref="A221:I221"/>
    <mergeCell ref="J221:M221"/>
    <mergeCell ref="N221:X221"/>
    <mergeCell ref="Y221:AB221"/>
    <mergeCell ref="AC221:AI221"/>
    <mergeCell ref="AJ221:AO221"/>
    <mergeCell ref="A222:I222"/>
    <mergeCell ref="J222:M222"/>
    <mergeCell ref="N222:X222"/>
    <mergeCell ref="Y222:AB222"/>
    <mergeCell ref="AC222:AI222"/>
    <mergeCell ref="AJ222:AO222"/>
    <mergeCell ref="A223:I223"/>
    <mergeCell ref="J223:M223"/>
    <mergeCell ref="N223:Q223"/>
    <mergeCell ref="R223:T223"/>
    <mergeCell ref="U223:X223"/>
    <mergeCell ref="Y223:AB223"/>
    <mergeCell ref="AC223:AI223"/>
    <mergeCell ref="AJ223:AO223"/>
    <mergeCell ref="A224:I224"/>
    <mergeCell ref="J224:M224"/>
    <mergeCell ref="N224:X224"/>
    <mergeCell ref="Y224:AB224"/>
    <mergeCell ref="AC224:AI224"/>
    <mergeCell ref="AJ224:AO224"/>
    <mergeCell ref="A225:I225"/>
    <mergeCell ref="J225:M225"/>
    <mergeCell ref="N225:X225"/>
    <mergeCell ref="Y225:AB225"/>
    <mergeCell ref="AC225:AI225"/>
    <mergeCell ref="AJ225:AO225"/>
    <mergeCell ref="A226:I226"/>
    <mergeCell ref="J226:M226"/>
    <mergeCell ref="N226:X226"/>
    <mergeCell ref="Y226:AB226"/>
    <mergeCell ref="AC226:AO226"/>
    <mergeCell ref="A227:I227"/>
    <mergeCell ref="J227:M227"/>
    <mergeCell ref="N227:X227"/>
    <mergeCell ref="Y227:AB227"/>
    <mergeCell ref="AC227:AI227"/>
    <mergeCell ref="AJ227:AO227"/>
    <mergeCell ref="A228:I228"/>
    <mergeCell ref="J228:M228"/>
    <mergeCell ref="N228:X228"/>
    <mergeCell ref="Y228:AB228"/>
    <mergeCell ref="AC228:AI228"/>
    <mergeCell ref="AJ228:AO228"/>
    <mergeCell ref="A229:AO230"/>
    <mergeCell ref="A231:AO231"/>
    <mergeCell ref="A232:AO232"/>
    <mergeCell ref="A233:K233"/>
    <mergeCell ref="U233:AF233"/>
    <mergeCell ref="A235:G235"/>
    <mergeCell ref="H235:K235"/>
    <mergeCell ref="U235:AB235"/>
    <mergeCell ref="AC235:AF235"/>
    <mergeCell ref="A237:G237"/>
    <mergeCell ref="H237:K237"/>
    <mergeCell ref="U237:AB237"/>
    <mergeCell ref="AC237:AF237"/>
    <mergeCell ref="A239:G239"/>
    <mergeCell ref="H239:K239"/>
    <mergeCell ref="U239:AB239"/>
    <mergeCell ref="AC239:AF239"/>
    <mergeCell ref="A241:G241"/>
    <mergeCell ref="H241:K241"/>
    <mergeCell ref="U241:AB241"/>
    <mergeCell ref="AC241:AF241"/>
    <mergeCell ref="A243:L243"/>
    <mergeCell ref="U243:AF243"/>
    <mergeCell ref="A245:H245"/>
    <mergeCell ref="I245:L245"/>
    <mergeCell ref="U245:AB245"/>
    <mergeCell ref="AC245:AF245"/>
    <mergeCell ref="A247:H247"/>
    <mergeCell ref="I247:L247"/>
    <mergeCell ref="U247:AB247"/>
    <mergeCell ref="AC247:AF247"/>
    <mergeCell ref="A249:H249"/>
    <mergeCell ref="I249:L249"/>
    <mergeCell ref="U249:AB249"/>
    <mergeCell ref="AC249:AF249"/>
    <mergeCell ref="A252:J252"/>
    <mergeCell ref="AA268:AM268"/>
    <mergeCell ref="E269:N269"/>
    <mergeCell ref="AA269:AM269"/>
    <mergeCell ref="D270:O270"/>
  </mergeCells>
  <dataValidations count="17">
    <dataValidation allowBlank="true" errorStyle="stop" operator="between" showDropDown="false" showErrorMessage="true" showInputMessage="true" sqref="A173:A180" type="list">
      <formula1>"Casa,Terreno,Vehículo,Otro"</formula1>
      <formula2>0</formula2>
    </dataValidation>
    <dataValidation allowBlank="true" errorStyle="stop" operator="between" showDropDown="false" showErrorMessage="true" showInputMessage="true" sqref="D22 D40" type="list">
      <formula1>"M,F"</formula1>
      <formula2>0</formula2>
    </dataValidation>
    <dataValidation allowBlank="true" errorStyle="warning" operator="between" showDropDown="false" showErrorMessage="true" showInputMessage="true" sqref="B101:B113" type="textLength">
      <formula1>1</formula1>
      <formula2>20</formula2>
    </dataValidation>
    <dataValidation allowBlank="true" errorStyle="stop" operator="between" showDropDown="false" showErrorMessage="true" showInputMessage="true" sqref="J101:J103 J107" type="whole">
      <formula1>1</formula1>
      <formula2>1000000</formula2>
    </dataValidation>
    <dataValidation allowBlank="true" errorStyle="stop" operator="between" showDropDown="false" showErrorMessage="true" showInputMessage="true" sqref="W10" type="list">
      <formula1>BASE_DE_DATOS!$B$30:$B$44</formula1>
      <formula2>0</formula2>
    </dataValidation>
    <dataValidation allowBlank="true" errorStyle="stop" operator="between" showDropDown="false" showErrorMessage="true" showInputMessage="true" sqref="X12" type="list">
      <formula1>BASE_DE_DATOS!$C$12:$C$17</formula1>
      <formula2>0</formula2>
    </dataValidation>
    <dataValidation allowBlank="true" errorStyle="stop" operator="between" showDropDown="false" showErrorMessage="true" showInputMessage="true" sqref="Y64" type="list">
      <formula1>BASE_DE_DATOS!$F$2:$F$6</formula1>
      <formula2>0</formula2>
    </dataValidation>
    <dataValidation allowBlank="true" errorStyle="stop" operator="between" showDropDown="false" showErrorMessage="true" showInputMessage="true" sqref="AD173:AD180" type="list">
      <formula1>BASE_DE_DATOS!$C$19:$C$20</formula1>
      <formula2>0</formula2>
    </dataValidation>
    <dataValidation allowBlank="true" errorStyle="stop" operator="between" showDropDown="false" showErrorMessage="true" showInputMessage="true" sqref="AG12" type="list">
      <formula1>BASE_DE_DATOS!$E$13:$E$17</formula1>
      <formula2>0</formula2>
    </dataValidation>
    <dataValidation allowBlank="true" errorStyle="stop" operator="between" showDropDown="false" showErrorMessage="true" showInputMessage="true" sqref="AG20" type="list">
      <formula1>BASE_DE_DATOS!$C$2:$C$7</formula1>
      <formula2>0</formula2>
    </dataValidation>
    <dataValidation allowBlank="true" errorStyle="stop" operator="between" showDropDown="false" showErrorMessage="true" showInputMessage="true" sqref="AH64" type="list">
      <formula1>BASE_DE_DATOS!$G$12:$G$14</formula1>
      <formula2>0</formula2>
    </dataValidation>
    <dataValidation allowBlank="true" errorStyle="stop" operator="between" showDropDown="false" showErrorMessage="true" showInputMessage="true" sqref="AJ186:AJ192" type="list">
      <formula1>BASE_DE_DATOS!$E$12:$E$17</formula1>
      <formula2>0</formula2>
    </dataValidation>
    <dataValidation allowBlank="true" errorStyle="stop" operator="between" showDropDown="false" showErrorMessage="true" showInputMessage="true" sqref="E30" type="list">
      <formula1>BASE_DE_DATOS!$E$2:$E$7</formula1>
      <formula2>0</formula2>
    </dataValidation>
    <dataValidation allowBlank="true" errorStyle="stop" operator="between" showDropDown="false" showErrorMessage="true" showInputMessage="true" sqref="G22 AF38" type="list">
      <formula1>BASE_DE_DATOS!$B$2:$B$9</formula1>
      <formula2>0</formula2>
    </dataValidation>
    <dataValidation allowBlank="true" errorStyle="stop" operator="between" showDropDown="false" showErrorMessage="true" showInputMessage="true" sqref="K44 Y44" type="list">
      <formula1>BASE_DE_DATOS!$F$12:$F$14</formula1>
      <formula2>0</formula2>
    </dataValidation>
    <dataValidation allowBlank="true" errorStyle="stop" operator="between" showDropDown="false" showErrorMessage="true" showInputMessage="true" sqref="Q22" type="list">
      <formula1>BASE_DE_DATOS!$D$2:$D$8</formula1>
      <formula2>0</formula2>
    </dataValidation>
    <dataValidation allowBlank="true" errorStyle="stop" operator="between" showDropDown="false" showErrorMessage="true" showInputMessage="true" sqref="T6:Z6" type="list">
      <formula1>BASE_DE_DATOS!$B$12:$B$27</formula1>
      <formula2>0</formula2>
    </dataValidation>
  </dataValidations>
  <hyperlinks>
    <hyperlink ref="X32" r:id="rId2" display="marlitaortiz@hotmail.com"/>
    <hyperlink ref="X40" r:id="rId3" display="nn@nn.nn"/>
  </hyperlinks>
  <printOptions headings="false" gridLines="false" gridLinesSet="true" horizontalCentered="true" verticalCentered="true"/>
  <pageMargins left="0.590277777777778" right="0.544444444444445" top="0.196527777777778" bottom="0.00833333333333333" header="0.511811023622047" footer="0.511811023622047"/>
  <pageSetup paperSize="9" scale="82"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181" man="true" max="16383" min="0"/>
  </rowBreaks>
  <drawing r:id="rId4"/>
  <legacyDrawing r:id="rId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pageBreakPreview" topLeftCell="A7" colorId="64" zoomScale="160" zoomScaleNormal="100" zoomScalePageLayoutView="160" workbookViewId="0">
      <selection pane="topLeft" activeCell="E27" activeCellId="0" sqref="E27"/>
    </sheetView>
  </sheetViews>
  <sheetFormatPr defaultColWidth="10.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L106"/>
  <sheetViews>
    <sheetView showFormulas="false" showGridLines="true" showRowColHeaders="true" showZeros="true" rightToLeft="false" tabSelected="false" showOutlineSymbols="true" defaultGridColor="true" view="pageBreakPreview" topLeftCell="A1" colorId="64" zoomScale="160" zoomScaleNormal="100" zoomScalePageLayoutView="160" workbookViewId="0">
      <selection pane="topLeft" activeCell="E51" activeCellId="0" sqref="E51"/>
    </sheetView>
  </sheetViews>
  <sheetFormatPr defaultColWidth="10.6796875" defaultRowHeight="14.25" customHeight="false" zeroHeight="false" outlineLevelRow="0" outlineLevelCol="0"/>
  <cols>
    <col collapsed="false" customWidth="true" hidden="false" outlineLevel="0" max="1" min="1" style="280" width="4.56"/>
    <col collapsed="false" customWidth="true" hidden="false" outlineLevel="0" max="2" min="2" style="280" width="20.66"/>
    <col collapsed="false" customWidth="true" hidden="false" outlineLevel="0" max="3" min="3" style="280" width="9.88"/>
    <col collapsed="false" customWidth="true" hidden="false" outlineLevel="0" max="4" min="4" style="280" width="8.76"/>
    <col collapsed="false" customWidth="true" hidden="false" outlineLevel="0" max="5" min="5" style="280" width="59.56"/>
    <col collapsed="false" customWidth="true" hidden="false" outlineLevel="0" max="1024" min="6" style="281" width="10.78"/>
    <col collapsed="false" customWidth="true" hidden="false" outlineLevel="0" max="1025" min="1025" style="1" width="11.56"/>
  </cols>
  <sheetData>
    <row r="3" customFormat="false" ht="14.25" hidden="false" customHeight="false" outlineLevel="0" collapsed="false">
      <c r="A3" s="282" t="s">
        <v>425</v>
      </c>
      <c r="B3" s="283" t="s">
        <v>426</v>
      </c>
      <c r="C3" s="283" t="s">
        <v>427</v>
      </c>
      <c r="D3" s="284" t="s">
        <v>428</v>
      </c>
      <c r="E3" s="283" t="s">
        <v>429</v>
      </c>
    </row>
    <row r="4" customFormat="false" ht="14.25" hidden="false" customHeight="false" outlineLevel="0" collapsed="false">
      <c r="A4" s="285" t="n">
        <v>1</v>
      </c>
      <c r="B4" s="286" t="s">
        <v>41</v>
      </c>
      <c r="C4" s="287" t="n">
        <v>1</v>
      </c>
      <c r="D4" s="288" t="s">
        <v>430</v>
      </c>
      <c r="E4" s="287" t="s">
        <v>431</v>
      </c>
    </row>
    <row r="5" customFormat="false" ht="14.25" hidden="false" customHeight="false" outlineLevel="0" collapsed="false">
      <c r="A5" s="285" t="n">
        <v>2</v>
      </c>
      <c r="B5" s="286" t="s">
        <v>41</v>
      </c>
      <c r="C5" s="289" t="n">
        <v>1</v>
      </c>
      <c r="D5" s="290" t="s">
        <v>432</v>
      </c>
      <c r="E5" s="289" t="s">
        <v>433</v>
      </c>
    </row>
    <row r="6" customFormat="false" ht="14.25" hidden="false" customHeight="false" outlineLevel="0" collapsed="false">
      <c r="A6" s="285" t="n">
        <v>3</v>
      </c>
      <c r="B6" s="286" t="s">
        <v>41</v>
      </c>
      <c r="C6" s="287" t="n">
        <v>1</v>
      </c>
      <c r="D6" s="288" t="s">
        <v>434</v>
      </c>
      <c r="E6" s="287" t="s">
        <v>435</v>
      </c>
    </row>
    <row r="7" customFormat="false" ht="14.25" hidden="false" customHeight="false" outlineLevel="0" collapsed="false">
      <c r="A7" s="285" t="n">
        <v>4</v>
      </c>
      <c r="B7" s="286" t="s">
        <v>41</v>
      </c>
      <c r="C7" s="287" t="n">
        <v>1</v>
      </c>
      <c r="D7" s="288" t="s">
        <v>436</v>
      </c>
      <c r="E7" s="287" t="s">
        <v>437</v>
      </c>
    </row>
    <row r="8" customFormat="false" ht="14.25" hidden="false" customHeight="false" outlineLevel="0" collapsed="false">
      <c r="A8" s="285" t="n">
        <v>5</v>
      </c>
      <c r="B8" s="286" t="s">
        <v>41</v>
      </c>
      <c r="C8" s="287" t="n">
        <v>1</v>
      </c>
      <c r="D8" s="288" t="s">
        <v>438</v>
      </c>
      <c r="E8" s="287" t="s">
        <v>439</v>
      </c>
    </row>
    <row r="9" customFormat="false" ht="14.25" hidden="false" customHeight="false" outlineLevel="0" collapsed="false">
      <c r="A9" s="285" t="n">
        <v>6</v>
      </c>
      <c r="B9" s="286" t="s">
        <v>41</v>
      </c>
      <c r="C9" s="287" t="n">
        <v>1</v>
      </c>
      <c r="D9" s="288" t="s">
        <v>440</v>
      </c>
      <c r="E9" s="287" t="s">
        <v>441</v>
      </c>
    </row>
    <row r="10" customFormat="false" ht="14.25" hidden="false" customHeight="false" outlineLevel="0" collapsed="false">
      <c r="A10" s="285" t="n">
        <v>7</v>
      </c>
      <c r="B10" s="286" t="s">
        <v>41</v>
      </c>
      <c r="C10" s="287" t="n">
        <v>1</v>
      </c>
      <c r="D10" s="288" t="s">
        <v>442</v>
      </c>
      <c r="E10" s="291" t="s">
        <v>443</v>
      </c>
    </row>
    <row r="11" customFormat="false" ht="14.25" hidden="false" customHeight="false" outlineLevel="0" collapsed="false">
      <c r="A11" s="285" t="n">
        <v>8</v>
      </c>
      <c r="B11" s="286" t="s">
        <v>41</v>
      </c>
      <c r="C11" s="287" t="n">
        <v>1</v>
      </c>
      <c r="D11" s="288" t="s">
        <v>444</v>
      </c>
      <c r="E11" s="291" t="s">
        <v>445</v>
      </c>
    </row>
    <row r="12" customFormat="false" ht="14.25" hidden="false" customHeight="false" outlineLevel="0" collapsed="false">
      <c r="A12" s="285" t="n">
        <v>9</v>
      </c>
      <c r="B12" s="286" t="s">
        <v>41</v>
      </c>
      <c r="C12" s="287" t="n">
        <v>1</v>
      </c>
      <c r="D12" s="288" t="s">
        <v>446</v>
      </c>
      <c r="E12" s="287" t="s">
        <v>447</v>
      </c>
    </row>
    <row r="13" customFormat="false" ht="14.25" hidden="false" customHeight="false" outlineLevel="0" collapsed="false">
      <c r="A13" s="285" t="n">
        <v>10</v>
      </c>
      <c r="B13" s="286" t="s">
        <v>41</v>
      </c>
      <c r="C13" s="287" t="n">
        <v>1</v>
      </c>
      <c r="D13" s="288" t="s">
        <v>448</v>
      </c>
      <c r="E13" s="287" t="s">
        <v>449</v>
      </c>
    </row>
    <row r="14" customFormat="false" ht="14.25" hidden="false" customHeight="false" outlineLevel="0" collapsed="false">
      <c r="A14" s="285" t="n">
        <v>11</v>
      </c>
      <c r="B14" s="286" t="s">
        <v>41</v>
      </c>
      <c r="C14" s="287" t="n">
        <v>1</v>
      </c>
      <c r="D14" s="288" t="s">
        <v>450</v>
      </c>
      <c r="E14" s="292" t="s">
        <v>449</v>
      </c>
    </row>
    <row r="15" customFormat="false" ht="14.25" hidden="false" customHeight="false" outlineLevel="0" collapsed="false">
      <c r="A15" s="285" t="n">
        <v>12</v>
      </c>
      <c r="B15" s="286" t="s">
        <v>41</v>
      </c>
      <c r="C15" s="287" t="n">
        <v>1</v>
      </c>
      <c r="D15" s="288" t="s">
        <v>451</v>
      </c>
      <c r="E15" s="292" t="s">
        <v>449</v>
      </c>
    </row>
    <row r="16" customFormat="false" ht="14.25" hidden="false" customHeight="false" outlineLevel="0" collapsed="false">
      <c r="A16" s="285" t="n">
        <v>13</v>
      </c>
      <c r="B16" s="286" t="s">
        <v>41</v>
      </c>
      <c r="C16" s="287" t="n">
        <v>1</v>
      </c>
      <c r="D16" s="288" t="s">
        <v>452</v>
      </c>
      <c r="E16" s="292" t="s">
        <v>449</v>
      </c>
    </row>
    <row r="17" customFormat="false" ht="14.25" hidden="false" customHeight="false" outlineLevel="0" collapsed="false">
      <c r="A17" s="285" t="n">
        <v>14</v>
      </c>
      <c r="B17" s="286" t="s">
        <v>41</v>
      </c>
      <c r="C17" s="287" t="n">
        <v>1</v>
      </c>
      <c r="D17" s="288" t="s">
        <v>453</v>
      </c>
      <c r="E17" s="293" t="s">
        <v>454</v>
      </c>
    </row>
    <row r="18" customFormat="false" ht="14.25" hidden="false" customHeight="false" outlineLevel="0" collapsed="false">
      <c r="A18" s="285" t="n">
        <v>15</v>
      </c>
      <c r="B18" s="286" t="s">
        <v>41</v>
      </c>
      <c r="C18" s="287" t="n">
        <v>1</v>
      </c>
      <c r="D18" s="288" t="s">
        <v>455</v>
      </c>
      <c r="E18" s="292" t="s">
        <v>449</v>
      </c>
    </row>
    <row r="19" customFormat="false" ht="14.25" hidden="false" customHeight="false" outlineLevel="0" collapsed="false">
      <c r="A19" s="285" t="n">
        <v>16</v>
      </c>
      <c r="B19" s="286" t="s">
        <v>41</v>
      </c>
      <c r="C19" s="287" t="n">
        <v>1</v>
      </c>
      <c r="D19" s="288" t="s">
        <v>456</v>
      </c>
      <c r="E19" s="292" t="s">
        <v>449</v>
      </c>
    </row>
    <row r="20" customFormat="false" ht="14.25" hidden="false" customHeight="false" outlineLevel="0" collapsed="false">
      <c r="A20" s="285" t="n">
        <v>17</v>
      </c>
      <c r="B20" s="286" t="s">
        <v>46</v>
      </c>
      <c r="C20" s="287" t="n">
        <v>2</v>
      </c>
      <c r="D20" s="288" t="s">
        <v>457</v>
      </c>
      <c r="E20" s="287" t="s">
        <v>458</v>
      </c>
    </row>
    <row r="21" customFormat="false" ht="14.25" hidden="false" customHeight="false" outlineLevel="0" collapsed="false">
      <c r="A21" s="285" t="n">
        <v>18</v>
      </c>
      <c r="B21" s="286" t="s">
        <v>46</v>
      </c>
      <c r="C21" s="287" t="n">
        <v>2</v>
      </c>
      <c r="D21" s="288" t="s">
        <v>459</v>
      </c>
      <c r="E21" s="287" t="s">
        <v>460</v>
      </c>
    </row>
    <row r="22" customFormat="false" ht="14.25" hidden="false" customHeight="false" outlineLevel="0" collapsed="false">
      <c r="A22" s="285" t="n">
        <v>19</v>
      </c>
      <c r="B22" s="286" t="s">
        <v>46</v>
      </c>
      <c r="C22" s="287" t="n">
        <v>2</v>
      </c>
      <c r="D22" s="288" t="s">
        <v>461</v>
      </c>
      <c r="E22" s="287" t="s">
        <v>462</v>
      </c>
    </row>
    <row r="23" customFormat="false" ht="14.25" hidden="false" customHeight="false" outlineLevel="0" collapsed="false">
      <c r="A23" s="285" t="n">
        <v>20</v>
      </c>
      <c r="B23" s="286" t="s">
        <v>46</v>
      </c>
      <c r="C23" s="287" t="n">
        <v>2</v>
      </c>
      <c r="D23" s="288" t="s">
        <v>463</v>
      </c>
      <c r="E23" s="294" t="s">
        <v>464</v>
      </c>
    </row>
    <row r="24" customFormat="false" ht="14.25" hidden="false" customHeight="false" outlineLevel="0" collapsed="false">
      <c r="A24" s="285" t="n">
        <v>21</v>
      </c>
      <c r="B24" s="286" t="s">
        <v>46</v>
      </c>
      <c r="C24" s="287" t="n">
        <v>2</v>
      </c>
      <c r="D24" s="288" t="s">
        <v>465</v>
      </c>
      <c r="E24" s="287" t="s">
        <v>466</v>
      </c>
    </row>
    <row r="25" customFormat="false" ht="14.25" hidden="false" customHeight="false" outlineLevel="0" collapsed="false">
      <c r="A25" s="285" t="n">
        <v>22</v>
      </c>
      <c r="B25" s="286" t="s">
        <v>46</v>
      </c>
      <c r="C25" s="287" t="n">
        <v>2</v>
      </c>
      <c r="D25" s="288" t="s">
        <v>467</v>
      </c>
      <c r="E25" s="291" t="s">
        <v>468</v>
      </c>
    </row>
    <row r="26" customFormat="false" ht="14.25" hidden="false" customHeight="false" outlineLevel="0" collapsed="false">
      <c r="A26" s="285" t="n">
        <v>23</v>
      </c>
      <c r="B26" s="286" t="s">
        <v>469</v>
      </c>
      <c r="C26" s="287" t="n">
        <v>3</v>
      </c>
      <c r="D26" s="288" t="s">
        <v>470</v>
      </c>
      <c r="E26" s="291" t="s">
        <v>471</v>
      </c>
    </row>
    <row r="27" customFormat="false" ht="14.25" hidden="false" customHeight="false" outlineLevel="0" collapsed="false">
      <c r="A27" s="285" t="n">
        <v>24</v>
      </c>
      <c r="B27" s="286" t="s">
        <v>469</v>
      </c>
      <c r="C27" s="287" t="n">
        <v>3</v>
      </c>
      <c r="D27" s="288" t="s">
        <v>472</v>
      </c>
      <c r="E27" s="287" t="s">
        <v>473</v>
      </c>
    </row>
    <row r="28" customFormat="false" ht="14.25" hidden="false" customHeight="false" outlineLevel="0" collapsed="false">
      <c r="A28" s="285" t="n">
        <v>25</v>
      </c>
      <c r="B28" s="286" t="s">
        <v>56</v>
      </c>
      <c r="C28" s="287" t="n">
        <v>4</v>
      </c>
      <c r="D28" s="288" t="s">
        <v>474</v>
      </c>
      <c r="E28" s="294" t="s">
        <v>449</v>
      </c>
    </row>
    <row r="29" customFormat="false" ht="14.25" hidden="false" customHeight="false" outlineLevel="0" collapsed="false">
      <c r="A29" s="285" t="n">
        <v>26</v>
      </c>
      <c r="B29" s="286" t="s">
        <v>56</v>
      </c>
      <c r="C29" s="287" t="n">
        <v>4</v>
      </c>
      <c r="D29" s="288" t="s">
        <v>475</v>
      </c>
      <c r="E29" s="287" t="s">
        <v>476</v>
      </c>
    </row>
    <row r="30" customFormat="false" ht="14.25" hidden="false" customHeight="false" outlineLevel="0" collapsed="false">
      <c r="A30" s="285" t="n">
        <v>27</v>
      </c>
      <c r="B30" s="286" t="s">
        <v>56</v>
      </c>
      <c r="C30" s="287" t="n">
        <v>4</v>
      </c>
      <c r="D30" s="288" t="s">
        <v>477</v>
      </c>
      <c r="E30" s="287" t="s">
        <v>478</v>
      </c>
    </row>
    <row r="31" customFormat="false" ht="14.25" hidden="false" customHeight="false" outlineLevel="0" collapsed="false">
      <c r="A31" s="285" t="n">
        <v>28</v>
      </c>
      <c r="B31" s="286" t="s">
        <v>56</v>
      </c>
      <c r="C31" s="287" t="n">
        <v>4</v>
      </c>
      <c r="D31" s="288" t="s">
        <v>479</v>
      </c>
      <c r="E31" s="287" t="s">
        <v>480</v>
      </c>
    </row>
    <row r="32" customFormat="false" ht="14.25" hidden="false" customHeight="false" outlineLevel="0" collapsed="false">
      <c r="A32" s="285" t="n">
        <v>29</v>
      </c>
      <c r="B32" s="286" t="s">
        <v>56</v>
      </c>
      <c r="C32" s="287" t="n">
        <v>4</v>
      </c>
      <c r="D32" s="288" t="s">
        <v>481</v>
      </c>
      <c r="E32" s="280" t="s">
        <v>482</v>
      </c>
    </row>
    <row r="33" customFormat="false" ht="14.25" hidden="false" customHeight="false" outlineLevel="0" collapsed="false">
      <c r="A33" s="285" t="n">
        <v>30</v>
      </c>
      <c r="B33" s="286" t="s">
        <v>59</v>
      </c>
      <c r="C33" s="287" t="n">
        <v>5</v>
      </c>
      <c r="D33" s="288" t="s">
        <v>483</v>
      </c>
      <c r="E33" s="295" t="s">
        <v>484</v>
      </c>
    </row>
    <row r="34" customFormat="false" ht="14.25" hidden="false" customHeight="false" outlineLevel="0" collapsed="false">
      <c r="A34" s="285" t="n">
        <v>31</v>
      </c>
      <c r="B34" s="286" t="s">
        <v>59</v>
      </c>
      <c r="C34" s="287" t="n">
        <v>5</v>
      </c>
      <c r="D34" s="288" t="s">
        <v>485</v>
      </c>
      <c r="E34" s="295" t="s">
        <v>486</v>
      </c>
    </row>
    <row r="35" customFormat="false" ht="14.25" hidden="false" customHeight="false" outlineLevel="0" collapsed="false">
      <c r="A35" s="285" t="n">
        <v>32</v>
      </c>
      <c r="B35" s="286" t="s">
        <v>59</v>
      </c>
      <c r="C35" s="287" t="n">
        <v>5</v>
      </c>
      <c r="D35" s="288" t="s">
        <v>487</v>
      </c>
      <c r="E35" s="295" t="s">
        <v>488</v>
      </c>
    </row>
    <row r="36" customFormat="false" ht="14.25" hidden="false" customHeight="false" outlineLevel="0" collapsed="false">
      <c r="A36" s="285" t="n">
        <v>33</v>
      </c>
      <c r="B36" s="286" t="s">
        <v>59</v>
      </c>
      <c r="C36" s="287" t="n">
        <v>5</v>
      </c>
      <c r="D36" s="288" t="s">
        <v>489</v>
      </c>
      <c r="E36" s="295" t="s">
        <v>490</v>
      </c>
    </row>
    <row r="37" customFormat="false" ht="14.25" hidden="false" customHeight="false" outlineLevel="0" collapsed="false">
      <c r="A37" s="285" t="n">
        <v>34</v>
      </c>
      <c r="B37" s="286" t="s">
        <v>59</v>
      </c>
      <c r="C37" s="287" t="n">
        <v>5</v>
      </c>
      <c r="D37" s="288" t="s">
        <v>491</v>
      </c>
      <c r="E37" s="295" t="s">
        <v>492</v>
      </c>
    </row>
    <row r="38" customFormat="false" ht="14.25" hidden="false" customHeight="false" outlineLevel="0" collapsed="false">
      <c r="A38" s="285" t="n">
        <v>35</v>
      </c>
      <c r="B38" s="286" t="s">
        <v>59</v>
      </c>
      <c r="C38" s="287" t="n">
        <v>5</v>
      </c>
      <c r="D38" s="288" t="s">
        <v>493</v>
      </c>
      <c r="E38" s="294" t="s">
        <v>494</v>
      </c>
    </row>
    <row r="39" customFormat="false" ht="14.25" hidden="false" customHeight="false" outlineLevel="0" collapsed="false">
      <c r="A39" s="285" t="n">
        <v>36</v>
      </c>
      <c r="B39" s="286" t="s">
        <v>59</v>
      </c>
      <c r="C39" s="287" t="n">
        <v>5</v>
      </c>
      <c r="D39" s="288" t="s">
        <v>495</v>
      </c>
      <c r="E39" s="295" t="s">
        <v>496</v>
      </c>
    </row>
    <row r="40" customFormat="false" ht="14.25" hidden="false" customHeight="false" outlineLevel="0" collapsed="false">
      <c r="A40" s="285" t="n">
        <v>37</v>
      </c>
      <c r="B40" s="286" t="s">
        <v>59</v>
      </c>
      <c r="C40" s="287" t="n">
        <v>5</v>
      </c>
      <c r="D40" s="288" t="s">
        <v>497</v>
      </c>
      <c r="E40" s="294" t="s">
        <v>498</v>
      </c>
    </row>
    <row r="41" customFormat="false" ht="14.25" hidden="false" customHeight="false" outlineLevel="0" collapsed="false">
      <c r="A41" s="285" t="n">
        <v>38</v>
      </c>
      <c r="B41" s="286" t="s">
        <v>71</v>
      </c>
      <c r="C41" s="287" t="n">
        <v>6</v>
      </c>
      <c r="D41" s="288" t="s">
        <v>499</v>
      </c>
      <c r="E41" s="294" t="s">
        <v>500</v>
      </c>
    </row>
    <row r="42" customFormat="false" ht="14.25" hidden="false" customHeight="false" outlineLevel="0" collapsed="false">
      <c r="A42" s="285" t="n">
        <v>39</v>
      </c>
      <c r="B42" s="286" t="s">
        <v>71</v>
      </c>
      <c r="C42" s="287" t="n">
        <v>6</v>
      </c>
      <c r="D42" s="288" t="s">
        <v>501</v>
      </c>
      <c r="E42" s="294" t="s">
        <v>502</v>
      </c>
    </row>
    <row r="43" customFormat="false" ht="14.25" hidden="false" customHeight="false" outlineLevel="0" collapsed="false">
      <c r="A43" s="285" t="n">
        <v>40</v>
      </c>
      <c r="B43" s="286" t="s">
        <v>71</v>
      </c>
      <c r="C43" s="287" t="n">
        <v>6</v>
      </c>
      <c r="D43" s="288" t="s">
        <v>503</v>
      </c>
      <c r="E43" s="294" t="s">
        <v>504</v>
      </c>
    </row>
    <row r="44" customFormat="false" ht="14.25" hidden="false" customHeight="false" outlineLevel="0" collapsed="false">
      <c r="A44" s="285" t="n">
        <v>41</v>
      </c>
      <c r="B44" s="286" t="s">
        <v>71</v>
      </c>
      <c r="C44" s="287" t="n">
        <v>6</v>
      </c>
      <c r="D44" s="288" t="s">
        <v>505</v>
      </c>
      <c r="E44" s="294" t="s">
        <v>506</v>
      </c>
    </row>
    <row r="45" customFormat="false" ht="14.25" hidden="false" customHeight="false" outlineLevel="0" collapsed="false">
      <c r="A45" s="285" t="n">
        <v>42</v>
      </c>
      <c r="B45" s="286" t="s">
        <v>71</v>
      </c>
      <c r="C45" s="287" t="n">
        <v>6</v>
      </c>
      <c r="D45" s="288" t="s">
        <v>507</v>
      </c>
      <c r="E45" s="294" t="s">
        <v>508</v>
      </c>
    </row>
    <row r="46" customFormat="false" ht="14.25" hidden="false" customHeight="false" outlineLevel="0" collapsed="false">
      <c r="A46" s="285" t="n">
        <v>43</v>
      </c>
      <c r="B46" s="286" t="s">
        <v>71</v>
      </c>
      <c r="C46" s="287" t="n">
        <v>6</v>
      </c>
      <c r="D46" s="288" t="s">
        <v>509</v>
      </c>
      <c r="E46" s="287" t="s">
        <v>510</v>
      </c>
    </row>
    <row r="47" customFormat="false" ht="14.25" hidden="false" customHeight="false" outlineLevel="0" collapsed="false">
      <c r="A47" s="285" t="n">
        <v>44</v>
      </c>
      <c r="B47" s="286" t="s">
        <v>71</v>
      </c>
      <c r="C47" s="291" t="n">
        <v>6</v>
      </c>
      <c r="D47" s="288" t="s">
        <v>511</v>
      </c>
      <c r="E47" s="294" t="s">
        <v>512</v>
      </c>
    </row>
    <row r="48" customFormat="false" ht="14.25" hidden="false" customHeight="false" outlineLevel="0" collapsed="false">
      <c r="A48" s="285" t="n">
        <v>45</v>
      </c>
      <c r="B48" s="286" t="s">
        <v>71</v>
      </c>
      <c r="C48" s="287" t="n">
        <v>6</v>
      </c>
      <c r="D48" s="288" t="s">
        <v>513</v>
      </c>
      <c r="E48" s="294" t="s">
        <v>449</v>
      </c>
    </row>
    <row r="49" customFormat="false" ht="14.25" hidden="false" customHeight="false" outlineLevel="0" collapsed="false">
      <c r="A49" s="285" t="n">
        <v>46</v>
      </c>
      <c r="B49" s="286" t="s">
        <v>71</v>
      </c>
      <c r="C49" s="287" t="n">
        <v>6</v>
      </c>
      <c r="D49" s="288" t="s">
        <v>514</v>
      </c>
      <c r="E49" s="294" t="s">
        <v>449</v>
      </c>
    </row>
    <row r="50" customFormat="false" ht="14.25" hidden="false" customHeight="false" outlineLevel="0" collapsed="false">
      <c r="A50" s="285" t="n">
        <v>47</v>
      </c>
      <c r="B50" s="286" t="s">
        <v>71</v>
      </c>
      <c r="C50" s="287" t="n">
        <v>6</v>
      </c>
      <c r="D50" s="288" t="s">
        <v>515</v>
      </c>
      <c r="E50" s="294" t="s">
        <v>516</v>
      </c>
    </row>
    <row r="51" customFormat="false" ht="14.25" hidden="false" customHeight="false" outlineLevel="0" collapsed="false">
      <c r="A51" s="285"/>
      <c r="B51" s="286" t="s">
        <v>71</v>
      </c>
      <c r="C51" s="287" t="n">
        <v>6</v>
      </c>
      <c r="D51" s="288" t="s">
        <v>517</v>
      </c>
      <c r="E51" s="287" t="s">
        <v>449</v>
      </c>
    </row>
    <row r="52" customFormat="false" ht="14.25" hidden="false" customHeight="false" outlineLevel="0" collapsed="false">
      <c r="A52" s="285" t="n">
        <v>48</v>
      </c>
      <c r="B52" s="286" t="s">
        <v>74</v>
      </c>
      <c r="C52" s="287" t="n">
        <v>7</v>
      </c>
      <c r="D52" s="288" t="s">
        <v>518</v>
      </c>
      <c r="E52" s="287" t="s">
        <v>519</v>
      </c>
    </row>
    <row r="53" customFormat="false" ht="14.25" hidden="false" customHeight="false" outlineLevel="0" collapsed="false">
      <c r="A53" s="285" t="n">
        <v>49</v>
      </c>
      <c r="B53" s="286" t="s">
        <v>74</v>
      </c>
      <c r="C53" s="296" t="n">
        <v>7</v>
      </c>
      <c r="D53" s="288" t="s">
        <v>520</v>
      </c>
      <c r="E53" s="287" t="s">
        <v>521</v>
      </c>
    </row>
    <row r="54" customFormat="false" ht="14.25" hidden="false" customHeight="false" outlineLevel="0" collapsed="false">
      <c r="A54" s="285" t="n">
        <v>50</v>
      </c>
      <c r="B54" s="286" t="s">
        <v>74</v>
      </c>
      <c r="C54" s="296" t="n">
        <v>7</v>
      </c>
      <c r="D54" s="288" t="s">
        <v>121</v>
      </c>
      <c r="E54" s="287" t="s">
        <v>522</v>
      </c>
    </row>
    <row r="55" customFormat="false" ht="14.25" hidden="false" customHeight="false" outlineLevel="0" collapsed="false">
      <c r="A55" s="285" t="n">
        <v>51</v>
      </c>
      <c r="B55" s="286" t="s">
        <v>74</v>
      </c>
      <c r="C55" s="291" t="n">
        <v>7</v>
      </c>
      <c r="D55" s="288" t="s">
        <v>523</v>
      </c>
      <c r="E55" s="291" t="s">
        <v>524</v>
      </c>
    </row>
    <row r="56" customFormat="false" ht="14.25" hidden="false" customHeight="false" outlineLevel="0" collapsed="false">
      <c r="A56" s="285" t="n">
        <v>52</v>
      </c>
      <c r="B56" s="286" t="s">
        <v>65</v>
      </c>
      <c r="C56" s="287" t="n">
        <v>8</v>
      </c>
      <c r="D56" s="288" t="s">
        <v>525</v>
      </c>
      <c r="E56" s="287" t="s">
        <v>526</v>
      </c>
    </row>
    <row r="57" customFormat="false" ht="14.25" hidden="false" customHeight="false" outlineLevel="0" collapsed="false">
      <c r="A57" s="285" t="n">
        <v>53</v>
      </c>
      <c r="B57" s="286" t="s">
        <v>65</v>
      </c>
      <c r="C57" s="287" t="n">
        <v>8</v>
      </c>
      <c r="D57" s="288" t="s">
        <v>527</v>
      </c>
      <c r="E57" s="287" t="s">
        <v>528</v>
      </c>
    </row>
    <row r="58" customFormat="false" ht="14.25" hidden="false" customHeight="false" outlineLevel="0" collapsed="false">
      <c r="A58" s="285" t="n">
        <v>54</v>
      </c>
      <c r="B58" s="286" t="s">
        <v>65</v>
      </c>
      <c r="C58" s="287" t="n">
        <v>8</v>
      </c>
      <c r="D58" s="288" t="s">
        <v>529</v>
      </c>
      <c r="E58" s="287" t="s">
        <v>530</v>
      </c>
    </row>
    <row r="59" customFormat="false" ht="14.25" hidden="false" customHeight="false" outlineLevel="0" collapsed="false">
      <c r="A59" s="285" t="n">
        <v>55</v>
      </c>
      <c r="B59" s="286" t="s">
        <v>65</v>
      </c>
      <c r="C59" s="287" t="n">
        <v>8</v>
      </c>
      <c r="D59" s="288" t="s">
        <v>531</v>
      </c>
      <c r="E59" s="287" t="s">
        <v>532</v>
      </c>
      <c r="I59" s="297"/>
      <c r="J59" s="298"/>
      <c r="K59" s="297"/>
      <c r="L59" s="298"/>
    </row>
    <row r="60" customFormat="false" ht="14.25" hidden="false" customHeight="false" outlineLevel="0" collapsed="false">
      <c r="A60" s="285" t="n">
        <v>56</v>
      </c>
      <c r="B60" s="286" t="s">
        <v>65</v>
      </c>
      <c r="C60" s="287" t="n">
        <v>8</v>
      </c>
      <c r="D60" s="288" t="s">
        <v>533</v>
      </c>
      <c r="E60" s="287" t="s">
        <v>534</v>
      </c>
      <c r="G60" s="299"/>
      <c r="H60" s="299"/>
      <c r="I60" s="300"/>
      <c r="J60" s="301"/>
      <c r="K60" s="300"/>
      <c r="L60" s="301"/>
    </row>
    <row r="61" customFormat="false" ht="14.25" hidden="false" customHeight="false" outlineLevel="0" collapsed="false">
      <c r="A61" s="285" t="n">
        <v>57</v>
      </c>
      <c r="B61" s="286" t="s">
        <v>65</v>
      </c>
      <c r="C61" s="287" t="n">
        <v>8</v>
      </c>
      <c r="D61" s="288" t="s">
        <v>535</v>
      </c>
      <c r="E61" s="287" t="s">
        <v>536</v>
      </c>
      <c r="H61" s="298"/>
      <c r="I61" s="297"/>
      <c r="J61" s="298"/>
      <c r="K61" s="297"/>
      <c r="L61" s="298"/>
    </row>
    <row r="62" customFormat="false" ht="14.25" hidden="false" customHeight="false" outlineLevel="0" collapsed="false">
      <c r="A62" s="285"/>
      <c r="B62" s="286" t="s">
        <v>65</v>
      </c>
      <c r="C62" s="287" t="n">
        <v>8</v>
      </c>
      <c r="D62" s="288" t="s">
        <v>537</v>
      </c>
      <c r="E62" s="302" t="s">
        <v>538</v>
      </c>
      <c r="H62" s="298"/>
      <c r="I62" s="297"/>
      <c r="J62" s="298"/>
      <c r="K62" s="297"/>
      <c r="L62" s="298"/>
    </row>
    <row r="63" customFormat="false" ht="14.25" hidden="false" customHeight="false" outlineLevel="0" collapsed="false">
      <c r="A63" s="285"/>
      <c r="B63" s="286" t="s">
        <v>65</v>
      </c>
      <c r="C63" s="287" t="n">
        <v>8</v>
      </c>
      <c r="D63" s="288" t="s">
        <v>539</v>
      </c>
      <c r="E63" s="303" t="s">
        <v>540</v>
      </c>
      <c r="H63" s="298"/>
      <c r="I63" s="297"/>
      <c r="J63" s="298"/>
      <c r="K63" s="297"/>
      <c r="L63" s="298"/>
    </row>
    <row r="64" customFormat="false" ht="14.25" hidden="false" customHeight="false" outlineLevel="0" collapsed="false">
      <c r="A64" s="285" t="n">
        <v>58</v>
      </c>
      <c r="B64" s="286" t="s">
        <v>62</v>
      </c>
      <c r="C64" s="287" t="n">
        <v>9</v>
      </c>
      <c r="D64" s="288" t="s">
        <v>541</v>
      </c>
      <c r="E64" s="287" t="s">
        <v>542</v>
      </c>
      <c r="H64" s="298"/>
      <c r="I64" s="297"/>
      <c r="J64" s="298"/>
      <c r="K64" s="297"/>
      <c r="L64" s="298"/>
    </row>
    <row r="65" customFormat="false" ht="14.25" hidden="false" customHeight="false" outlineLevel="0" collapsed="false">
      <c r="A65" s="285" t="n">
        <v>59</v>
      </c>
      <c r="B65" s="286" t="s">
        <v>62</v>
      </c>
      <c r="C65" s="287" t="n">
        <v>9</v>
      </c>
      <c r="D65" s="288" t="s">
        <v>543</v>
      </c>
      <c r="E65" s="287" t="s">
        <v>544</v>
      </c>
      <c r="H65" s="298"/>
      <c r="I65" s="297"/>
      <c r="J65" s="298"/>
      <c r="K65" s="297"/>
      <c r="L65" s="298"/>
    </row>
    <row r="66" customFormat="false" ht="14.25" hidden="false" customHeight="false" outlineLevel="0" collapsed="false">
      <c r="A66" s="285" t="n">
        <v>60</v>
      </c>
      <c r="B66" s="286" t="s">
        <v>66</v>
      </c>
      <c r="C66" s="287" t="n">
        <v>10</v>
      </c>
      <c r="D66" s="288" t="s">
        <v>545</v>
      </c>
      <c r="E66" s="287" t="s">
        <v>546</v>
      </c>
      <c r="G66" s="299"/>
      <c r="I66" s="300"/>
      <c r="J66" s="301"/>
      <c r="K66" s="300"/>
      <c r="L66" s="301"/>
    </row>
    <row r="67" customFormat="false" ht="14.25" hidden="false" customHeight="false" outlineLevel="0" collapsed="false">
      <c r="A67" s="285" t="n">
        <v>61</v>
      </c>
      <c r="B67" s="286" t="s">
        <v>66</v>
      </c>
      <c r="C67" s="287" t="n">
        <v>10</v>
      </c>
      <c r="D67" s="288" t="s">
        <v>547</v>
      </c>
      <c r="E67" s="287" t="s">
        <v>548</v>
      </c>
    </row>
    <row r="68" customFormat="false" ht="14.25" hidden="false" customHeight="false" outlineLevel="0" collapsed="false">
      <c r="A68" s="285" t="n">
        <v>62</v>
      </c>
      <c r="B68" s="286" t="s">
        <v>66</v>
      </c>
      <c r="C68" s="287" t="n">
        <v>10</v>
      </c>
      <c r="D68" s="288" t="s">
        <v>549</v>
      </c>
      <c r="E68" s="287" t="s">
        <v>550</v>
      </c>
    </row>
    <row r="69" customFormat="false" ht="14.25" hidden="false" customHeight="false" outlineLevel="0" collapsed="false">
      <c r="A69" s="285" t="n">
        <v>63</v>
      </c>
      <c r="B69" s="286" t="s">
        <v>66</v>
      </c>
      <c r="C69" s="287" t="n">
        <v>10</v>
      </c>
      <c r="D69" s="288" t="s">
        <v>551</v>
      </c>
      <c r="E69" s="287" t="s">
        <v>552</v>
      </c>
    </row>
    <row r="70" customFormat="false" ht="14.25" hidden="false" customHeight="false" outlineLevel="0" collapsed="false">
      <c r="A70" s="285" t="n">
        <v>64</v>
      </c>
      <c r="B70" s="286" t="s">
        <v>66</v>
      </c>
      <c r="C70" s="287" t="n">
        <v>10</v>
      </c>
      <c r="D70" s="288" t="s">
        <v>553</v>
      </c>
      <c r="E70" s="287" t="s">
        <v>554</v>
      </c>
    </row>
    <row r="71" customFormat="false" ht="14.25" hidden="false" customHeight="false" outlineLevel="0" collapsed="false">
      <c r="A71" s="285" t="n">
        <v>65</v>
      </c>
      <c r="B71" s="286" t="s">
        <v>68</v>
      </c>
      <c r="C71" s="287" t="n">
        <v>11</v>
      </c>
      <c r="D71" s="288" t="s">
        <v>555</v>
      </c>
      <c r="E71" s="287" t="s">
        <v>556</v>
      </c>
    </row>
    <row r="72" customFormat="false" ht="14.25" hidden="false" customHeight="false" outlineLevel="0" collapsed="false">
      <c r="A72" s="285" t="n">
        <v>66</v>
      </c>
      <c r="B72" s="286" t="s">
        <v>68</v>
      </c>
      <c r="C72" s="287" t="n">
        <v>11</v>
      </c>
      <c r="D72" s="288" t="s">
        <v>557</v>
      </c>
      <c r="E72" s="287" t="s">
        <v>558</v>
      </c>
    </row>
    <row r="73" customFormat="false" ht="14.25" hidden="false" customHeight="false" outlineLevel="0" collapsed="false">
      <c r="A73" s="285" t="n">
        <v>67</v>
      </c>
      <c r="B73" s="286" t="s">
        <v>68</v>
      </c>
      <c r="C73" s="287" t="n">
        <v>11</v>
      </c>
      <c r="D73" s="288" t="s">
        <v>559</v>
      </c>
      <c r="E73" s="291" t="s">
        <v>560</v>
      </c>
    </row>
    <row r="74" customFormat="false" ht="14.25" hidden="false" customHeight="false" outlineLevel="0" collapsed="false">
      <c r="A74" s="285" t="n">
        <v>68</v>
      </c>
      <c r="B74" s="286" t="s">
        <v>68</v>
      </c>
      <c r="C74" s="287" t="n">
        <v>11</v>
      </c>
      <c r="D74" s="288" t="s">
        <v>561</v>
      </c>
      <c r="E74" s="291" t="s">
        <v>562</v>
      </c>
    </row>
    <row r="75" customFormat="false" ht="14.25" hidden="false" customHeight="false" outlineLevel="0" collapsed="false">
      <c r="A75" s="285" t="n">
        <v>69</v>
      </c>
      <c r="B75" s="286" t="s">
        <v>68</v>
      </c>
      <c r="C75" s="287" t="n">
        <v>11</v>
      </c>
      <c r="D75" s="288" t="s">
        <v>563</v>
      </c>
      <c r="E75" s="293" t="s">
        <v>564</v>
      </c>
    </row>
    <row r="76" customFormat="false" ht="14.25" hidden="false" customHeight="true" outlineLevel="0" collapsed="false">
      <c r="A76" s="285" t="n">
        <v>71</v>
      </c>
      <c r="B76" s="286" t="s">
        <v>70</v>
      </c>
      <c r="C76" s="287" t="n">
        <v>12</v>
      </c>
      <c r="D76" s="288" t="s">
        <v>565</v>
      </c>
      <c r="E76" s="287" t="s">
        <v>566</v>
      </c>
    </row>
    <row r="77" customFormat="false" ht="14.25" hidden="false" customHeight="false" outlineLevel="0" collapsed="false">
      <c r="A77" s="285" t="n">
        <v>72</v>
      </c>
      <c r="B77" s="286" t="s">
        <v>70</v>
      </c>
      <c r="C77" s="296" t="n">
        <v>12</v>
      </c>
      <c r="D77" s="288" t="s">
        <v>567</v>
      </c>
      <c r="E77" s="287" t="s">
        <v>568</v>
      </c>
    </row>
    <row r="78" customFormat="false" ht="14.25" hidden="false" customHeight="false" outlineLevel="0" collapsed="false">
      <c r="A78" s="285" t="n">
        <v>73</v>
      </c>
      <c r="B78" s="286" t="s">
        <v>70</v>
      </c>
      <c r="C78" s="287" t="n">
        <v>12</v>
      </c>
      <c r="D78" s="288" t="s">
        <v>569</v>
      </c>
      <c r="E78" s="287" t="s">
        <v>570</v>
      </c>
    </row>
    <row r="79" customFormat="false" ht="14.25" hidden="false" customHeight="false" outlineLevel="0" collapsed="false">
      <c r="A79" s="285" t="n">
        <v>74</v>
      </c>
      <c r="B79" s="286" t="s">
        <v>70</v>
      </c>
      <c r="C79" s="287" t="n">
        <v>12</v>
      </c>
      <c r="D79" s="288" t="s">
        <v>571</v>
      </c>
      <c r="E79" s="287" t="s">
        <v>572</v>
      </c>
    </row>
    <row r="80" customFormat="false" ht="14.25" hidden="false" customHeight="false" outlineLevel="0" collapsed="false">
      <c r="A80" s="285" t="n">
        <v>75</v>
      </c>
      <c r="B80" s="286" t="s">
        <v>70</v>
      </c>
      <c r="C80" s="287" t="n">
        <v>12</v>
      </c>
      <c r="D80" s="288" t="s">
        <v>573</v>
      </c>
      <c r="E80" s="287" t="s">
        <v>574</v>
      </c>
    </row>
    <row r="81" customFormat="false" ht="14.25" hidden="false" customHeight="false" outlineLevel="0" collapsed="false">
      <c r="A81" s="285" t="n">
        <v>75</v>
      </c>
      <c r="B81" s="286" t="s">
        <v>72</v>
      </c>
      <c r="C81" s="287" t="n">
        <v>13</v>
      </c>
      <c r="D81" s="288" t="s">
        <v>575</v>
      </c>
      <c r="E81" s="287" t="s">
        <v>576</v>
      </c>
    </row>
    <row r="82" customFormat="false" ht="14.25" hidden="false" customHeight="false" outlineLevel="0" collapsed="false">
      <c r="A82" s="285" t="n">
        <v>76</v>
      </c>
      <c r="B82" s="286" t="s">
        <v>72</v>
      </c>
      <c r="C82" s="287" t="n">
        <v>13</v>
      </c>
      <c r="D82" s="288" t="s">
        <v>577</v>
      </c>
      <c r="E82" s="287" t="s">
        <v>578</v>
      </c>
    </row>
    <row r="83" customFormat="false" ht="14.25" hidden="false" customHeight="false" outlineLevel="0" collapsed="false">
      <c r="A83" s="285" t="n">
        <v>77</v>
      </c>
      <c r="B83" s="286" t="s">
        <v>72</v>
      </c>
      <c r="C83" s="287" t="n">
        <v>13</v>
      </c>
      <c r="D83" s="288" t="s">
        <v>579</v>
      </c>
      <c r="E83" s="287" t="s">
        <v>580</v>
      </c>
    </row>
    <row r="84" customFormat="false" ht="14.25" hidden="false" customHeight="false" outlineLevel="0" collapsed="false">
      <c r="A84" s="285" t="n">
        <v>78</v>
      </c>
      <c r="B84" s="285" t="s">
        <v>72</v>
      </c>
      <c r="C84" s="287" t="n">
        <v>13</v>
      </c>
      <c r="D84" s="288" t="s">
        <v>581</v>
      </c>
      <c r="E84" s="287" t="s">
        <v>582</v>
      </c>
    </row>
    <row r="85" customFormat="false" ht="14.25" hidden="false" customHeight="false" outlineLevel="0" collapsed="false">
      <c r="A85" s="285" t="n">
        <v>79</v>
      </c>
      <c r="B85" s="285" t="s">
        <v>72</v>
      </c>
      <c r="C85" s="287" t="n">
        <v>13</v>
      </c>
      <c r="D85" s="288" t="s">
        <v>583</v>
      </c>
      <c r="E85" s="294" t="s">
        <v>449</v>
      </c>
    </row>
    <row r="86" customFormat="false" ht="14.25" hidden="false" customHeight="false" outlineLevel="0" collapsed="false">
      <c r="A86" s="285" t="n">
        <v>80</v>
      </c>
      <c r="B86" s="285" t="s">
        <v>73</v>
      </c>
      <c r="C86" s="287" t="n">
        <v>14</v>
      </c>
      <c r="D86" s="288" t="s">
        <v>584</v>
      </c>
      <c r="E86" s="294" t="s">
        <v>449</v>
      </c>
      <c r="G86" s="298"/>
    </row>
    <row r="87" customFormat="false" ht="14.25" hidden="false" customHeight="false" outlineLevel="0" collapsed="false">
      <c r="A87" s="285" t="n">
        <v>81</v>
      </c>
      <c r="B87" s="285" t="s">
        <v>73</v>
      </c>
      <c r="C87" s="287" t="n">
        <v>14</v>
      </c>
      <c r="D87" s="288" t="s">
        <v>585</v>
      </c>
      <c r="E87" s="287" t="s">
        <v>586</v>
      </c>
    </row>
    <row r="88" customFormat="false" ht="14.25" hidden="false" customHeight="false" outlineLevel="0" collapsed="false">
      <c r="A88" s="285" t="n">
        <v>82</v>
      </c>
      <c r="B88" s="285" t="s">
        <v>73</v>
      </c>
      <c r="C88" s="287" t="n">
        <v>14</v>
      </c>
      <c r="D88" s="288" t="s">
        <v>587</v>
      </c>
      <c r="E88" s="287" t="s">
        <v>588</v>
      </c>
    </row>
    <row r="89" customFormat="false" ht="14.25" hidden="false" customHeight="false" outlineLevel="0" collapsed="false">
      <c r="A89" s="285" t="n">
        <v>83</v>
      </c>
      <c r="B89" s="285" t="s">
        <v>73</v>
      </c>
      <c r="C89" s="291" t="n">
        <v>14</v>
      </c>
      <c r="D89" s="288" t="s">
        <v>589</v>
      </c>
      <c r="E89" s="287" t="s">
        <v>590</v>
      </c>
    </row>
    <row r="90" customFormat="false" ht="14.25" hidden="false" customHeight="false" outlineLevel="0" collapsed="false">
      <c r="A90" s="285" t="n">
        <v>84</v>
      </c>
      <c r="B90" s="285" t="s">
        <v>73</v>
      </c>
      <c r="C90" s="291" t="n">
        <v>14</v>
      </c>
      <c r="D90" s="288" t="s">
        <v>591</v>
      </c>
      <c r="E90" s="291" t="s">
        <v>592</v>
      </c>
    </row>
    <row r="91" customFormat="false" ht="14.25" hidden="false" customHeight="false" outlineLevel="0" collapsed="false">
      <c r="A91" s="285" t="n">
        <v>85</v>
      </c>
      <c r="B91" s="285" t="s">
        <v>73</v>
      </c>
      <c r="C91" s="291" t="n">
        <v>14</v>
      </c>
      <c r="D91" s="288" t="s">
        <v>593</v>
      </c>
      <c r="E91" s="291" t="s">
        <v>594</v>
      </c>
    </row>
    <row r="92" customFormat="false" ht="14.25" hidden="false" customHeight="false" outlineLevel="0" collapsed="false">
      <c r="A92" s="285" t="n">
        <v>86</v>
      </c>
      <c r="B92" s="285" t="s">
        <v>73</v>
      </c>
      <c r="C92" s="291" t="n">
        <v>14</v>
      </c>
      <c r="D92" s="288" t="s">
        <v>595</v>
      </c>
      <c r="E92" s="291" t="s">
        <v>449</v>
      </c>
    </row>
    <row r="93" customFormat="false" ht="14.25" hidden="false" customHeight="true" outlineLevel="0" collapsed="false">
      <c r="A93" s="304" t="n">
        <v>87</v>
      </c>
      <c r="B93" s="304" t="s">
        <v>73</v>
      </c>
      <c r="C93" s="305" t="n">
        <v>14</v>
      </c>
      <c r="D93" s="306" t="s">
        <v>596</v>
      </c>
      <c r="E93" s="305" t="s">
        <v>597</v>
      </c>
    </row>
    <row r="94" customFormat="false" ht="14.25" hidden="false" customHeight="false" outlineLevel="0" collapsed="false">
      <c r="A94" s="285" t="n">
        <v>88</v>
      </c>
      <c r="B94" s="285" t="s">
        <v>73</v>
      </c>
      <c r="C94" s="291" t="n">
        <v>14</v>
      </c>
      <c r="D94" s="288" t="s">
        <v>598</v>
      </c>
      <c r="E94" s="307" t="s">
        <v>449</v>
      </c>
    </row>
    <row r="95" customFormat="false" ht="14.25" hidden="false" customHeight="false" outlineLevel="0" collapsed="false">
      <c r="A95" s="285" t="n">
        <v>89</v>
      </c>
      <c r="B95" s="285" t="s">
        <v>75</v>
      </c>
      <c r="C95" s="291" t="n">
        <v>15</v>
      </c>
      <c r="D95" s="288" t="s">
        <v>599</v>
      </c>
      <c r="E95" s="291" t="s">
        <v>600</v>
      </c>
    </row>
    <row r="96" customFormat="false" ht="14.25" hidden="false" customHeight="false" outlineLevel="0" collapsed="false">
      <c r="A96" s="285" t="n">
        <v>90</v>
      </c>
      <c r="B96" s="285" t="s">
        <v>75</v>
      </c>
      <c r="C96" s="291" t="n">
        <v>15</v>
      </c>
      <c r="D96" s="288" t="s">
        <v>601</v>
      </c>
      <c r="E96" s="291" t="s">
        <v>602</v>
      </c>
    </row>
    <row r="97" customFormat="false" ht="14.25" hidden="false" customHeight="false" outlineLevel="0" collapsed="false">
      <c r="A97" s="285" t="n">
        <v>91</v>
      </c>
      <c r="B97" s="285" t="s">
        <v>76</v>
      </c>
      <c r="C97" s="291" t="n">
        <v>16</v>
      </c>
      <c r="D97" s="288" t="s">
        <v>603</v>
      </c>
      <c r="E97" s="291" t="s">
        <v>604</v>
      </c>
    </row>
    <row r="98" customFormat="false" ht="14.25" hidden="false" customHeight="false" outlineLevel="0" collapsed="false">
      <c r="A98" s="285" t="n">
        <v>92</v>
      </c>
      <c r="B98" s="285" t="s">
        <v>76</v>
      </c>
      <c r="C98" s="291" t="n">
        <v>16</v>
      </c>
      <c r="D98" s="288" t="s">
        <v>605</v>
      </c>
      <c r="E98" s="291" t="s">
        <v>606</v>
      </c>
    </row>
    <row r="99" customFormat="false" ht="14.25" hidden="false" customHeight="false" outlineLevel="0" collapsed="false">
      <c r="A99" s="308"/>
      <c r="B99" s="308"/>
      <c r="D99" s="309"/>
      <c r="E99" s="310"/>
    </row>
    <row r="100" customFormat="false" ht="14.25" hidden="false" customHeight="false" outlineLevel="0" collapsed="false">
      <c r="A100" s="308"/>
      <c r="B100" s="308"/>
      <c r="D100" s="309"/>
      <c r="E100" s="310"/>
    </row>
    <row r="104" customFormat="false" ht="14.25" hidden="false" customHeight="false" outlineLevel="0" collapsed="false">
      <c r="E104" s="311" t="n">
        <v>89</v>
      </c>
    </row>
    <row r="105" customFormat="false" ht="14.25" hidden="false" customHeight="false" outlineLevel="0" collapsed="false">
      <c r="D105" s="311" t="s">
        <v>449</v>
      </c>
      <c r="E105" s="311" t="n">
        <v>12</v>
      </c>
    </row>
    <row r="106" customFormat="false" ht="14.25" hidden="false" customHeight="false" outlineLevel="0" collapsed="false">
      <c r="D106" s="311" t="s">
        <v>607</v>
      </c>
      <c r="E106" s="311" t="n">
        <f aca="false">+E104-E105</f>
        <v>77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1414</TotalTime>
  <Application>LibreOffice/25.8.7.2$Windows_X86_64 LibreOffice_project/e9cfafff50477fae0fcf42925ebd2aec2bdc5df4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2023-02-01T21:45:46Z</dcterms:created>
  <dc:creator>IGNACIO MAURICIO HUERA ZAMBRANO</dc:creator>
  <dc:description/>
  <dc:language>es-EC</dc:language>
  <cp:lastModifiedBy/>
  <cp:lastPrinted>2025-11-20T11:51:06Z</cp:lastPrinted>
  <dcterms:modified xsi:type="dcterms:W3CDTF">2026-06-29T21:57:52Z</dcterms:modified>
  <cp:revision>214</cp:revision>
  <dc:subject/>
  <dc:title/>
</cp:coreProperties>
</file>

<file path=docProps/custom.xml><?xml version="1.0" encoding="utf-8"?>
<Properties xmlns="http://schemas.openxmlformats.org/officeDocument/2006/custom-properties" xmlns:vt="http://schemas.openxmlformats.org/officeDocument/2006/docPropsVTypes"/>
</file>